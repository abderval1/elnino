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48A3084F-8F3F-4FCD-BDD4-9E6441C421C4}" xr6:coauthVersionLast="47" xr6:coauthVersionMax="47" xr10:uidLastSave="{00000000-0000-0000-0000-000000000000}"/>
  <bookViews>
    <workbookView xWindow="4680" yWindow="1005" windowWidth="19200" windowHeight="20595" activeTab="1" xr2:uid="{00000000-000D-0000-FFFF-FFFF00000000}"/>
  </bookViews>
  <sheets>
    <sheet name="Namibe " sheetId="23" r:id="rId1"/>
    <sheet name="Grupos etários" sheetId="24" r:id="rId2"/>
    <sheet name="  Moçâmedes" sheetId="10" r:id="rId3"/>
    <sheet name="Tômbwa" sheetId="11" r:id="rId4"/>
    <sheet name="Bibala" sheetId="13" r:id="rId5"/>
    <sheet name="Virei" sheetId="14" r:id="rId6"/>
    <sheet name="Camucuio" sheetId="17" r:id="rId7"/>
    <sheet name="Lucira" sheetId="15" r:id="rId8"/>
    <sheet name="Cacimbas" sheetId="16" r:id="rId9"/>
    <sheet name="Sacomar" sheetId="18" r:id="rId10"/>
    <sheet name="Iona" sheetId="1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5" l="1"/>
  <c r="K5" i="24"/>
  <c r="B5" i="24"/>
  <c r="C5" i="24"/>
  <c r="D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E5" i="15"/>
  <c r="R5" i="15"/>
  <c r="S5" i="15"/>
  <c r="Q5" i="15"/>
  <c r="O5" i="15"/>
  <c r="P5" i="15"/>
  <c r="N5" i="15"/>
  <c r="L5" i="15"/>
  <c r="M5" i="15"/>
  <c r="I57" i="15"/>
  <c r="J57" i="15"/>
  <c r="H57" i="15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C5" i="15"/>
  <c r="D5" i="15"/>
  <c r="F5" i="15"/>
  <c r="G5" i="15"/>
  <c r="H5" i="15"/>
  <c r="I5" i="15"/>
  <c r="J5" i="15"/>
  <c r="T5" i="15"/>
  <c r="U5" i="15"/>
  <c r="V5" i="15"/>
  <c r="Z5" i="15"/>
  <c r="AA5" i="15"/>
  <c r="AB5" i="15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B5" i="10"/>
  <c r="B5" i="15"/>
  <c r="B5" i="19"/>
  <c r="C5" i="23" l="1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B5" i="23"/>
  <c r="B5" i="14"/>
  <c r="B5" i="17"/>
  <c r="B5" i="18"/>
  <c r="B5" i="16" l="1"/>
  <c r="B5" i="13"/>
  <c r="B5" i="11"/>
  <c r="P28" i="15" l="1"/>
  <c r="P27" i="15"/>
  <c r="P26" i="15"/>
  <c r="P25" i="15"/>
  <c r="P24" i="15"/>
  <c r="P23" i="15"/>
  <c r="P22" i="15"/>
  <c r="P21" i="15" s="1"/>
  <c r="O28" i="15"/>
  <c r="O27" i="15"/>
  <c r="O26" i="15" s="1"/>
  <c r="O25" i="15" l="1"/>
  <c r="P20" i="15"/>
  <c r="P19" i="15" l="1"/>
  <c r="O24" i="15"/>
  <c r="P18" i="15" l="1"/>
  <c r="O23" i="15"/>
  <c r="O22" i="15" l="1"/>
  <c r="P17" i="15"/>
  <c r="O21" i="15" l="1"/>
  <c r="P16" i="15"/>
  <c r="P15" i="15" l="1"/>
  <c r="O20" i="15"/>
  <c r="O19" i="15" l="1"/>
  <c r="P14" i="15"/>
  <c r="O18" i="15" l="1"/>
  <c r="P13" i="15"/>
  <c r="P12" i="15" l="1"/>
  <c r="O17" i="15"/>
  <c r="O16" i="15" l="1"/>
  <c r="P11" i="15"/>
  <c r="P10" i="15" l="1"/>
  <c r="O15" i="15"/>
  <c r="O14" i="15" l="1"/>
  <c r="P9" i="15"/>
  <c r="P8" i="15" l="1"/>
  <c r="O13" i="15"/>
  <c r="O12" i="15" l="1"/>
  <c r="P7" i="15"/>
  <c r="P6" i="15" l="1"/>
  <c r="O11" i="15"/>
  <c r="O10" i="15" l="1"/>
  <c r="O9" i="15" l="1"/>
  <c r="O8" i="15" l="1"/>
  <c r="O7" i="15" l="1"/>
  <c r="O6" i="15" l="1"/>
  <c r="N28" i="15"/>
  <c r="N27" i="15" s="1"/>
  <c r="N26" i="15" l="1"/>
  <c r="N25" i="15" l="1"/>
  <c r="N24" i="15" l="1"/>
  <c r="N23" i="15" l="1"/>
  <c r="N22" i="15" l="1"/>
  <c r="N21" i="15" l="1"/>
  <c r="N20" i="15" l="1"/>
  <c r="N19" i="15" l="1"/>
  <c r="N18" i="15" l="1"/>
  <c r="N17" i="15" l="1"/>
  <c r="N16" i="15" l="1"/>
  <c r="N15" i="15" l="1"/>
  <c r="N14" i="15" l="1"/>
  <c r="N13" i="15" l="1"/>
  <c r="N12" i="15" l="1"/>
  <c r="N11" i="15" l="1"/>
  <c r="N10" i="15" l="1"/>
  <c r="N9" i="15" l="1"/>
  <c r="N8" i="15" l="1"/>
  <c r="N7" i="15" l="1"/>
  <c r="N6" i="15" l="1"/>
</calcChain>
</file>

<file path=xl/sharedStrings.xml><?xml version="1.0" encoding="utf-8"?>
<sst xmlns="http://schemas.openxmlformats.org/spreadsheetml/2006/main" count="712" uniqueCount="93">
  <si>
    <t>Moçâmedes</t>
  </si>
  <si>
    <t>Total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</si>
  <si>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</si>
  <si>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</si>
  <si>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</si>
  <si>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</si>
  <si>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</si>
  <si>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</si>
  <si>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</si>
  <si>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</si>
  <si>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</si>
  <si>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</si>
  <si>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</si>
  <si>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</si>
  <si>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</si>
  <si>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</si>
  <si>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</si>
  <si>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</si>
  <si>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</si>
  <si>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</si>
  <si>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</si>
  <si>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</si>
  <si>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18 anos</t>
  </si>
  <si>
    <t>18 ou mais anos</t>
  </si>
  <si>
    <t>Tômbwa</t>
  </si>
  <si>
    <t>Bibala</t>
  </si>
  <si>
    <t>Virei</t>
  </si>
  <si>
    <t>Camucuio</t>
  </si>
  <si>
    <t>Lucira</t>
  </si>
  <si>
    <t>Cacimbas</t>
  </si>
  <si>
    <t>Sacomar</t>
  </si>
  <si>
    <t>Iona</t>
  </si>
  <si>
    <t>Urbana</t>
  </si>
  <si>
    <t>Rural</t>
  </si>
  <si>
    <t>Homens</t>
  </si>
  <si>
    <t>Mulheres</t>
  </si>
  <si>
    <t>Camucuio 2026</t>
  </si>
  <si>
    <t xml:space="preserve"> Camucuio 2026</t>
  </si>
  <si>
    <t>Camucuio 2027</t>
  </si>
  <si>
    <t xml:space="preserve"> Lucira 2026</t>
  </si>
  <si>
    <t>Lucira 2027</t>
  </si>
  <si>
    <t xml:space="preserve">Lucira </t>
  </si>
  <si>
    <t>Cacimbas 2026</t>
  </si>
  <si>
    <t xml:space="preserve"> Cacimbas 2026</t>
  </si>
  <si>
    <t>Cacimbas 2027</t>
  </si>
  <si>
    <t xml:space="preserve">Cacimbas </t>
  </si>
  <si>
    <t xml:space="preserve"> Sacomar 2026</t>
  </si>
  <si>
    <t>Sacomar 2027</t>
  </si>
  <si>
    <t xml:space="preserve">Sacomar </t>
  </si>
  <si>
    <t xml:space="preserve"> Iona 2026</t>
  </si>
  <si>
    <t>Iona 2027</t>
  </si>
  <si>
    <t xml:space="preserve">Iona </t>
  </si>
  <si>
    <t>Lucira 2025</t>
  </si>
  <si>
    <t>Sacomar 2025</t>
  </si>
  <si>
    <t>Iona 2025</t>
  </si>
  <si>
    <t xml:space="preserve">Municipios </t>
  </si>
  <si>
    <t>Namibe</t>
  </si>
  <si>
    <t>Virei 2026</t>
  </si>
  <si>
    <t xml:space="preserve"> Virei 2026</t>
  </si>
  <si>
    <t>Virei 2027</t>
  </si>
  <si>
    <t xml:space="preserve">Bibala </t>
  </si>
  <si>
    <t xml:space="preserve">Virei </t>
  </si>
  <si>
    <t>Bibala 2025</t>
  </si>
  <si>
    <t>Bibala 2026</t>
  </si>
  <si>
    <t xml:space="preserve">Grupos etários </t>
  </si>
  <si>
    <t>Grupos etários</t>
  </si>
  <si>
    <t>Namibe 2025</t>
  </si>
  <si>
    <t>Namibe 2026</t>
  </si>
  <si>
    <t>Namibe 2027</t>
  </si>
  <si>
    <t>0 - 17 anos</t>
  </si>
  <si>
    <t xml:space="preserve">  Moçâmedes</t>
  </si>
  <si>
    <t xml:space="preserve">  Moçâmedes 2025</t>
  </si>
  <si>
    <t xml:space="preserve">  Moçâmedes 2026</t>
  </si>
  <si>
    <t xml:space="preserve">  Moçâmedes 2027</t>
  </si>
  <si>
    <t>Tômbwa 2025</t>
  </si>
  <si>
    <t>Tômbwa 2026</t>
  </si>
  <si>
    <t>Tômbwa 2027</t>
  </si>
  <si>
    <t>Bibala 2027</t>
  </si>
  <si>
    <t>Quadro 1 -  População estimada por grupos etários, segundo a área de residência e sexo,   Moçâmedes 2025-2027</t>
  </si>
  <si>
    <t>Quadro 2 - População estimada por grupos etários, segundo a área de residência e sexo, Tômbwa 2025-2027</t>
  </si>
  <si>
    <t>Quadro 3 - População estimada por grupos etários, segundo a área de residência e sexo, Bibala 2025-2027</t>
  </si>
  <si>
    <t>Quadro 4 -  População estimada por grupos etários, segundo a área de residência e sexo, Virei 2025-2027</t>
  </si>
  <si>
    <t>Quadro 5 -  População estimada por grupos etários, segundo a área de residência e sexo, Camucuio 2025-2027</t>
  </si>
  <si>
    <t>Quadro 6 - População estimada por grupos etários, segundo a área de residência e sexo, Lucira 2025-2027</t>
  </si>
  <si>
    <t>Quadro 7 - População estimada por grupos etários, segundo a área de residência e sexo, Cacimbas 2025-2027</t>
  </si>
  <si>
    <t>Quadro 8- População estimada por grupos etários, segundo a área de residência e sexo, Sacomar 2025-2027</t>
  </si>
  <si>
    <t>Quadro 9 - População estimada por grupos etários, segundo a área de residência e sexo, Iona 2025-2027</t>
  </si>
  <si>
    <t>Quadro 00 -  População estimada por municípios,  segundo a área de residência e sexo, Namibe 2025-2027</t>
  </si>
  <si>
    <t>Quadro 01 - População estimada por grupos etários, segundo a área de residência e sexo, Namibe 2025-2027</t>
  </si>
  <si>
    <r>
      <t>Fonte:</t>
    </r>
    <r>
      <rPr>
        <sz val="9"/>
        <color rgb="FF000000"/>
        <rFont val="Calibri"/>
        <family val="2"/>
      </rPr>
      <t xml:space="preserve"> INE -  Direcção de Estatísticas Demográficas e Sociais</t>
    </r>
    <r>
      <rPr>
        <b/>
        <sz val="9"/>
        <color rgb="FF000000"/>
        <rFont val="Calibri"/>
        <family val="2"/>
      </rPr>
      <t xml:space="preserve"> </t>
    </r>
  </si>
  <si>
    <r>
      <t>Fonte:</t>
    </r>
    <r>
      <rPr>
        <sz val="9"/>
        <color rgb="FF000000"/>
        <rFont val="Calibri"/>
        <family val="2"/>
      </rPr>
      <t xml:space="preserve"> INE -  Direcção de Estatísticas Demográficas e Sociais </t>
    </r>
  </si>
  <si>
    <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</si>
  <si>
    <r>
      <t xml:space="preserve">Fonte: </t>
    </r>
    <r>
      <rPr>
        <sz val="9"/>
        <color rgb="FF000000"/>
        <rFont val="Calibri"/>
        <family val="2"/>
        <scheme val="minor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</si>
</sst>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0"/>
    <numFmt numFmtId="165" formatCode="_-* #,##0_-;\-* #,##0_-;_-* &quot;-&quot;??_-;_-@_-"/>
    <numFmt numFmtId="166" formatCode="#,##0_ ;\-#,##0\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n">
        <color indexed="8"/>
      </right>
      <top/>
      <bottom style="thick">
        <color indexed="64"/>
      </bottom>
      <diagonal/>
    </border>
    <border>
      <left style="thin">
        <color indexed="8"/>
      </left>
      <right/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/>
      <top/>
      <bottom style="thick">
        <color indexed="8"/>
      </bottom>
      <diagonal/>
    </border>
    <border>
      <left/>
      <right style="thin">
        <color indexed="64"/>
      </right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8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/>
      <top/>
      <bottom style="thick">
        <color indexed="8"/>
      </bottom>
      <diagonal/>
    </border>
    <border>
      <left/>
      <right style="medium">
        <color indexed="64"/>
      </right>
      <top/>
      <bottom style="thick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</cellStyleXfs>
  <cellXfs count="297">
    <xf numFmtId="0" fontId="0" fillId="0" borderId="0" xfId="0"/>
    <xf numFmtId="0" fontId="3" fillId="2" borderId="9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/>
    </xf>
    <xf numFmtId="0" fontId="5" fillId="2" borderId="15" xfId="2" applyFont="1" applyFill="1" applyBorder="1" applyAlignment="1">
      <alignment horizontal="center"/>
    </xf>
    <xf numFmtId="0" fontId="5" fillId="2" borderId="16" xfId="2" applyFont="1" applyFill="1" applyBorder="1" applyAlignment="1">
      <alignment horizontal="center" wrapText="1"/>
    </xf>
    <xf numFmtId="0" fontId="5" fillId="2" borderId="17" xfId="2" applyFont="1" applyFill="1" applyBorder="1" applyAlignment="1">
      <alignment horizontal="center" wrapText="1"/>
    </xf>
    <xf numFmtId="0" fontId="3" fillId="2" borderId="18" xfId="2" applyFont="1" applyFill="1" applyBorder="1" applyAlignment="1">
      <alignment vertical="center" wrapText="1"/>
    </xf>
    <xf numFmtId="165" fontId="3" fillId="2" borderId="16" xfId="3" applyNumberFormat="1" applyFont="1" applyFill="1" applyBorder="1" applyAlignment="1">
      <alignment vertical="center" wrapText="1"/>
    </xf>
    <xf numFmtId="165" fontId="3" fillId="2" borderId="17" xfId="3" applyNumberFormat="1" applyFont="1" applyFill="1" applyBorder="1" applyAlignment="1">
      <alignment vertical="center" wrapText="1"/>
    </xf>
    <xf numFmtId="165" fontId="3" fillId="2" borderId="15" xfId="3" applyNumberFormat="1" applyFont="1" applyFill="1" applyBorder="1" applyAlignment="1">
      <alignment vertical="center" wrapText="1"/>
    </xf>
    <xf numFmtId="0" fontId="5" fillId="2" borderId="20" xfId="2" applyFont="1" applyFill="1" applyBorder="1" applyAlignment="1">
      <alignment horizontal="left" vertical="top" wrapText="1" indent="1"/>
    </xf>
    <xf numFmtId="0" fontId="5" fillId="2" borderId="20" xfId="0" applyFont="1" applyFill="1" applyBorder="1" applyAlignment="1">
      <alignment horizontal="left" indent="1"/>
    </xf>
    <xf numFmtId="0" fontId="5" fillId="2" borderId="20" xfId="0" applyFont="1" applyFill="1" applyBorder="1" applyAlignment="1">
      <alignment horizontal="left" vertical="center"/>
    </xf>
    <xf numFmtId="0" fontId="3" fillId="2" borderId="12" xfId="2" applyFont="1" applyFill="1" applyBorder="1" applyAlignment="1">
      <alignment vertical="center" wrapText="1"/>
    </xf>
    <xf numFmtId="165" fontId="3" fillId="2" borderId="4" xfId="3" applyNumberFormat="1" applyFont="1" applyFill="1" applyBorder="1" applyAlignment="1">
      <alignment vertical="center" wrapText="1"/>
    </xf>
    <xf numFmtId="0" fontId="0" fillId="2" borderId="0" xfId="0" applyFill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0" xfId="0" applyFont="1" applyFill="1" applyAlignment="1">
      <alignment horizontal="left" indent="1"/>
    </xf>
    <xf numFmtId="164" fontId="6" fillId="2" borderId="0" xfId="1" applyNumberFormat="1" applyFont="1" applyFill="1" applyAlignment="1">
      <alignment horizontal="right" vertical="center"/>
    </xf>
    <xf numFmtId="164" fontId="6" fillId="2" borderId="0" xfId="4" applyNumberFormat="1" applyFont="1" applyFill="1" applyAlignment="1">
      <alignment horizontal="right" vertical="center"/>
    </xf>
    <xf numFmtId="0" fontId="7" fillId="2" borderId="0" xfId="0" applyFont="1" applyFill="1"/>
    <xf numFmtId="0" fontId="7" fillId="2" borderId="34" xfId="0" applyFont="1" applyFill="1" applyBorder="1"/>
    <xf numFmtId="0" fontId="8" fillId="2" borderId="0" xfId="0" applyFont="1" applyFill="1" applyAlignment="1">
      <alignment vertical="center"/>
    </xf>
    <xf numFmtId="0" fontId="8" fillId="0" borderId="6" xfId="2" applyFont="1" applyBorder="1" applyAlignment="1">
      <alignment vertical="center" wrapText="1"/>
    </xf>
    <xf numFmtId="0" fontId="9" fillId="2" borderId="0" xfId="0" applyFont="1" applyFill="1"/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9" xfId="2" applyFont="1" applyFill="1" applyBorder="1" applyAlignment="1">
      <alignment horizontal="center" vertical="center" wrapText="1"/>
    </xf>
    <xf numFmtId="0" fontId="8" fillId="2" borderId="10" xfId="2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9" fillId="2" borderId="4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wrapText="1"/>
    </xf>
    <xf numFmtId="0" fontId="9" fillId="2" borderId="13" xfId="2" applyFont="1" applyFill="1" applyBorder="1" applyAlignment="1">
      <alignment horizontal="center" wrapText="1"/>
    </xf>
    <xf numFmtId="0" fontId="9" fillId="2" borderId="4" xfId="2" applyFont="1" applyFill="1" applyBorder="1" applyAlignment="1">
      <alignment horizontal="center"/>
    </xf>
    <xf numFmtId="0" fontId="9" fillId="2" borderId="14" xfId="2" applyFont="1" applyFill="1" applyBorder="1" applyAlignment="1">
      <alignment horizontal="center" wrapText="1"/>
    </xf>
    <xf numFmtId="0" fontId="9" fillId="2" borderId="15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 wrapText="1"/>
    </xf>
    <xf numFmtId="0" fontId="9" fillId="2" borderId="17" xfId="2" applyFont="1" applyFill="1" applyBorder="1" applyAlignment="1">
      <alignment horizontal="center" wrapText="1"/>
    </xf>
    <xf numFmtId="165" fontId="8" fillId="2" borderId="4" xfId="3" applyNumberFormat="1" applyFont="1" applyFill="1" applyBorder="1" applyAlignment="1">
      <alignment vertical="center" wrapText="1"/>
    </xf>
    <xf numFmtId="165" fontId="9" fillId="2" borderId="0" xfId="6" applyNumberFormat="1" applyFont="1" applyFill="1" applyBorder="1" applyAlignment="1">
      <alignment horizontal="right" vertical="center"/>
    </xf>
    <xf numFmtId="165" fontId="9" fillId="2" borderId="30" xfId="6" applyNumberFormat="1" applyFont="1" applyFill="1" applyBorder="1" applyAlignment="1">
      <alignment horizontal="right" vertical="center"/>
    </xf>
    <xf numFmtId="165" fontId="9" fillId="2" borderId="41" xfId="6" applyNumberFormat="1" applyFont="1" applyFill="1" applyBorder="1" applyAlignment="1">
      <alignment horizontal="right" vertical="center"/>
    </xf>
    <xf numFmtId="165" fontId="9" fillId="2" borderId="0" xfId="6" applyNumberFormat="1" applyFont="1" applyFill="1" applyBorder="1"/>
    <xf numFmtId="165" fontId="9" fillId="2" borderId="30" xfId="6" applyNumberFormat="1" applyFont="1" applyFill="1" applyBorder="1"/>
    <xf numFmtId="165" fontId="9" fillId="2" borderId="41" xfId="6" applyNumberFormat="1" applyFont="1" applyFill="1" applyBorder="1"/>
    <xf numFmtId="165" fontId="9" fillId="2" borderId="4" xfId="6" applyNumberFormat="1" applyFont="1" applyFill="1" applyBorder="1"/>
    <xf numFmtId="165" fontId="9" fillId="2" borderId="13" xfId="6" applyNumberFormat="1" applyFont="1" applyFill="1" applyBorder="1"/>
    <xf numFmtId="165" fontId="9" fillId="2" borderId="14" xfId="6" applyNumberFormat="1" applyFont="1" applyFill="1" applyBorder="1"/>
    <xf numFmtId="165" fontId="9" fillId="2" borderId="0" xfId="6" applyNumberFormat="1" applyFont="1" applyFill="1" applyBorder="1" applyAlignment="1">
      <alignment vertical="center"/>
    </xf>
    <xf numFmtId="165" fontId="9" fillId="2" borderId="30" xfId="6" applyNumberFormat="1" applyFont="1" applyFill="1" applyBorder="1" applyAlignment="1">
      <alignment vertical="center"/>
    </xf>
    <xf numFmtId="165" fontId="9" fillId="2" borderId="41" xfId="6" applyNumberFormat="1" applyFont="1" applyFill="1" applyBorder="1" applyAlignment="1">
      <alignment vertical="center"/>
    </xf>
    <xf numFmtId="165" fontId="10" fillId="2" borderId="0" xfId="6" applyNumberFormat="1" applyFont="1" applyFill="1" applyAlignment="1">
      <alignment vertical="center"/>
    </xf>
    <xf numFmtId="165" fontId="9" fillId="2" borderId="0" xfId="6" applyNumberFormat="1" applyFont="1" applyFill="1"/>
    <xf numFmtId="165" fontId="9" fillId="2" borderId="29" xfId="6" applyNumberFormat="1" applyFont="1" applyFill="1" applyBorder="1" applyAlignment="1">
      <alignment horizontal="right" vertical="center"/>
    </xf>
    <xf numFmtId="165" fontId="9" fillId="2" borderId="29" xfId="6" applyNumberFormat="1" applyFont="1" applyFill="1" applyBorder="1"/>
    <xf numFmtId="165" fontId="9" fillId="2" borderId="26" xfId="6" applyNumberFormat="1" applyFont="1" applyFill="1" applyBorder="1"/>
    <xf numFmtId="165" fontId="9" fillId="2" borderId="0" xfId="6" applyNumberFormat="1" applyFont="1" applyFill="1" applyAlignment="1">
      <alignment horizontal="right"/>
    </xf>
    <xf numFmtId="0" fontId="8" fillId="2" borderId="43" xfId="0" applyFont="1" applyFill="1" applyBorder="1" applyAlignment="1">
      <alignment horizontal="center"/>
    </xf>
    <xf numFmtId="0" fontId="9" fillId="2" borderId="15" xfId="2" applyFont="1" applyFill="1" applyBorder="1" applyAlignment="1">
      <alignment horizontal="center" vertical="center" wrapText="1"/>
    </xf>
    <xf numFmtId="0" fontId="8" fillId="2" borderId="44" xfId="2" applyFont="1" applyFill="1" applyBorder="1" applyAlignment="1">
      <alignment vertical="center" wrapText="1"/>
    </xf>
    <xf numFmtId="0" fontId="9" fillId="2" borderId="45" xfId="2" applyFont="1" applyFill="1" applyBorder="1" applyAlignment="1">
      <alignment horizontal="left" vertical="top" wrapText="1" indent="1"/>
    </xf>
    <xf numFmtId="0" fontId="9" fillId="2" borderId="46" xfId="2" applyFont="1" applyFill="1" applyBorder="1" applyAlignment="1">
      <alignment horizontal="left" vertical="top" wrapText="1" indent="1"/>
    </xf>
    <xf numFmtId="0" fontId="9" fillId="2" borderId="46" xfId="0" applyFont="1" applyFill="1" applyBorder="1" applyAlignment="1">
      <alignment horizontal="left" indent="1"/>
    </xf>
    <xf numFmtId="0" fontId="9" fillId="2" borderId="47" xfId="0" applyFont="1" applyFill="1" applyBorder="1" applyAlignment="1">
      <alignment horizontal="left" indent="1"/>
    </xf>
    <xf numFmtId="0" fontId="10" fillId="2" borderId="30" xfId="0" applyFont="1" applyFill="1" applyBorder="1" applyAlignment="1">
      <alignment vertical="center"/>
    </xf>
    <xf numFmtId="0" fontId="9" fillId="2" borderId="46" xfId="0" applyFont="1" applyFill="1" applyBorder="1" applyAlignment="1">
      <alignment horizontal="left" vertical="center"/>
    </xf>
    <xf numFmtId="0" fontId="9" fillId="2" borderId="13" xfId="0" applyFont="1" applyFill="1" applyBorder="1"/>
    <xf numFmtId="165" fontId="9" fillId="2" borderId="28" xfId="6" applyNumberFormat="1" applyFont="1" applyFill="1" applyBorder="1"/>
    <xf numFmtId="165" fontId="8" fillId="2" borderId="17" xfId="3" applyNumberFormat="1" applyFont="1" applyFill="1" applyBorder="1" applyAlignment="1">
      <alignment vertical="center" wrapText="1"/>
    </xf>
    <xf numFmtId="165" fontId="9" fillId="2" borderId="28" xfId="6" applyNumberFormat="1" applyFont="1" applyFill="1" applyBorder="1" applyAlignment="1">
      <alignment horizontal="right"/>
    </xf>
    <xf numFmtId="165" fontId="9" fillId="2" borderId="48" xfId="6" applyNumberFormat="1" applyFont="1" applyFill="1" applyBorder="1" applyAlignment="1">
      <alignment horizontal="right"/>
    </xf>
    <xf numFmtId="165" fontId="9" fillId="2" borderId="12" xfId="6" applyNumberFormat="1" applyFont="1" applyFill="1" applyBorder="1"/>
    <xf numFmtId="165" fontId="9" fillId="2" borderId="48" xfId="6" applyNumberFormat="1" applyFont="1" applyFill="1" applyBorder="1"/>
    <xf numFmtId="165" fontId="8" fillId="2" borderId="19" xfId="3" applyNumberFormat="1" applyFont="1" applyFill="1" applyBorder="1" applyAlignment="1">
      <alignment vertical="center" wrapText="1"/>
    </xf>
    <xf numFmtId="165" fontId="8" fillId="2" borderId="18" xfId="3" applyNumberFormat="1" applyFont="1" applyFill="1" applyBorder="1" applyAlignment="1">
      <alignment vertical="center" wrapText="1"/>
    </xf>
    <xf numFmtId="0" fontId="6" fillId="2" borderId="22" xfId="1" applyFont="1" applyFill="1" applyBorder="1" applyAlignment="1">
      <alignment horizontal="left" vertical="top" wrapText="1" indent="1"/>
    </xf>
    <xf numFmtId="0" fontId="6" fillId="2" borderId="20" xfId="1" applyFont="1" applyFill="1" applyBorder="1" applyAlignment="1">
      <alignment horizontal="left" vertical="top" wrapText="1" indent="1"/>
    </xf>
    <xf numFmtId="0" fontId="6" fillId="2" borderId="12" xfId="1" applyFont="1" applyFill="1" applyBorder="1" applyAlignment="1">
      <alignment horizontal="left" vertical="top" wrapText="1" indent="1"/>
    </xf>
    <xf numFmtId="0" fontId="5" fillId="2" borderId="18" xfId="2" applyFont="1" applyFill="1" applyBorder="1" applyAlignment="1">
      <alignment horizontal="center" vertical="center" wrapText="1"/>
    </xf>
    <xf numFmtId="0" fontId="5" fillId="2" borderId="16" xfId="2" applyFont="1" applyFill="1" applyBorder="1" applyAlignment="1">
      <alignment horizontal="center"/>
    </xf>
    <xf numFmtId="0" fontId="5" fillId="2" borderId="19" xfId="2" applyFont="1" applyFill="1" applyBorder="1" applyAlignment="1">
      <alignment horizontal="center" wrapText="1"/>
    </xf>
    <xf numFmtId="0" fontId="5" fillId="2" borderId="16" xfId="2" applyFont="1" applyFill="1" applyBorder="1" applyAlignment="1">
      <alignment horizontal="center" vertical="center" wrapText="1"/>
    </xf>
    <xf numFmtId="165" fontId="3" fillId="2" borderId="18" xfId="6" applyNumberFormat="1" applyFont="1" applyFill="1" applyBorder="1" applyAlignment="1">
      <alignment vertical="center" wrapText="1"/>
    </xf>
    <xf numFmtId="165" fontId="3" fillId="2" borderId="16" xfId="6" applyNumberFormat="1" applyFont="1" applyFill="1" applyBorder="1" applyAlignment="1">
      <alignment vertical="center" wrapText="1"/>
    </xf>
    <xf numFmtId="165" fontId="3" fillId="2" borderId="19" xfId="6" applyNumberFormat="1" applyFont="1" applyFill="1" applyBorder="1" applyAlignment="1">
      <alignment vertical="center" wrapText="1"/>
    </xf>
    <xf numFmtId="165" fontId="6" fillId="2" borderId="20" xfId="6" applyNumberFormat="1" applyFont="1" applyFill="1" applyBorder="1" applyAlignment="1">
      <alignment horizontal="right" vertical="center"/>
    </xf>
    <xf numFmtId="165" fontId="6" fillId="2" borderId="0" xfId="6" applyNumberFormat="1" applyFont="1" applyFill="1" applyBorder="1" applyAlignment="1">
      <alignment horizontal="right" vertical="center"/>
    </xf>
    <xf numFmtId="165" fontId="6" fillId="2" borderId="29" xfId="6" applyNumberFormat="1" applyFont="1" applyFill="1" applyBorder="1" applyAlignment="1">
      <alignment horizontal="right" vertical="center"/>
    </xf>
    <xf numFmtId="165" fontId="6" fillId="2" borderId="30" xfId="6" applyNumberFormat="1" applyFont="1" applyFill="1" applyBorder="1" applyAlignment="1">
      <alignment horizontal="right" vertical="center"/>
    </xf>
    <xf numFmtId="165" fontId="6" fillId="2" borderId="2" xfId="6" applyNumberFormat="1" applyFont="1" applyFill="1" applyBorder="1" applyAlignment="1">
      <alignment horizontal="right" vertical="center"/>
    </xf>
    <xf numFmtId="165" fontId="6" fillId="2" borderId="1" xfId="6" applyNumberFormat="1" applyFont="1" applyFill="1" applyBorder="1" applyAlignment="1">
      <alignment horizontal="right" vertical="center"/>
    </xf>
    <xf numFmtId="165" fontId="6" fillId="2" borderId="12" xfId="6" applyNumberFormat="1" applyFont="1" applyFill="1" applyBorder="1" applyAlignment="1">
      <alignment horizontal="right" vertical="center"/>
    </xf>
    <xf numFmtId="165" fontId="6" fillId="2" borderId="4" xfId="6" applyNumberFormat="1" applyFont="1" applyFill="1" applyBorder="1" applyAlignment="1">
      <alignment horizontal="right" vertical="center"/>
    </xf>
    <xf numFmtId="165" fontId="6" fillId="2" borderId="26" xfId="6" applyNumberFormat="1" applyFont="1" applyFill="1" applyBorder="1" applyAlignment="1">
      <alignment horizontal="right" vertical="center"/>
    </xf>
    <xf numFmtId="165" fontId="6" fillId="2" borderId="13" xfId="6" applyNumberFormat="1" applyFont="1" applyFill="1" applyBorder="1" applyAlignment="1">
      <alignment horizontal="right" vertical="center"/>
    </xf>
    <xf numFmtId="165" fontId="6" fillId="2" borderId="24" xfId="6" applyNumberFormat="1" applyFont="1" applyFill="1" applyBorder="1" applyAlignment="1">
      <alignment horizontal="right" vertical="center"/>
    </xf>
    <xf numFmtId="165" fontId="6" fillId="2" borderId="25" xfId="6" applyNumberFormat="1" applyFont="1" applyFill="1" applyBorder="1" applyAlignment="1">
      <alignment horizontal="right" vertical="center"/>
    </xf>
    <xf numFmtId="165" fontId="6" fillId="2" borderId="37" xfId="6" applyNumberFormat="1" applyFont="1" applyFill="1" applyBorder="1" applyAlignment="1">
      <alignment horizontal="right" vertical="center"/>
    </xf>
    <xf numFmtId="165" fontId="6" fillId="2" borderId="38" xfId="6" applyNumberFormat="1" applyFont="1" applyFill="1" applyBorder="1" applyAlignment="1">
      <alignment horizontal="right" vertical="center"/>
    </xf>
    <xf numFmtId="3" fontId="6" fillId="2" borderId="0" xfId="1" applyNumberFormat="1" applyFont="1" applyFill="1" applyAlignment="1">
      <alignment horizontal="right" vertical="center"/>
    </xf>
    <xf numFmtId="3" fontId="6" fillId="2" borderId="29" xfId="6" applyNumberFormat="1" applyFont="1" applyFill="1" applyBorder="1" applyAlignment="1">
      <alignment horizontal="right" vertical="center"/>
    </xf>
    <xf numFmtId="3" fontId="6" fillId="2" borderId="0" xfId="6" applyNumberFormat="1" applyFont="1" applyFill="1" applyBorder="1" applyAlignment="1">
      <alignment horizontal="right" vertical="center"/>
    </xf>
    <xf numFmtId="3" fontId="6" fillId="2" borderId="30" xfId="6" applyNumberFormat="1" applyFont="1" applyFill="1" applyBorder="1" applyAlignment="1">
      <alignment horizontal="right" vertical="center"/>
    </xf>
    <xf numFmtId="3" fontId="6" fillId="2" borderId="13" xfId="6" applyNumberFormat="1" applyFont="1" applyFill="1" applyBorder="1" applyAlignment="1">
      <alignment horizontal="right" vertical="center"/>
    </xf>
    <xf numFmtId="3" fontId="6" fillId="2" borderId="4" xfId="6" applyNumberFormat="1" applyFont="1" applyFill="1" applyBorder="1" applyAlignment="1">
      <alignment horizontal="right" vertical="center"/>
    </xf>
    <xf numFmtId="3" fontId="6" fillId="2" borderId="26" xfId="6" applyNumberFormat="1" applyFont="1" applyFill="1" applyBorder="1" applyAlignment="1">
      <alignment horizontal="right" vertical="center"/>
    </xf>
    <xf numFmtId="3" fontId="6" fillId="2" borderId="36" xfId="6" applyNumberFormat="1" applyFont="1" applyFill="1" applyBorder="1" applyAlignment="1">
      <alignment horizontal="right" vertical="center"/>
    </xf>
    <xf numFmtId="3" fontId="6" fillId="2" borderId="37" xfId="6" applyNumberFormat="1" applyFont="1" applyFill="1" applyBorder="1" applyAlignment="1">
      <alignment horizontal="right" vertical="center"/>
    </xf>
    <xf numFmtId="3" fontId="6" fillId="2" borderId="35" xfId="6" applyNumberFormat="1" applyFont="1" applyFill="1" applyBorder="1" applyAlignment="1">
      <alignment horizontal="right" vertical="center"/>
    </xf>
    <xf numFmtId="3" fontId="6" fillId="2" borderId="23" xfId="1" applyNumberFormat="1" applyFont="1" applyFill="1" applyBorder="1" applyAlignment="1">
      <alignment horizontal="right" vertical="center"/>
    </xf>
    <xf numFmtId="3" fontId="6" fillId="2" borderId="21" xfId="1" applyNumberFormat="1" applyFont="1" applyFill="1" applyBorder="1" applyAlignment="1">
      <alignment horizontal="right" vertical="center"/>
    </xf>
    <xf numFmtId="3" fontId="6" fillId="2" borderId="3" xfId="1" applyNumberFormat="1" applyFont="1" applyFill="1" applyBorder="1" applyAlignment="1">
      <alignment horizontal="right" vertical="center"/>
    </xf>
    <xf numFmtId="3" fontId="6" fillId="2" borderId="23" xfId="4" applyNumberFormat="1" applyFont="1" applyFill="1" applyBorder="1" applyAlignment="1">
      <alignment horizontal="right" vertical="center"/>
    </xf>
    <xf numFmtId="3" fontId="6" fillId="2" borderId="27" xfId="4" applyNumberFormat="1" applyFont="1" applyFill="1" applyBorder="1" applyAlignment="1">
      <alignment horizontal="right" vertical="center"/>
    </xf>
    <xf numFmtId="3" fontId="6" fillId="2" borderId="0" xfId="4" applyNumberFormat="1" applyFont="1" applyFill="1" applyAlignment="1">
      <alignment horizontal="right" vertical="center"/>
    </xf>
    <xf numFmtId="3" fontId="6" fillId="2" borderId="29" xfId="4" applyNumberFormat="1" applyFont="1" applyFill="1" applyBorder="1" applyAlignment="1">
      <alignment horizontal="right" vertical="center"/>
    </xf>
    <xf numFmtId="3" fontId="6" fillId="2" borderId="30" xfId="4" applyNumberFormat="1" applyFont="1" applyFill="1" applyBorder="1" applyAlignment="1">
      <alignment horizontal="right" vertical="center"/>
    </xf>
    <xf numFmtId="3" fontId="6" fillId="2" borderId="32" xfId="1" applyNumberFormat="1" applyFont="1" applyFill="1" applyBorder="1" applyAlignment="1">
      <alignment horizontal="right" vertical="center"/>
    </xf>
    <xf numFmtId="3" fontId="6" fillId="2" borderId="33" xfId="1" applyNumberFormat="1" applyFont="1" applyFill="1" applyBorder="1" applyAlignment="1">
      <alignment horizontal="right" vertical="center"/>
    </xf>
    <xf numFmtId="3" fontId="6" fillId="2" borderId="37" xfId="4" applyNumberFormat="1" applyFont="1" applyFill="1" applyBorder="1" applyAlignment="1">
      <alignment horizontal="right" vertical="center"/>
    </xf>
    <xf numFmtId="3" fontId="6" fillId="2" borderId="35" xfId="4" applyNumberFormat="1" applyFont="1" applyFill="1" applyBorder="1" applyAlignment="1">
      <alignment horizontal="right" vertical="center"/>
    </xf>
    <xf numFmtId="3" fontId="6" fillId="2" borderId="36" xfId="4" applyNumberFormat="1" applyFont="1" applyFill="1" applyBorder="1" applyAlignment="1">
      <alignment horizontal="right" vertical="center"/>
    </xf>
    <xf numFmtId="3" fontId="6" fillId="2" borderId="29" xfId="1" applyNumberFormat="1" applyFont="1" applyFill="1" applyBorder="1" applyAlignment="1">
      <alignment horizontal="right" vertical="center"/>
    </xf>
    <xf numFmtId="3" fontId="6" fillId="2" borderId="30" xfId="1" applyNumberFormat="1" applyFont="1" applyFill="1" applyBorder="1" applyAlignment="1">
      <alignment horizontal="right" vertical="center"/>
    </xf>
    <xf numFmtId="0" fontId="12" fillId="2" borderId="0" xfId="0" applyFont="1" applyFill="1"/>
    <xf numFmtId="165" fontId="7" fillId="2" borderId="34" xfId="6" applyNumberFormat="1" applyFont="1" applyFill="1" applyBorder="1"/>
    <xf numFmtId="165" fontId="6" fillId="2" borderId="21" xfId="6" applyNumberFormat="1" applyFont="1" applyFill="1" applyBorder="1" applyAlignment="1">
      <alignment horizontal="right" vertical="center"/>
    </xf>
    <xf numFmtId="165" fontId="6" fillId="2" borderId="3" xfId="6" applyNumberFormat="1" applyFont="1" applyFill="1" applyBorder="1" applyAlignment="1">
      <alignment horizontal="right" vertical="center"/>
    </xf>
    <xf numFmtId="165" fontId="7" fillId="2" borderId="0" xfId="6" applyNumberFormat="1" applyFont="1" applyFill="1" applyBorder="1"/>
    <xf numFmtId="165" fontId="7" fillId="2" borderId="40" xfId="6" applyNumberFormat="1" applyFont="1" applyFill="1" applyBorder="1"/>
    <xf numFmtId="165" fontId="7" fillId="2" borderId="29" xfId="6" applyNumberFormat="1" applyFont="1" applyFill="1" applyBorder="1"/>
    <xf numFmtId="165" fontId="7" fillId="2" borderId="30" xfId="6" applyNumberFormat="1" applyFont="1" applyFill="1" applyBorder="1"/>
    <xf numFmtId="165" fontId="7" fillId="2" borderId="50" xfId="6" applyNumberFormat="1" applyFont="1" applyFill="1" applyBorder="1"/>
    <xf numFmtId="165" fontId="7" fillId="2" borderId="51" xfId="6" applyNumberFormat="1" applyFont="1" applyFill="1" applyBorder="1"/>
    <xf numFmtId="165" fontId="7" fillId="2" borderId="52" xfId="6" applyNumberFormat="1" applyFont="1" applyFill="1" applyBorder="1"/>
    <xf numFmtId="0" fontId="7" fillId="2" borderId="4" xfId="0" applyFont="1" applyFill="1" applyBorder="1"/>
    <xf numFmtId="165" fontId="7" fillId="2" borderId="4" xfId="6" applyNumberFormat="1" applyFont="1" applyFill="1" applyBorder="1"/>
    <xf numFmtId="165" fontId="7" fillId="2" borderId="26" xfId="6" applyNumberFormat="1" applyFont="1" applyFill="1" applyBorder="1"/>
    <xf numFmtId="165" fontId="7" fillId="2" borderId="13" xfId="6" applyNumberFormat="1" applyFont="1" applyFill="1" applyBorder="1"/>
    <xf numFmtId="3" fontId="6" fillId="2" borderId="39" xfId="1" applyNumberFormat="1" applyFont="1" applyFill="1" applyBorder="1" applyAlignment="1">
      <alignment horizontal="right" vertical="center"/>
    </xf>
    <xf numFmtId="3" fontId="6" fillId="2" borderId="41" xfId="1" applyNumberFormat="1" applyFont="1" applyFill="1" applyBorder="1" applyAlignment="1">
      <alignment horizontal="right" vertical="center"/>
    </xf>
    <xf numFmtId="3" fontId="6" fillId="2" borderId="37" xfId="1" applyNumberFormat="1" applyFont="1" applyFill="1" applyBorder="1" applyAlignment="1">
      <alignment horizontal="right" vertical="center"/>
    </xf>
    <xf numFmtId="165" fontId="6" fillId="2" borderId="41" xfId="6" applyNumberFormat="1" applyFont="1" applyFill="1" applyBorder="1" applyAlignment="1">
      <alignment horizontal="right" vertical="center"/>
    </xf>
    <xf numFmtId="165" fontId="7" fillId="2" borderId="14" xfId="6" applyNumberFormat="1" applyFont="1" applyFill="1" applyBorder="1"/>
    <xf numFmtId="0" fontId="3" fillId="2" borderId="49" xfId="0" applyFont="1" applyFill="1" applyBorder="1" applyAlignment="1">
      <alignment horizontal="center"/>
    </xf>
    <xf numFmtId="3" fontId="6" fillId="2" borderId="22" xfId="1" applyNumberFormat="1" applyFont="1" applyFill="1" applyBorder="1" applyAlignment="1">
      <alignment horizontal="right" vertical="center"/>
    </xf>
    <xf numFmtId="3" fontId="6" fillId="2" borderId="20" xfId="1" applyNumberFormat="1" applyFont="1" applyFill="1" applyBorder="1" applyAlignment="1">
      <alignment horizontal="right" vertical="center"/>
    </xf>
    <xf numFmtId="3" fontId="6" fillId="2" borderId="31" xfId="1" applyNumberFormat="1" applyFont="1" applyFill="1" applyBorder="1" applyAlignment="1">
      <alignment horizontal="right" vertical="center"/>
    </xf>
    <xf numFmtId="3" fontId="6" fillId="2" borderId="53" xfId="1" applyNumberFormat="1" applyFont="1" applyFill="1" applyBorder="1" applyAlignment="1">
      <alignment horizontal="right" vertical="center"/>
    </xf>
    <xf numFmtId="165" fontId="7" fillId="2" borderId="54" xfId="6" applyNumberFormat="1" applyFont="1" applyFill="1" applyBorder="1"/>
    <xf numFmtId="165" fontId="7" fillId="2" borderId="12" xfId="6" applyNumberFormat="1" applyFont="1" applyFill="1" applyBorder="1"/>
    <xf numFmtId="3" fontId="6" fillId="2" borderId="20" xfId="4" applyNumberFormat="1" applyFont="1" applyFill="1" applyBorder="1" applyAlignment="1">
      <alignment horizontal="right" vertical="center"/>
    </xf>
    <xf numFmtId="3" fontId="6" fillId="2" borderId="41" xfId="4" applyNumberFormat="1" applyFont="1" applyFill="1" applyBorder="1" applyAlignment="1">
      <alignment horizontal="right" vertical="center"/>
    </xf>
    <xf numFmtId="3" fontId="6" fillId="2" borderId="55" xfId="4" applyNumberFormat="1" applyFont="1" applyFill="1" applyBorder="1" applyAlignment="1">
      <alignment horizontal="right" vertical="center"/>
    </xf>
    <xf numFmtId="3" fontId="6" fillId="2" borderId="56" xfId="4" applyNumberFormat="1" applyFont="1" applyFill="1" applyBorder="1" applyAlignment="1">
      <alignment horizontal="right" vertical="center"/>
    </xf>
    <xf numFmtId="165" fontId="5" fillId="2" borderId="20" xfId="6" applyNumberFormat="1" applyFont="1" applyFill="1" applyBorder="1" applyAlignment="1">
      <alignment horizontal="left" vertical="top" wrapText="1" indent="1"/>
    </xf>
    <xf numFmtId="165" fontId="5" fillId="2" borderId="20" xfId="6" applyNumberFormat="1" applyFont="1" applyFill="1" applyBorder="1" applyAlignment="1">
      <alignment horizontal="left" indent="1"/>
    </xf>
    <xf numFmtId="165" fontId="5" fillId="2" borderId="20" xfId="6" applyNumberFormat="1" applyFont="1" applyFill="1" applyBorder="1" applyAlignment="1">
      <alignment horizontal="left" vertical="center"/>
    </xf>
    <xf numFmtId="165" fontId="7" fillId="2" borderId="0" xfId="6" applyNumberFormat="1" applyFont="1" applyFill="1"/>
    <xf numFmtId="165" fontId="5" fillId="2" borderId="12" xfId="6" applyNumberFormat="1" applyFont="1" applyFill="1" applyBorder="1" applyAlignment="1">
      <alignment horizontal="left" indent="1"/>
    </xf>
    <xf numFmtId="165" fontId="6" fillId="2" borderId="14" xfId="6" applyNumberFormat="1" applyFont="1" applyFill="1" applyBorder="1" applyAlignment="1">
      <alignment horizontal="right" vertical="center"/>
    </xf>
    <xf numFmtId="165" fontId="7" fillId="2" borderId="41" xfId="6" applyNumberFormat="1" applyFont="1" applyFill="1" applyBorder="1"/>
    <xf numFmtId="165" fontId="7" fillId="2" borderId="20" xfId="6" applyNumberFormat="1" applyFont="1" applyFill="1" applyBorder="1"/>
    <xf numFmtId="165" fontId="7" fillId="2" borderId="28" xfId="6" applyNumberFormat="1" applyFont="1" applyFill="1" applyBorder="1"/>
    <xf numFmtId="165" fontId="7" fillId="2" borderId="27" xfId="6" applyNumberFormat="1" applyFont="1" applyFill="1" applyBorder="1"/>
    <xf numFmtId="3" fontId="7" fillId="2" borderId="0" xfId="0" applyNumberFormat="1" applyFont="1" applyFill="1"/>
    <xf numFmtId="3" fontId="6" fillId="2" borderId="41" xfId="6" applyNumberFormat="1" applyFont="1" applyFill="1" applyBorder="1" applyAlignment="1">
      <alignment horizontal="right" vertical="center"/>
    </xf>
    <xf numFmtId="165" fontId="7" fillId="2" borderId="0" xfId="6" applyNumberFormat="1" applyFont="1" applyFill="1" applyBorder="1" applyAlignment="1">
      <alignment horizontal="left"/>
    </xf>
    <xf numFmtId="165" fontId="7" fillId="2" borderId="4" xfId="6" applyNumberFormat="1" applyFont="1" applyFill="1" applyBorder="1" applyAlignment="1">
      <alignment horizontal="left"/>
    </xf>
    <xf numFmtId="3" fontId="5" fillId="2" borderId="20" xfId="2" applyNumberFormat="1" applyFont="1" applyFill="1" applyBorder="1" applyAlignment="1">
      <alignment horizontal="left" vertical="top" wrapText="1" indent="1"/>
    </xf>
    <xf numFmtId="3" fontId="5" fillId="2" borderId="20" xfId="0" applyNumberFormat="1" applyFont="1" applyFill="1" applyBorder="1" applyAlignment="1">
      <alignment horizontal="left" indent="1"/>
    </xf>
    <xf numFmtId="3" fontId="5" fillId="2" borderId="20" xfId="0" applyNumberFormat="1" applyFont="1" applyFill="1" applyBorder="1" applyAlignment="1">
      <alignment horizontal="left" vertical="center"/>
    </xf>
    <xf numFmtId="3" fontId="6" fillId="2" borderId="3" xfId="6" applyNumberFormat="1" applyFont="1" applyFill="1" applyBorder="1" applyAlignment="1">
      <alignment horizontal="right" vertical="center"/>
    </xf>
    <xf numFmtId="3" fontId="6" fillId="2" borderId="21" xfId="6" applyNumberFormat="1" applyFont="1" applyFill="1" applyBorder="1" applyAlignment="1">
      <alignment horizontal="right" vertical="center"/>
    </xf>
    <xf numFmtId="3" fontId="7" fillId="2" borderId="0" xfId="6" applyNumberFormat="1" applyFont="1" applyFill="1" applyBorder="1"/>
    <xf numFmtId="3" fontId="7" fillId="2" borderId="4" xfId="0" applyNumberFormat="1" applyFont="1" applyFill="1" applyBorder="1"/>
    <xf numFmtId="3" fontId="7" fillId="2" borderId="4" xfId="6" applyNumberFormat="1" applyFont="1" applyFill="1" applyBorder="1"/>
    <xf numFmtId="3" fontId="7" fillId="2" borderId="14" xfId="6" applyNumberFormat="1" applyFont="1" applyFill="1" applyBorder="1"/>
    <xf numFmtId="3" fontId="6" fillId="2" borderId="20" xfId="6" applyNumberFormat="1" applyFont="1" applyFill="1" applyBorder="1" applyAlignment="1">
      <alignment horizontal="right" vertical="center"/>
    </xf>
    <xf numFmtId="3" fontId="7" fillId="2" borderId="12" xfId="6" applyNumberFormat="1" applyFont="1" applyFill="1" applyBorder="1"/>
    <xf numFmtId="165" fontId="3" fillId="2" borderId="17" xfId="6" applyNumberFormat="1" applyFont="1" applyFill="1" applyBorder="1" applyAlignment="1">
      <alignment vertical="center" wrapText="1"/>
    </xf>
    <xf numFmtId="165" fontId="3" fillId="2" borderId="15" xfId="6" applyNumberFormat="1" applyFont="1" applyFill="1" applyBorder="1" applyAlignment="1">
      <alignment vertical="center" wrapText="1"/>
    </xf>
    <xf numFmtId="3" fontId="7" fillId="2" borderId="26" xfId="6" applyNumberFormat="1" applyFont="1" applyFill="1" applyBorder="1"/>
    <xf numFmtId="3" fontId="7" fillId="2" borderId="13" xfId="6" applyNumberFormat="1" applyFont="1" applyFill="1" applyBorder="1"/>
    <xf numFmtId="0" fontId="3" fillId="2" borderId="43" xfId="0" applyFont="1" applyFill="1" applyBorder="1" applyAlignment="1">
      <alignment horizontal="center"/>
    </xf>
    <xf numFmtId="3" fontId="7" fillId="2" borderId="29" xfId="6" applyNumberFormat="1" applyFont="1" applyFill="1" applyBorder="1"/>
    <xf numFmtId="3" fontId="7" fillId="2" borderId="30" xfId="6" applyNumberFormat="1" applyFont="1" applyFill="1" applyBorder="1"/>
    <xf numFmtId="3" fontId="7" fillId="2" borderId="41" xfId="6" applyNumberFormat="1" applyFont="1" applyFill="1" applyBorder="1"/>
    <xf numFmtId="3" fontId="7" fillId="2" borderId="20" xfId="6" applyNumberFormat="1" applyFont="1" applyFill="1" applyBorder="1"/>
    <xf numFmtId="3" fontId="5" fillId="2" borderId="12" xfId="0" applyNumberFormat="1" applyFont="1" applyFill="1" applyBorder="1" applyAlignment="1">
      <alignment horizontal="left" indent="1"/>
    </xf>
    <xf numFmtId="3" fontId="6" fillId="2" borderId="14" xfId="6" applyNumberFormat="1" applyFont="1" applyFill="1" applyBorder="1" applyAlignment="1">
      <alignment horizontal="right" vertical="center"/>
    </xf>
    <xf numFmtId="3" fontId="6" fillId="2" borderId="12" xfId="6" applyNumberFormat="1" applyFont="1" applyFill="1" applyBorder="1" applyAlignment="1">
      <alignment horizontal="right" vertical="center"/>
    </xf>
    <xf numFmtId="0" fontId="5" fillId="2" borderId="15" xfId="2" applyFont="1" applyFill="1" applyBorder="1" applyAlignment="1">
      <alignment horizontal="center" vertical="center" wrapText="1"/>
    </xf>
    <xf numFmtId="165" fontId="7" fillId="2" borderId="0" xfId="0" applyNumberFormat="1" applyFont="1" applyFill="1"/>
    <xf numFmtId="166" fontId="6" fillId="2" borderId="29" xfId="6" applyNumberFormat="1" applyFont="1" applyFill="1" applyBorder="1" applyAlignment="1">
      <alignment horizontal="right" vertical="center"/>
    </xf>
    <xf numFmtId="166" fontId="6" fillId="2" borderId="0" xfId="6" applyNumberFormat="1" applyFont="1" applyFill="1" applyBorder="1" applyAlignment="1">
      <alignment horizontal="right" vertical="center"/>
    </xf>
    <xf numFmtId="166" fontId="6" fillId="2" borderId="30" xfId="6" applyNumberFormat="1" applyFont="1" applyFill="1" applyBorder="1" applyAlignment="1">
      <alignment horizontal="right" vertical="center"/>
    </xf>
    <xf numFmtId="166" fontId="6" fillId="2" borderId="4" xfId="6" applyNumberFormat="1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left" indent="1"/>
    </xf>
    <xf numFmtId="3" fontId="6" fillId="2" borderId="4" xfId="1" applyNumberFormat="1" applyFont="1" applyFill="1" applyBorder="1" applyAlignment="1">
      <alignment horizontal="right" vertical="center"/>
    </xf>
    <xf numFmtId="3" fontId="6" fillId="2" borderId="26" xfId="1" applyNumberFormat="1" applyFont="1" applyFill="1" applyBorder="1" applyAlignment="1">
      <alignment horizontal="right" vertical="center"/>
    </xf>
    <xf numFmtId="3" fontId="6" fillId="2" borderId="13" xfId="1" applyNumberFormat="1" applyFont="1" applyFill="1" applyBorder="1" applyAlignment="1">
      <alignment horizontal="right" vertical="center"/>
    </xf>
    <xf numFmtId="3" fontId="6" fillId="2" borderId="4" xfId="4" applyNumberFormat="1" applyFont="1" applyFill="1" applyBorder="1" applyAlignment="1">
      <alignment horizontal="right" vertical="center"/>
    </xf>
    <xf numFmtId="3" fontId="6" fillId="2" borderId="26" xfId="4" applyNumberFormat="1" applyFont="1" applyFill="1" applyBorder="1" applyAlignment="1">
      <alignment horizontal="right" vertical="center"/>
    </xf>
    <xf numFmtId="3" fontId="6" fillId="2" borderId="14" xfId="1" applyNumberFormat="1" applyFont="1" applyFill="1" applyBorder="1" applyAlignment="1">
      <alignment horizontal="right" vertical="center"/>
    </xf>
    <xf numFmtId="3" fontId="6" fillId="2" borderId="12" xfId="1" applyNumberFormat="1" applyFont="1" applyFill="1" applyBorder="1" applyAlignment="1">
      <alignment horizontal="right" vertical="center"/>
    </xf>
    <xf numFmtId="3" fontId="6" fillId="2" borderId="12" xfId="4" applyNumberFormat="1" applyFont="1" applyFill="1" applyBorder="1" applyAlignment="1">
      <alignment horizontal="right" vertical="center"/>
    </xf>
    <xf numFmtId="3" fontId="6" fillId="2" borderId="14" xfId="4" applyNumberFormat="1" applyFont="1" applyFill="1" applyBorder="1" applyAlignment="1">
      <alignment horizontal="right" vertical="center"/>
    </xf>
    <xf numFmtId="3" fontId="7" fillId="2" borderId="29" xfId="0" applyNumberFormat="1" applyFont="1" applyFill="1" applyBorder="1"/>
    <xf numFmtId="3" fontId="7" fillId="2" borderId="30" xfId="0" applyNumberFormat="1" applyFont="1" applyFill="1" applyBorder="1"/>
    <xf numFmtId="3" fontId="7" fillId="2" borderId="41" xfId="0" applyNumberFormat="1" applyFont="1" applyFill="1" applyBorder="1"/>
    <xf numFmtId="3" fontId="7" fillId="2" borderId="20" xfId="0" applyNumberFormat="1" applyFont="1" applyFill="1" applyBorder="1"/>
    <xf numFmtId="3" fontId="7" fillId="2" borderId="26" xfId="0" applyNumberFormat="1" applyFont="1" applyFill="1" applyBorder="1"/>
    <xf numFmtId="3" fontId="7" fillId="2" borderId="14" xfId="0" applyNumberFormat="1" applyFont="1" applyFill="1" applyBorder="1"/>
    <xf numFmtId="3" fontId="7" fillId="2" borderId="12" xfId="0" applyNumberFormat="1" applyFont="1" applyFill="1" applyBorder="1"/>
    <xf numFmtId="166" fontId="3" fillId="2" borderId="12" xfId="6" applyNumberFormat="1" applyFont="1" applyFill="1" applyBorder="1" applyAlignment="1">
      <alignment vertical="center" wrapText="1"/>
    </xf>
    <xf numFmtId="166" fontId="7" fillId="2" borderId="0" xfId="6" applyNumberFormat="1" applyFont="1" applyFill="1"/>
    <xf numFmtId="166" fontId="5" fillId="2" borderId="20" xfId="6" applyNumberFormat="1" applyFont="1" applyFill="1" applyBorder="1" applyAlignment="1">
      <alignment horizontal="left" vertical="top" wrapText="1" indent="1"/>
    </xf>
    <xf numFmtId="166" fontId="5" fillId="2" borderId="20" xfId="6" applyNumberFormat="1" applyFont="1" applyFill="1" applyBorder="1" applyAlignment="1">
      <alignment horizontal="left" indent="1"/>
    </xf>
    <xf numFmtId="166" fontId="6" fillId="2" borderId="26" xfId="6" applyNumberFormat="1" applyFont="1" applyFill="1" applyBorder="1" applyAlignment="1">
      <alignment horizontal="right" vertical="center"/>
    </xf>
    <xf numFmtId="166" fontId="6" fillId="2" borderId="13" xfId="6" applyNumberFormat="1" applyFont="1" applyFill="1" applyBorder="1" applyAlignment="1">
      <alignment horizontal="right" vertical="center"/>
    </xf>
    <xf numFmtId="166" fontId="5" fillId="2" borderId="20" xfId="6" applyNumberFormat="1" applyFont="1" applyFill="1" applyBorder="1" applyAlignment="1">
      <alignment horizontal="left" vertical="center"/>
    </xf>
    <xf numFmtId="166" fontId="7" fillId="2" borderId="0" xfId="6" applyNumberFormat="1" applyFont="1" applyFill="1" applyBorder="1"/>
    <xf numFmtId="166" fontId="7" fillId="2" borderId="4" xfId="6" applyNumberFormat="1" applyFont="1" applyFill="1" applyBorder="1"/>
    <xf numFmtId="166" fontId="5" fillId="2" borderId="12" xfId="6" applyNumberFormat="1" applyFont="1" applyFill="1" applyBorder="1" applyAlignment="1">
      <alignment horizontal="left" indent="1"/>
    </xf>
    <xf numFmtId="166" fontId="6" fillId="2" borderId="41" xfId="6" applyNumberFormat="1" applyFont="1" applyFill="1" applyBorder="1" applyAlignment="1">
      <alignment horizontal="right" vertical="center"/>
    </xf>
    <xf numFmtId="166" fontId="6" fillId="2" borderId="14" xfId="6" applyNumberFormat="1" applyFont="1" applyFill="1" applyBorder="1" applyAlignment="1">
      <alignment horizontal="right" vertical="center"/>
    </xf>
    <xf numFmtId="166" fontId="7" fillId="2" borderId="41" xfId="6" applyNumberFormat="1" applyFont="1" applyFill="1" applyBorder="1"/>
    <xf numFmtId="166" fontId="7" fillId="2" borderId="14" xfId="6" applyNumberFormat="1" applyFont="1" applyFill="1" applyBorder="1"/>
    <xf numFmtId="166" fontId="6" fillId="2" borderId="20" xfId="6" applyNumberFormat="1" applyFont="1" applyFill="1" applyBorder="1" applyAlignment="1">
      <alignment horizontal="right" vertical="center"/>
    </xf>
    <xf numFmtId="166" fontId="6" fillId="2" borderId="12" xfId="6" applyNumberFormat="1" applyFont="1" applyFill="1" applyBorder="1" applyAlignment="1">
      <alignment horizontal="right" vertical="center"/>
    </xf>
    <xf numFmtId="166" fontId="7" fillId="2" borderId="20" xfId="6" applyNumberFormat="1" applyFont="1" applyFill="1" applyBorder="1"/>
    <xf numFmtId="166" fontId="7" fillId="2" borderId="12" xfId="6" applyNumberFormat="1" applyFont="1" applyFill="1" applyBorder="1"/>
    <xf numFmtId="166" fontId="7" fillId="2" borderId="30" xfId="6" applyNumberFormat="1" applyFont="1" applyFill="1" applyBorder="1"/>
    <xf numFmtId="166" fontId="7" fillId="2" borderId="13" xfId="6" applyNumberFormat="1" applyFont="1" applyFill="1" applyBorder="1"/>
    <xf numFmtId="166" fontId="7" fillId="2" borderId="29" xfId="6" applyNumberFormat="1" applyFont="1" applyFill="1" applyBorder="1"/>
    <xf numFmtId="166" fontId="7" fillId="2" borderId="26" xfId="6" applyNumberFormat="1" applyFont="1" applyFill="1" applyBorder="1"/>
    <xf numFmtId="0" fontId="3" fillId="2" borderId="43" xfId="2" applyFont="1" applyFill="1" applyBorder="1" applyAlignment="1">
      <alignment horizontal="center" vertical="center" wrapText="1"/>
    </xf>
    <xf numFmtId="3" fontId="3" fillId="2" borderId="16" xfId="3" applyNumberFormat="1" applyFont="1" applyFill="1" applyBorder="1" applyAlignment="1">
      <alignment vertical="center" wrapText="1"/>
    </xf>
    <xf numFmtId="3" fontId="3" fillId="2" borderId="15" xfId="3" applyNumberFormat="1" applyFont="1" applyFill="1" applyBorder="1" applyAlignment="1">
      <alignment vertical="center" wrapText="1"/>
    </xf>
    <xf numFmtId="3" fontId="9" fillId="2" borderId="0" xfId="0" applyNumberFormat="1" applyFont="1" applyFill="1"/>
    <xf numFmtId="165" fontId="5" fillId="2" borderId="47" xfId="6" applyNumberFormat="1" applyFont="1" applyFill="1" applyBorder="1" applyAlignment="1">
      <alignment horizontal="left" indent="1"/>
    </xf>
    <xf numFmtId="0" fontId="7" fillId="2" borderId="20" xfId="0" applyFont="1" applyFill="1" applyBorder="1"/>
    <xf numFmtId="3" fontId="6" fillId="2" borderId="35" xfId="1" applyNumberFormat="1" applyFont="1" applyFill="1" applyBorder="1" applyAlignment="1">
      <alignment horizontal="right" vertical="center"/>
    </xf>
    <xf numFmtId="0" fontId="7" fillId="2" borderId="23" xfId="0" applyFont="1" applyFill="1" applyBorder="1"/>
    <xf numFmtId="0" fontId="5" fillId="2" borderId="23" xfId="2" applyFont="1" applyFill="1" applyBorder="1" applyAlignment="1">
      <alignment horizontal="center" wrapText="1"/>
    </xf>
    <xf numFmtId="0" fontId="5" fillId="2" borderId="28" xfId="2" applyFont="1" applyFill="1" applyBorder="1" applyAlignment="1">
      <alignment horizontal="center" wrapText="1"/>
    </xf>
    <xf numFmtId="165" fontId="9" fillId="2" borderId="0" xfId="0" applyNumberFormat="1" applyFont="1" applyFill="1"/>
    <xf numFmtId="3" fontId="7" fillId="2" borderId="28" xfId="0" applyNumberFormat="1" applyFont="1" applyFill="1" applyBorder="1"/>
    <xf numFmtId="3" fontId="7" fillId="2" borderId="23" xfId="0" applyNumberFormat="1" applyFont="1" applyFill="1" applyBorder="1"/>
    <xf numFmtId="166" fontId="7" fillId="2" borderId="0" xfId="0" applyNumberFormat="1" applyFont="1" applyFill="1"/>
    <xf numFmtId="0" fontId="5" fillId="2" borderId="0" xfId="2" applyFont="1" applyFill="1" applyAlignment="1">
      <alignment horizontal="center" wrapText="1"/>
    </xf>
    <xf numFmtId="165" fontId="3" fillId="2" borderId="23" xfId="3" applyNumberFormat="1" applyFont="1" applyFill="1" applyBorder="1" applyAlignment="1">
      <alignment vertical="center" wrapText="1"/>
    </xf>
    <xf numFmtId="0" fontId="5" fillId="2" borderId="27" xfId="2" applyFont="1" applyFill="1" applyBorder="1" applyAlignment="1">
      <alignment horizontal="center"/>
    </xf>
    <xf numFmtId="0" fontId="5" fillId="2" borderId="41" xfId="2" applyFont="1" applyFill="1" applyBorder="1" applyAlignment="1">
      <alignment horizontal="center" wrapText="1"/>
    </xf>
    <xf numFmtId="3" fontId="7" fillId="2" borderId="27" xfId="0" applyNumberFormat="1" applyFont="1" applyFill="1" applyBorder="1"/>
    <xf numFmtId="165" fontId="5" fillId="2" borderId="0" xfId="3" applyNumberFormat="1" applyFont="1" applyFill="1" applyBorder="1" applyAlignment="1">
      <alignment vertical="center" wrapText="1"/>
    </xf>
    <xf numFmtId="165" fontId="7" fillId="2" borderId="23" xfId="0" applyNumberFormat="1" applyFont="1" applyFill="1" applyBorder="1"/>
    <xf numFmtId="165" fontId="5" fillId="2" borderId="23" xfId="3" applyNumberFormat="1" applyFont="1" applyFill="1" applyBorder="1" applyAlignment="1">
      <alignment vertical="center" wrapText="1"/>
    </xf>
    <xf numFmtId="166" fontId="3" fillId="2" borderId="16" xfId="3" applyNumberFormat="1" applyFont="1" applyFill="1" applyBorder="1" applyAlignment="1">
      <alignment vertical="center" wrapText="1"/>
    </xf>
    <xf numFmtId="165" fontId="5" fillId="2" borderId="29" xfId="3" applyNumberFormat="1" applyFont="1" applyFill="1" applyBorder="1" applyAlignment="1">
      <alignment vertical="center" wrapText="1"/>
    </xf>
    <xf numFmtId="165" fontId="5" fillId="2" borderId="27" xfId="3" applyNumberFormat="1" applyFont="1" applyFill="1" applyBorder="1" applyAlignment="1">
      <alignment vertical="center" wrapText="1"/>
    </xf>
    <xf numFmtId="165" fontId="5" fillId="2" borderId="26" xfId="3" applyNumberFormat="1" applyFont="1" applyFill="1" applyBorder="1" applyAlignment="1">
      <alignment vertical="center" wrapText="1"/>
    </xf>
    <xf numFmtId="3" fontId="3" fillId="2" borderId="23" xfId="3" applyNumberFormat="1" applyFont="1" applyFill="1" applyBorder="1" applyAlignment="1">
      <alignment vertical="center" wrapText="1"/>
    </xf>
    <xf numFmtId="3" fontId="5" fillId="2" borderId="0" xfId="3" applyNumberFormat="1" applyFont="1" applyFill="1" applyBorder="1" applyAlignment="1">
      <alignment vertical="center" wrapText="1"/>
    </xf>
    <xf numFmtId="3" fontId="5" fillId="2" borderId="4" xfId="3" applyNumberFormat="1" applyFont="1" applyFill="1" applyBorder="1" applyAlignment="1">
      <alignment vertical="center" wrapText="1"/>
    </xf>
    <xf numFmtId="3" fontId="5" fillId="2" borderId="23" xfId="3" applyNumberFormat="1" applyFont="1" applyFill="1" applyBorder="1" applyAlignment="1">
      <alignment vertical="center" wrapText="1"/>
    </xf>
    <xf numFmtId="3" fontId="5" fillId="2" borderId="27" xfId="3" applyNumberFormat="1" applyFont="1" applyFill="1" applyBorder="1" applyAlignment="1">
      <alignment vertical="center" wrapText="1"/>
    </xf>
    <xf numFmtId="3" fontId="5" fillId="2" borderId="29" xfId="3" applyNumberFormat="1" applyFont="1" applyFill="1" applyBorder="1" applyAlignment="1">
      <alignment vertical="center" wrapText="1"/>
    </xf>
    <xf numFmtId="3" fontId="5" fillId="2" borderId="26" xfId="3" applyNumberFormat="1" applyFont="1" applyFill="1" applyBorder="1" applyAlignment="1">
      <alignment vertical="center" wrapText="1"/>
    </xf>
    <xf numFmtId="3" fontId="6" fillId="2" borderId="28" xfId="1" applyNumberFormat="1" applyFont="1" applyFill="1" applyBorder="1" applyAlignment="1">
      <alignment horizontal="right" vertical="center"/>
    </xf>
    <xf numFmtId="165" fontId="3" fillId="2" borderId="27" xfId="3" applyNumberFormat="1" applyFont="1" applyFill="1" applyBorder="1" applyAlignment="1">
      <alignment vertical="center" wrapText="1"/>
    </xf>
    <xf numFmtId="165" fontId="3" fillId="2" borderId="19" xfId="3" applyNumberFormat="1" applyFont="1" applyFill="1" applyBorder="1" applyAlignment="1">
      <alignment vertical="center" wrapText="1"/>
    </xf>
    <xf numFmtId="0" fontId="3" fillId="2" borderId="44" xfId="2" applyFont="1" applyFill="1" applyBorder="1" applyAlignment="1">
      <alignment vertical="center" wrapText="1"/>
    </xf>
    <xf numFmtId="166" fontId="3" fillId="2" borderId="16" xfId="6" applyNumberFormat="1" applyFont="1" applyFill="1" applyBorder="1" applyAlignment="1">
      <alignment vertical="center" wrapText="1"/>
    </xf>
    <xf numFmtId="166" fontId="3" fillId="2" borderId="17" xfId="6" applyNumberFormat="1" applyFont="1" applyFill="1" applyBorder="1" applyAlignment="1">
      <alignment vertical="center" wrapText="1"/>
    </xf>
    <xf numFmtId="166" fontId="3" fillId="2" borderId="19" xfId="6" applyNumberFormat="1" applyFont="1" applyFill="1" applyBorder="1" applyAlignment="1">
      <alignment vertical="center" wrapText="1"/>
    </xf>
    <xf numFmtId="3" fontId="3" fillId="2" borderId="19" xfId="3" applyNumberFormat="1" applyFont="1" applyFill="1" applyBorder="1" applyAlignment="1">
      <alignment vertical="center" wrapText="1"/>
    </xf>
    <xf numFmtId="3" fontId="3" fillId="2" borderId="17" xfId="3" applyNumberFormat="1" applyFont="1" applyFill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2" borderId="42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0" fontId="8" fillId="2" borderId="12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57" xfId="2" applyFont="1" applyFill="1" applyBorder="1" applyAlignment="1">
      <alignment horizontal="center" vertical="center" wrapText="1"/>
    </xf>
    <xf numFmtId="0" fontId="3" fillId="2" borderId="47" xfId="2" applyFont="1" applyFill="1" applyBorder="1" applyAlignment="1">
      <alignment horizontal="center" vertical="center" wrapText="1"/>
    </xf>
  </cellXfs>
  <cellStyles count="7">
    <cellStyle name="Normal" xfId="0" builtinId="0"/>
    <cellStyle name="Normal 5" xfId="5" xr:uid="{00000000-0005-0000-0000-000001000000}"/>
    <cellStyle name="Normal_2027_1" xfId="4" xr:uid="{00000000-0005-0000-0000-000003000000}"/>
    <cellStyle name="Normal_Folha1" xfId="1" xr:uid="{00000000-0005-0000-0000-000004000000}"/>
    <cellStyle name="Normal_Folha3 2" xfId="2" xr:uid="{00000000-0005-0000-0000-000005000000}"/>
    <cellStyle name="Vírgula" xfId="6" builtinId="3"/>
    <cellStyle name="Vírgula 2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5"/>
  <sheetViews>
    <sheetView workbookViewId="0">
      <selection activeCell="G36" sqref="G36"/>
    </sheetView>
  </sheetViews>
  <sheetFormatPr defaultRowHeight="15" x14ac:dyDescent="0.25"/>
  <cols>
    <col min="1" max="1" width="12.7109375" style="16" customWidth="1"/>
    <col min="2" max="7" width="9.85546875" style="16" bestFit="1" customWidth="1"/>
    <col min="8" max="10" width="9.5703125" style="16" bestFit="1" customWidth="1"/>
    <col min="11" max="16" width="9.85546875" style="16" bestFit="1" customWidth="1"/>
    <col min="17" max="19" width="9.5703125" style="16" bestFit="1" customWidth="1"/>
    <col min="20" max="25" width="9.85546875" style="16" bestFit="1" customWidth="1"/>
    <col min="26" max="28" width="9.5703125" style="16" bestFit="1" customWidth="1"/>
    <col min="29" max="16384" width="9.140625" style="16"/>
  </cols>
  <sheetData>
    <row r="1" spans="1:28" ht="15.75" customHeight="1" thickBot="1" x14ac:dyDescent="0.3">
      <c r="A1" s="283" t="s">
        <v>87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</row>
    <row r="2" spans="1:28" ht="15.75" customHeight="1" x14ac:dyDescent="0.25">
      <c r="A2" s="284" t="s">
        <v>66</v>
      </c>
      <c r="B2" s="285"/>
      <c r="C2" s="285"/>
      <c r="D2" s="285"/>
      <c r="E2" s="285"/>
      <c r="F2" s="285"/>
      <c r="G2" s="285"/>
      <c r="H2" s="285"/>
      <c r="I2" s="285"/>
      <c r="J2" s="286"/>
      <c r="K2" s="284" t="s">
        <v>67</v>
      </c>
      <c r="L2" s="285"/>
      <c r="M2" s="285"/>
      <c r="N2" s="285"/>
      <c r="O2" s="285"/>
      <c r="P2" s="285"/>
      <c r="Q2" s="285"/>
      <c r="R2" s="285"/>
      <c r="S2" s="286"/>
      <c r="T2" s="284" t="s">
        <v>68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3">
      <c r="A3" s="287" t="s">
        <v>55</v>
      </c>
      <c r="B3" s="17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7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7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8" ht="15.75" customHeight="1" thickBot="1" x14ac:dyDescent="0.3">
      <c r="A4" s="288"/>
      <c r="B4" s="80" t="s">
        <v>1</v>
      </c>
      <c r="C4" s="5" t="s">
        <v>34</v>
      </c>
      <c r="D4" s="6" t="s">
        <v>35</v>
      </c>
      <c r="E4" s="81" t="s">
        <v>1</v>
      </c>
      <c r="F4" s="5" t="s">
        <v>34</v>
      </c>
      <c r="G4" s="6" t="s">
        <v>35</v>
      </c>
      <c r="H4" s="81" t="s">
        <v>1</v>
      </c>
      <c r="I4" s="5" t="s">
        <v>34</v>
      </c>
      <c r="J4" s="82" t="s">
        <v>35</v>
      </c>
      <c r="K4" s="83" t="s">
        <v>1</v>
      </c>
      <c r="L4" s="5" t="s">
        <v>34</v>
      </c>
      <c r="M4" s="5" t="s">
        <v>35</v>
      </c>
      <c r="N4" s="4" t="s">
        <v>1</v>
      </c>
      <c r="O4" s="5" t="s">
        <v>34</v>
      </c>
      <c r="P4" s="6" t="s">
        <v>35</v>
      </c>
      <c r="Q4" s="81" t="s">
        <v>1</v>
      </c>
      <c r="R4" s="5" t="s">
        <v>34</v>
      </c>
      <c r="S4" s="82" t="s">
        <v>35</v>
      </c>
      <c r="T4" s="83" t="s">
        <v>1</v>
      </c>
      <c r="U4" s="5" t="s">
        <v>34</v>
      </c>
      <c r="V4" s="5" t="s">
        <v>35</v>
      </c>
      <c r="W4" s="4" t="s">
        <v>1</v>
      </c>
      <c r="X4" s="5" t="s">
        <v>34</v>
      </c>
      <c r="Y4" s="6" t="s">
        <v>35</v>
      </c>
      <c r="Z4" s="81" t="s">
        <v>1</v>
      </c>
      <c r="AA4" s="5" t="s">
        <v>34</v>
      </c>
      <c r="AB4" s="82" t="s">
        <v>35</v>
      </c>
    </row>
    <row r="5" spans="1:28" ht="15.75" customHeight="1" thickBot="1" x14ac:dyDescent="0.3">
      <c r="A5" s="7" t="s">
        <v>56</v>
      </c>
      <c r="B5" s="84">
        <f>+B6+B7+B8+B9+B10+B11+B12+B13+B14</f>
        <v>835952.54063945159</v>
      </c>
      <c r="C5" s="85">
        <f t="shared" ref="C5:AB5" si="0">+C6+C7+C8+C9+C10+C11+C12+C13+C14</f>
        <v>409782.73399577971</v>
      </c>
      <c r="D5" s="182">
        <f t="shared" si="0"/>
        <v>426169.80664393236</v>
      </c>
      <c r="E5" s="85">
        <f t="shared" si="0"/>
        <v>552561.69246973842</v>
      </c>
      <c r="F5" s="85">
        <f t="shared" si="0"/>
        <v>268638.51090417581</v>
      </c>
      <c r="G5" s="85">
        <f t="shared" si="0"/>
        <v>283923.1815657753</v>
      </c>
      <c r="H5" s="183">
        <f t="shared" si="0"/>
        <v>283390.84816973901</v>
      </c>
      <c r="I5" s="85">
        <f t="shared" si="0"/>
        <v>141144.22309159758</v>
      </c>
      <c r="J5" s="86">
        <f t="shared" si="0"/>
        <v>142246.62507815246</v>
      </c>
      <c r="K5" s="85">
        <f t="shared" si="0"/>
        <v>864150.70281520544</v>
      </c>
      <c r="L5" s="85">
        <f t="shared" si="0"/>
        <v>423605.43256827618</v>
      </c>
      <c r="M5" s="85">
        <f t="shared" si="0"/>
        <v>440545.27024751029</v>
      </c>
      <c r="N5" s="183">
        <f t="shared" si="0"/>
        <v>571200.57860131084</v>
      </c>
      <c r="O5" s="85">
        <f t="shared" si="0"/>
        <v>277700.16444195306</v>
      </c>
      <c r="P5" s="85">
        <f t="shared" si="0"/>
        <v>293500.4141599682</v>
      </c>
      <c r="Q5" s="85">
        <f t="shared" si="0"/>
        <v>292950.12421390292</v>
      </c>
      <c r="R5" s="85">
        <f t="shared" si="0"/>
        <v>145905.26812632184</v>
      </c>
      <c r="S5" s="86">
        <f t="shared" si="0"/>
        <v>147044.85608754228</v>
      </c>
      <c r="T5" s="85">
        <f t="shared" si="0"/>
        <v>893214.06035156571</v>
      </c>
      <c r="U5" s="85">
        <f t="shared" si="0"/>
        <v>437852.24866215797</v>
      </c>
      <c r="V5" s="85">
        <f t="shared" si="0"/>
        <v>455361.81168843817</v>
      </c>
      <c r="W5" s="183">
        <f t="shared" si="0"/>
        <v>590411.35582706018</v>
      </c>
      <c r="X5" s="85">
        <f t="shared" si="0"/>
        <v>287039.85385063471</v>
      </c>
      <c r="Y5" s="85">
        <f t="shared" si="0"/>
        <v>303371.50197543821</v>
      </c>
      <c r="Z5" s="183">
        <f t="shared" si="0"/>
        <v>302802.70452449168</v>
      </c>
      <c r="AA5" s="85">
        <f t="shared" si="0"/>
        <v>150812.39481151357</v>
      </c>
      <c r="AB5" s="86">
        <f t="shared" si="0"/>
        <v>151990.30971299237</v>
      </c>
    </row>
    <row r="6" spans="1:28" ht="15.75" customHeight="1" x14ac:dyDescent="0.25">
      <c r="A6" s="77" t="s">
        <v>0</v>
      </c>
      <c r="B6" s="87">
        <v>354574.43526372721</v>
      </c>
      <c r="C6" s="88">
        <v>171428.63546552433</v>
      </c>
      <c r="D6" s="88">
        <v>183145.79979835745</v>
      </c>
      <c r="E6" s="89">
        <v>351310.83264395024</v>
      </c>
      <c r="F6" s="88">
        <v>169701.84720453495</v>
      </c>
      <c r="G6" s="90">
        <v>181608.98543956431</v>
      </c>
      <c r="H6" s="88">
        <v>3263.6026197814149</v>
      </c>
      <c r="I6" s="88">
        <v>1726.7882609882615</v>
      </c>
      <c r="J6" s="91">
        <v>1536.8143587931481</v>
      </c>
      <c r="K6" s="92">
        <v>366534.85998023651</v>
      </c>
      <c r="L6" s="88">
        <v>177211.22745446055</v>
      </c>
      <c r="M6" s="88">
        <v>189323.63252648432</v>
      </c>
      <c r="N6" s="89">
        <v>363161.17025448213</v>
      </c>
      <c r="O6" s="88">
        <v>175426.19156210229</v>
      </c>
      <c r="P6" s="90">
        <v>187734.97869305589</v>
      </c>
      <c r="Q6" s="88">
        <v>3373.6897257776814</v>
      </c>
      <c r="R6" s="88">
        <v>1785.0358923537494</v>
      </c>
      <c r="S6" s="91">
        <v>1588.6538334238992</v>
      </c>
      <c r="T6" s="92">
        <v>378862.26265571936</v>
      </c>
      <c r="U6" s="88">
        <v>183171.24489795524</v>
      </c>
      <c r="V6" s="88">
        <v>195691.017756724</v>
      </c>
      <c r="W6" s="89">
        <v>375375.10805580462</v>
      </c>
      <c r="X6" s="88">
        <v>181326.17418044049</v>
      </c>
      <c r="Y6" s="90">
        <v>194048.93387433566</v>
      </c>
      <c r="Z6" s="88">
        <v>3487.1545998944512</v>
      </c>
      <c r="AA6" s="88">
        <v>1845.0707175104476</v>
      </c>
      <c r="AB6" s="91">
        <v>1642.0838823840645</v>
      </c>
    </row>
    <row r="7" spans="1:28" ht="15.75" customHeight="1" x14ac:dyDescent="0.25">
      <c r="A7" s="78" t="s">
        <v>24</v>
      </c>
      <c r="B7" s="87">
        <v>126687.95305702857</v>
      </c>
      <c r="C7" s="88">
        <v>63519.341364190062</v>
      </c>
      <c r="D7" s="88">
        <v>63168.611692917293</v>
      </c>
      <c r="E7" s="89">
        <v>119303.15936718645</v>
      </c>
      <c r="F7" s="88">
        <v>59613.249361268965</v>
      </c>
      <c r="G7" s="90">
        <v>59689.91000598314</v>
      </c>
      <c r="H7" s="88">
        <v>7384.7936898513999</v>
      </c>
      <c r="I7" s="88">
        <v>3906.0920029191448</v>
      </c>
      <c r="J7" s="91">
        <v>3478.7016869325703</v>
      </c>
      <c r="K7" s="92">
        <v>130961.36245817934</v>
      </c>
      <c r="L7" s="88">
        <v>65661.961431691539</v>
      </c>
      <c r="M7" s="88">
        <v>65299.40102641438</v>
      </c>
      <c r="N7" s="89">
        <v>123327.46657653729</v>
      </c>
      <c r="O7" s="88">
        <v>61624.110016108621</v>
      </c>
      <c r="P7" s="90">
        <v>61703.356560366512</v>
      </c>
      <c r="Q7" s="88">
        <v>7633.8958816345694</v>
      </c>
      <c r="R7" s="88">
        <v>4037.8514155848143</v>
      </c>
      <c r="S7" s="91">
        <v>3596.0444660495941</v>
      </c>
      <c r="T7" s="92">
        <v>135365.89153851056</v>
      </c>
      <c r="U7" s="88">
        <v>67870.322838263004</v>
      </c>
      <c r="V7" s="88">
        <v>67495.568700281699</v>
      </c>
      <c r="W7" s="89">
        <v>127475.2503407218</v>
      </c>
      <c r="X7" s="88">
        <v>63696.669277310401</v>
      </c>
      <c r="Y7" s="90">
        <v>63778.581063454818</v>
      </c>
      <c r="Z7" s="88">
        <v>7890.6411977826274</v>
      </c>
      <c r="AA7" s="88">
        <v>4173.6535609543262</v>
      </c>
      <c r="AB7" s="91">
        <v>3716.9876368281889</v>
      </c>
    </row>
    <row r="8" spans="1:28" ht="15.75" customHeight="1" x14ac:dyDescent="0.25">
      <c r="A8" s="78" t="s">
        <v>25</v>
      </c>
      <c r="B8" s="87">
        <v>122255.31013286886</v>
      </c>
      <c r="C8" s="88">
        <v>58758.91312061702</v>
      </c>
      <c r="D8" s="88">
        <v>63496.397012302405</v>
      </c>
      <c r="E8" s="89">
        <v>28928.382585134765</v>
      </c>
      <c r="F8" s="88">
        <v>13577.348015834375</v>
      </c>
      <c r="G8" s="90">
        <v>15351.034569302443</v>
      </c>
      <c r="H8" s="88">
        <v>93326.92754775667</v>
      </c>
      <c r="I8" s="88">
        <v>45181.565104778201</v>
      </c>
      <c r="J8" s="91">
        <v>48145.362442995633</v>
      </c>
      <c r="K8" s="92">
        <v>126379.1986246649</v>
      </c>
      <c r="L8" s="88">
        <v>60740.955498472096</v>
      </c>
      <c r="M8" s="88">
        <v>65638.243126115311</v>
      </c>
      <c r="N8" s="89">
        <v>29904.188248686532</v>
      </c>
      <c r="O8" s="88">
        <v>14035.336050622536</v>
      </c>
      <c r="P8" s="90">
        <v>15868.852198058548</v>
      </c>
      <c r="Q8" s="88">
        <v>96475.010375950878</v>
      </c>
      <c r="R8" s="88">
        <v>46705.6194478537</v>
      </c>
      <c r="S8" s="91">
        <v>49769.390928062559</v>
      </c>
      <c r="T8" s="92">
        <v>130629.61909251181</v>
      </c>
      <c r="U8" s="88">
        <v>62783.812260538311</v>
      </c>
      <c r="V8" s="88">
        <v>67845.80683201892</v>
      </c>
      <c r="W8" s="89">
        <v>30909.934251127412</v>
      </c>
      <c r="X8" s="88">
        <v>14507.376388535917</v>
      </c>
      <c r="Y8" s="90">
        <v>16402.55786259357</v>
      </c>
      <c r="Z8" s="88">
        <v>99719.684841400973</v>
      </c>
      <c r="AA8" s="88">
        <v>48276.435871995498</v>
      </c>
      <c r="AB8" s="91">
        <v>51443.248969421431</v>
      </c>
    </row>
    <row r="9" spans="1:28" ht="15.75" customHeight="1" x14ac:dyDescent="0.25">
      <c r="A9" s="78" t="s">
        <v>26</v>
      </c>
      <c r="B9" s="87">
        <v>55374.62209084873</v>
      </c>
      <c r="C9" s="88">
        <v>27931.917371576495</v>
      </c>
      <c r="D9" s="88">
        <v>27442.704719260139</v>
      </c>
      <c r="E9" s="89">
        <v>2606.1322181619303</v>
      </c>
      <c r="F9" s="88">
        <v>1259.1411398940011</v>
      </c>
      <c r="G9" s="90">
        <v>1346.9910782679126</v>
      </c>
      <c r="H9" s="88">
        <v>52768.489872686187</v>
      </c>
      <c r="I9" s="88">
        <v>26672.776231682292</v>
      </c>
      <c r="J9" s="91">
        <v>26095.713640992206</v>
      </c>
      <c r="K9" s="92">
        <v>57242.506328533236</v>
      </c>
      <c r="L9" s="88">
        <v>28874.110495744801</v>
      </c>
      <c r="M9" s="88">
        <v>28368.395832802024</v>
      </c>
      <c r="N9" s="89">
        <v>2694.0416811590685</v>
      </c>
      <c r="O9" s="88">
        <v>1301.6142042590029</v>
      </c>
      <c r="P9" s="90">
        <v>1392.4274769000563</v>
      </c>
      <c r="Q9" s="88">
        <v>54548.464647376109</v>
      </c>
      <c r="R9" s="88">
        <v>27572.496291485277</v>
      </c>
      <c r="S9" s="91">
        <v>26975.968355901889</v>
      </c>
      <c r="T9" s="92">
        <v>59167.702272046045</v>
      </c>
      <c r="U9" s="88">
        <v>29845.212635808417</v>
      </c>
      <c r="V9" s="88">
        <v>29322.489636227205</v>
      </c>
      <c r="W9" s="89">
        <v>2784.6484426174507</v>
      </c>
      <c r="X9" s="88">
        <v>1345.3904563270203</v>
      </c>
      <c r="Y9" s="90">
        <v>1439.2579862904363</v>
      </c>
      <c r="Z9" s="88">
        <v>56383.053829426579</v>
      </c>
      <c r="AA9" s="88">
        <v>28499.822179481605</v>
      </c>
      <c r="AB9" s="91">
        <v>27883.231649937323</v>
      </c>
    </row>
    <row r="10" spans="1:28" ht="15.75" customHeight="1" x14ac:dyDescent="0.25">
      <c r="A10" s="78" t="s">
        <v>27</v>
      </c>
      <c r="B10" s="87">
        <v>43117.318837382401</v>
      </c>
      <c r="C10" s="88">
        <v>20970.27422741356</v>
      </c>
      <c r="D10" s="88">
        <v>22147.044609966491</v>
      </c>
      <c r="E10" s="89">
        <v>7577.5038800496159</v>
      </c>
      <c r="F10" s="88">
        <v>3658.4282520065281</v>
      </c>
      <c r="G10" s="90">
        <v>3919.0756280435176</v>
      </c>
      <c r="H10" s="88">
        <v>35539.814957329902</v>
      </c>
      <c r="I10" s="88">
        <v>17311.845975407476</v>
      </c>
      <c r="J10" s="91">
        <v>18227.968981923404</v>
      </c>
      <c r="K10" s="92">
        <v>44571.742491886369</v>
      </c>
      <c r="L10" s="88">
        <v>21677.638778371092</v>
      </c>
      <c r="M10" s="88">
        <v>22894.103713518449</v>
      </c>
      <c r="N10" s="89">
        <v>7833.1065284161814</v>
      </c>
      <c r="O10" s="88">
        <v>3781.8335269984</v>
      </c>
      <c r="P10" s="90">
        <v>4051.2730014175713</v>
      </c>
      <c r="Q10" s="88">
        <v>36738.635963474109</v>
      </c>
      <c r="R10" s="88">
        <v>17895.805251371476</v>
      </c>
      <c r="S10" s="91">
        <v>18842.830712099487</v>
      </c>
      <c r="T10" s="92">
        <v>46070.791770890959</v>
      </c>
      <c r="U10" s="88">
        <v>22406.707173823466</v>
      </c>
      <c r="V10" s="88">
        <v>23664.084597062847</v>
      </c>
      <c r="W10" s="89">
        <v>8096.5517526163885</v>
      </c>
      <c r="X10" s="88">
        <v>3909.0252073099532</v>
      </c>
      <c r="Y10" s="90">
        <v>4187.5265453063894</v>
      </c>
      <c r="Z10" s="88">
        <v>37974.240018270677</v>
      </c>
      <c r="AA10" s="88">
        <v>18497.681966514552</v>
      </c>
      <c r="AB10" s="91">
        <v>19476.558051757569</v>
      </c>
    </row>
    <row r="11" spans="1:28" ht="15.75" customHeight="1" x14ac:dyDescent="0.25">
      <c r="A11" s="78" t="s">
        <v>28</v>
      </c>
      <c r="B11" s="87">
        <v>29057.948143178961</v>
      </c>
      <c r="C11" s="88">
        <v>15409.768262693071</v>
      </c>
      <c r="D11" s="88">
        <v>13648.179880487016</v>
      </c>
      <c r="E11" s="196">
        <v>0</v>
      </c>
      <c r="F11" s="197">
        <v>0</v>
      </c>
      <c r="G11" s="198">
        <v>0</v>
      </c>
      <c r="H11" s="88">
        <v>29057.948143178961</v>
      </c>
      <c r="I11" s="88">
        <v>15409.768262693071</v>
      </c>
      <c r="J11" s="91">
        <v>13648.179880487016</v>
      </c>
      <c r="K11" s="92">
        <v>30038.124282850651</v>
      </c>
      <c r="L11" s="88">
        <v>15929.567083121423</v>
      </c>
      <c r="M11" s="88">
        <v>14108.557199726305</v>
      </c>
      <c r="N11" s="102">
        <v>0</v>
      </c>
      <c r="O11" s="103">
        <v>0</v>
      </c>
      <c r="P11" s="103">
        <v>0</v>
      </c>
      <c r="Q11" s="89">
        <v>30038.124282850651</v>
      </c>
      <c r="R11" s="88">
        <v>15929.567083121423</v>
      </c>
      <c r="S11" s="91">
        <v>14108.557199726305</v>
      </c>
      <c r="T11" s="92">
        <v>31048.374859361989</v>
      </c>
      <c r="U11" s="88">
        <v>16465.314727609592</v>
      </c>
      <c r="V11" s="88">
        <v>14583.060131754542</v>
      </c>
      <c r="W11" s="102">
        <v>0</v>
      </c>
      <c r="X11" s="103">
        <v>0</v>
      </c>
      <c r="Y11" s="103">
        <v>0</v>
      </c>
      <c r="Z11" s="89">
        <v>31048.374859361989</v>
      </c>
      <c r="AA11" s="88">
        <v>16465.314727609592</v>
      </c>
      <c r="AB11" s="91">
        <v>14583.060131754542</v>
      </c>
    </row>
    <row r="12" spans="1:28" ht="15.75" customHeight="1" x14ac:dyDescent="0.25">
      <c r="A12" s="78" t="s">
        <v>29</v>
      </c>
      <c r="B12" s="87">
        <v>32872.80708649187</v>
      </c>
      <c r="C12" s="88">
        <v>16086.866355868877</v>
      </c>
      <c r="D12" s="88">
        <v>16785.940730625345</v>
      </c>
      <c r="E12" s="196">
        <v>0</v>
      </c>
      <c r="F12" s="197">
        <v>0</v>
      </c>
      <c r="G12" s="198">
        <v>0</v>
      </c>
      <c r="H12" s="88">
        <v>32872.80708649187</v>
      </c>
      <c r="I12" s="88">
        <v>16086.866355868877</v>
      </c>
      <c r="J12" s="91">
        <v>16785.940730625345</v>
      </c>
      <c r="K12" s="92">
        <v>33981.665185883903</v>
      </c>
      <c r="L12" s="88">
        <v>16629.504896151353</v>
      </c>
      <c r="M12" s="88">
        <v>17352.160289727042</v>
      </c>
      <c r="N12" s="102">
        <v>0</v>
      </c>
      <c r="O12" s="103">
        <v>0</v>
      </c>
      <c r="P12" s="104">
        <v>0</v>
      </c>
      <c r="Q12" s="88">
        <v>33981.665185883903</v>
      </c>
      <c r="R12" s="88">
        <v>16629.504896151353</v>
      </c>
      <c r="S12" s="91">
        <v>17352.160289727042</v>
      </c>
      <c r="T12" s="92">
        <v>35124.54603029303</v>
      </c>
      <c r="U12" s="88">
        <v>17188.793044450769</v>
      </c>
      <c r="V12" s="88">
        <v>17935.75298584333</v>
      </c>
      <c r="W12" s="102">
        <v>0</v>
      </c>
      <c r="X12" s="103">
        <v>0</v>
      </c>
      <c r="Y12" s="104">
        <v>0</v>
      </c>
      <c r="Z12" s="88">
        <v>35124.54603029303</v>
      </c>
      <c r="AA12" s="88">
        <v>17188.793044450769</v>
      </c>
      <c r="AB12" s="91">
        <v>17935.75298584333</v>
      </c>
    </row>
    <row r="13" spans="1:28" ht="15.75" customHeight="1" x14ac:dyDescent="0.25">
      <c r="A13" s="78" t="s">
        <v>30</v>
      </c>
      <c r="B13" s="87">
        <v>67322.192038171605</v>
      </c>
      <c r="C13" s="88">
        <v>33233.691517277715</v>
      </c>
      <c r="D13" s="88">
        <v>34088.500520881193</v>
      </c>
      <c r="E13" s="89">
        <v>42835.681775255325</v>
      </c>
      <c r="F13" s="88">
        <v>20828.496930636979</v>
      </c>
      <c r="G13" s="90">
        <v>22007.184844613952</v>
      </c>
      <c r="H13" s="88">
        <v>24486.510262909123</v>
      </c>
      <c r="I13" s="88">
        <v>12405.194586641706</v>
      </c>
      <c r="J13" s="91">
        <v>12081.31567626819</v>
      </c>
      <c r="K13" s="92">
        <v>69593.089005164235</v>
      </c>
      <c r="L13" s="88">
        <v>34354.722888726748</v>
      </c>
      <c r="M13" s="88">
        <v>35238.366116452831</v>
      </c>
      <c r="N13" s="89">
        <v>44280.605312029606</v>
      </c>
      <c r="O13" s="88">
        <v>21531.079081862197</v>
      </c>
      <c r="P13" s="90">
        <v>22749.526230169638</v>
      </c>
      <c r="Q13" s="88">
        <v>25312.483693148683</v>
      </c>
      <c r="R13" s="88">
        <v>12823.643806863458</v>
      </c>
      <c r="S13" s="91">
        <v>12488.839886281878</v>
      </c>
      <c r="T13" s="92">
        <v>71933.66319106576</v>
      </c>
      <c r="U13" s="88">
        <v>35510.150513885077</v>
      </c>
      <c r="V13" s="88">
        <v>36423.512677183506</v>
      </c>
      <c r="W13" s="89">
        <v>45769.862984172396</v>
      </c>
      <c r="X13" s="88">
        <v>22255.218340710922</v>
      </c>
      <c r="Y13" s="90">
        <v>23514.644643457297</v>
      </c>
      <c r="Z13" s="88">
        <v>26163.800206895074</v>
      </c>
      <c r="AA13" s="88">
        <v>13254.932173172629</v>
      </c>
      <c r="AB13" s="91">
        <v>12908.868033723771</v>
      </c>
    </row>
    <row r="14" spans="1:28" ht="15.75" customHeight="1" thickBot="1" x14ac:dyDescent="0.3">
      <c r="A14" s="79" t="s">
        <v>31</v>
      </c>
      <c r="B14" s="93">
        <v>4689.9539897534769</v>
      </c>
      <c r="C14" s="94">
        <v>2443.3263106185736</v>
      </c>
      <c r="D14" s="94">
        <v>2246.6276791349442</v>
      </c>
      <c r="E14" s="107">
        <v>0</v>
      </c>
      <c r="F14" s="106">
        <v>0</v>
      </c>
      <c r="G14" s="105">
        <v>0</v>
      </c>
      <c r="H14" s="94">
        <v>4689.9539897534769</v>
      </c>
      <c r="I14" s="94">
        <v>2443.3263106185736</v>
      </c>
      <c r="J14" s="97">
        <v>2246.6276791349442</v>
      </c>
      <c r="K14" s="98">
        <v>4848.1544578063113</v>
      </c>
      <c r="L14" s="99">
        <v>2525.7440415365763</v>
      </c>
      <c r="M14" s="99">
        <v>2322.4104162696335</v>
      </c>
      <c r="N14" s="110">
        <v>0</v>
      </c>
      <c r="O14" s="109">
        <v>0</v>
      </c>
      <c r="P14" s="108">
        <v>0</v>
      </c>
      <c r="Q14" s="99">
        <v>4848.1544578063113</v>
      </c>
      <c r="R14" s="99">
        <v>2525.7440415365763</v>
      </c>
      <c r="S14" s="100">
        <v>2322.4104162696335</v>
      </c>
      <c r="T14" s="98">
        <v>5011.2089411662964</v>
      </c>
      <c r="U14" s="99">
        <v>2610.6905698241403</v>
      </c>
      <c r="V14" s="99">
        <v>2400.5183713421488</v>
      </c>
      <c r="W14" s="110">
        <v>0</v>
      </c>
      <c r="X14" s="109">
        <v>0</v>
      </c>
      <c r="Y14" s="108">
        <v>0</v>
      </c>
      <c r="Z14" s="99">
        <v>5011.2089411662964</v>
      </c>
      <c r="AA14" s="99">
        <v>2610.6905698241403</v>
      </c>
      <c r="AB14" s="100">
        <v>2400.5183713421488</v>
      </c>
    </row>
    <row r="15" spans="1:28" x14ac:dyDescent="0.25">
      <c r="A15" s="281" t="s">
        <v>89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1"/>
      <c r="U15" s="21"/>
      <c r="V15" s="21"/>
      <c r="W15" s="21"/>
      <c r="X15" s="21"/>
      <c r="Y15" s="21"/>
      <c r="Z15" s="21"/>
      <c r="AA15" s="21"/>
      <c r="AB15" s="21"/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0787-AAA2-461B-B020-19D6F97E57E4}">
  <dimension ref="A1:AB1003"/>
  <sheetViews>
    <sheetView tabSelected="1" workbookViewId="0">
      <selection activeCell="B45" sqref="B45"/>
    </sheetView>
  </sheetViews>
  <sheetFormatPr defaultRowHeight="12" x14ac:dyDescent="0.2"/>
  <cols>
    <col min="1" max="1" width="21" style="26" customWidth="1"/>
    <col min="2" max="28" width="11.7109375" style="26" customWidth="1"/>
    <col min="29" max="166" width="9.140625" style="26"/>
    <col min="167" max="167" width="12.42578125" style="26" customWidth="1"/>
    <col min="168" max="170" width="9.5703125" style="26" customWidth="1"/>
    <col min="171" max="171" width="0.85546875" style="26" customWidth="1"/>
    <col min="172" max="174" width="9.5703125" style="26" customWidth="1"/>
    <col min="175" max="175" width="0.85546875" style="26" customWidth="1"/>
    <col min="176" max="178" width="9.5703125" style="26" customWidth="1"/>
    <col min="179" max="422" width="9.140625" style="26"/>
    <col min="423" max="423" width="12.42578125" style="26" customWidth="1"/>
    <col min="424" max="426" width="9.5703125" style="26" customWidth="1"/>
    <col min="427" max="427" width="0.85546875" style="26" customWidth="1"/>
    <col min="428" max="430" width="9.5703125" style="26" customWidth="1"/>
    <col min="431" max="431" width="0.85546875" style="26" customWidth="1"/>
    <col min="432" max="434" width="9.5703125" style="26" customWidth="1"/>
    <col min="435" max="678" width="9.140625" style="26"/>
    <col min="679" max="679" width="12.42578125" style="26" customWidth="1"/>
    <col min="680" max="682" width="9.5703125" style="26" customWidth="1"/>
    <col min="683" max="683" width="0.85546875" style="26" customWidth="1"/>
    <col min="684" max="686" width="9.5703125" style="26" customWidth="1"/>
    <col min="687" max="687" width="0.85546875" style="26" customWidth="1"/>
    <col min="688" max="690" width="9.5703125" style="26" customWidth="1"/>
    <col min="691" max="934" width="9.140625" style="26"/>
    <col min="935" max="935" width="12.42578125" style="26" customWidth="1"/>
    <col min="936" max="938" width="9.5703125" style="26" customWidth="1"/>
    <col min="939" max="939" width="0.85546875" style="26" customWidth="1"/>
    <col min="940" max="942" width="9.5703125" style="26" customWidth="1"/>
    <col min="943" max="943" width="0.85546875" style="26" customWidth="1"/>
    <col min="944" max="946" width="9.5703125" style="26" customWidth="1"/>
    <col min="947" max="1190" width="9.140625" style="26"/>
    <col min="1191" max="1191" width="12.42578125" style="26" customWidth="1"/>
    <col min="1192" max="1194" width="9.5703125" style="26" customWidth="1"/>
    <col min="1195" max="1195" width="0.85546875" style="26" customWidth="1"/>
    <col min="1196" max="1198" width="9.5703125" style="26" customWidth="1"/>
    <col min="1199" max="1199" width="0.85546875" style="26" customWidth="1"/>
    <col min="1200" max="1202" width="9.5703125" style="26" customWidth="1"/>
    <col min="1203" max="1446" width="9.140625" style="26"/>
    <col min="1447" max="1447" width="12.42578125" style="26" customWidth="1"/>
    <col min="1448" max="1450" width="9.5703125" style="26" customWidth="1"/>
    <col min="1451" max="1451" width="0.85546875" style="26" customWidth="1"/>
    <col min="1452" max="1454" width="9.5703125" style="26" customWidth="1"/>
    <col min="1455" max="1455" width="0.85546875" style="26" customWidth="1"/>
    <col min="1456" max="1458" width="9.5703125" style="26" customWidth="1"/>
    <col min="1459" max="1702" width="9.140625" style="26"/>
    <col min="1703" max="1703" width="12.42578125" style="26" customWidth="1"/>
    <col min="1704" max="1706" width="9.5703125" style="26" customWidth="1"/>
    <col min="1707" max="1707" width="0.85546875" style="26" customWidth="1"/>
    <col min="1708" max="1710" width="9.5703125" style="26" customWidth="1"/>
    <col min="1711" max="1711" width="0.85546875" style="26" customWidth="1"/>
    <col min="1712" max="1714" width="9.5703125" style="26" customWidth="1"/>
    <col min="1715" max="1958" width="9.140625" style="26"/>
    <col min="1959" max="1959" width="12.42578125" style="26" customWidth="1"/>
    <col min="1960" max="1962" width="9.5703125" style="26" customWidth="1"/>
    <col min="1963" max="1963" width="0.85546875" style="26" customWidth="1"/>
    <col min="1964" max="1966" width="9.5703125" style="26" customWidth="1"/>
    <col min="1967" max="1967" width="0.85546875" style="26" customWidth="1"/>
    <col min="1968" max="1970" width="9.5703125" style="26" customWidth="1"/>
    <col min="1971" max="2214" width="9.140625" style="26"/>
    <col min="2215" max="2215" width="12.42578125" style="26" customWidth="1"/>
    <col min="2216" max="2218" width="9.5703125" style="26" customWidth="1"/>
    <col min="2219" max="2219" width="0.85546875" style="26" customWidth="1"/>
    <col min="2220" max="2222" width="9.5703125" style="26" customWidth="1"/>
    <col min="2223" max="2223" width="0.85546875" style="26" customWidth="1"/>
    <col min="2224" max="2226" width="9.5703125" style="26" customWidth="1"/>
    <col min="2227" max="2470" width="9.140625" style="26"/>
    <col min="2471" max="2471" width="12.42578125" style="26" customWidth="1"/>
    <col min="2472" max="2474" width="9.5703125" style="26" customWidth="1"/>
    <col min="2475" max="2475" width="0.85546875" style="26" customWidth="1"/>
    <col min="2476" max="2478" width="9.5703125" style="26" customWidth="1"/>
    <col min="2479" max="2479" width="0.85546875" style="26" customWidth="1"/>
    <col min="2480" max="2482" width="9.5703125" style="26" customWidth="1"/>
    <col min="2483" max="2726" width="9.140625" style="26"/>
    <col min="2727" max="2727" width="12.42578125" style="26" customWidth="1"/>
    <col min="2728" max="2730" width="9.5703125" style="26" customWidth="1"/>
    <col min="2731" max="2731" width="0.85546875" style="26" customWidth="1"/>
    <col min="2732" max="2734" width="9.5703125" style="26" customWidth="1"/>
    <col min="2735" max="2735" width="0.85546875" style="26" customWidth="1"/>
    <col min="2736" max="2738" width="9.5703125" style="26" customWidth="1"/>
    <col min="2739" max="2982" width="9.140625" style="26"/>
    <col min="2983" max="2983" width="12.42578125" style="26" customWidth="1"/>
    <col min="2984" max="2986" width="9.5703125" style="26" customWidth="1"/>
    <col min="2987" max="2987" width="0.85546875" style="26" customWidth="1"/>
    <col min="2988" max="2990" width="9.5703125" style="26" customWidth="1"/>
    <col min="2991" max="2991" width="0.85546875" style="26" customWidth="1"/>
    <col min="2992" max="2994" width="9.5703125" style="26" customWidth="1"/>
    <col min="2995" max="3238" width="9.140625" style="26"/>
    <col min="3239" max="3239" width="12.42578125" style="26" customWidth="1"/>
    <col min="3240" max="3242" width="9.5703125" style="26" customWidth="1"/>
    <col min="3243" max="3243" width="0.85546875" style="26" customWidth="1"/>
    <col min="3244" max="3246" width="9.5703125" style="26" customWidth="1"/>
    <col min="3247" max="3247" width="0.85546875" style="26" customWidth="1"/>
    <col min="3248" max="3250" width="9.5703125" style="26" customWidth="1"/>
    <col min="3251" max="3494" width="9.140625" style="26"/>
    <col min="3495" max="3495" width="12.42578125" style="26" customWidth="1"/>
    <col min="3496" max="3498" width="9.5703125" style="26" customWidth="1"/>
    <col min="3499" max="3499" width="0.85546875" style="26" customWidth="1"/>
    <col min="3500" max="3502" width="9.5703125" style="26" customWidth="1"/>
    <col min="3503" max="3503" width="0.85546875" style="26" customWidth="1"/>
    <col min="3504" max="3506" width="9.5703125" style="26" customWidth="1"/>
    <col min="3507" max="3750" width="9.140625" style="26"/>
    <col min="3751" max="3751" width="12.42578125" style="26" customWidth="1"/>
    <col min="3752" max="3754" width="9.5703125" style="26" customWidth="1"/>
    <col min="3755" max="3755" width="0.85546875" style="26" customWidth="1"/>
    <col min="3756" max="3758" width="9.5703125" style="26" customWidth="1"/>
    <col min="3759" max="3759" width="0.85546875" style="26" customWidth="1"/>
    <col min="3760" max="3762" width="9.5703125" style="26" customWidth="1"/>
    <col min="3763" max="4006" width="9.140625" style="26"/>
    <col min="4007" max="4007" width="12.42578125" style="26" customWidth="1"/>
    <col min="4008" max="4010" width="9.5703125" style="26" customWidth="1"/>
    <col min="4011" max="4011" width="0.85546875" style="26" customWidth="1"/>
    <col min="4012" max="4014" width="9.5703125" style="26" customWidth="1"/>
    <col min="4015" max="4015" width="0.85546875" style="26" customWidth="1"/>
    <col min="4016" max="4018" width="9.5703125" style="26" customWidth="1"/>
    <col min="4019" max="4262" width="9.140625" style="26"/>
    <col min="4263" max="4263" width="12.42578125" style="26" customWidth="1"/>
    <col min="4264" max="4266" width="9.5703125" style="26" customWidth="1"/>
    <col min="4267" max="4267" width="0.85546875" style="26" customWidth="1"/>
    <col min="4268" max="4270" width="9.5703125" style="26" customWidth="1"/>
    <col min="4271" max="4271" width="0.85546875" style="26" customWidth="1"/>
    <col min="4272" max="4274" width="9.5703125" style="26" customWidth="1"/>
    <col min="4275" max="4518" width="9.140625" style="26"/>
    <col min="4519" max="4519" width="12.42578125" style="26" customWidth="1"/>
    <col min="4520" max="4522" width="9.5703125" style="26" customWidth="1"/>
    <col min="4523" max="4523" width="0.85546875" style="26" customWidth="1"/>
    <col min="4524" max="4526" width="9.5703125" style="26" customWidth="1"/>
    <col min="4527" max="4527" width="0.85546875" style="26" customWidth="1"/>
    <col min="4528" max="4530" width="9.5703125" style="26" customWidth="1"/>
    <col min="4531" max="4774" width="9.140625" style="26"/>
    <col min="4775" max="4775" width="12.42578125" style="26" customWidth="1"/>
    <col min="4776" max="4778" width="9.5703125" style="26" customWidth="1"/>
    <col min="4779" max="4779" width="0.85546875" style="26" customWidth="1"/>
    <col min="4780" max="4782" width="9.5703125" style="26" customWidth="1"/>
    <col min="4783" max="4783" width="0.85546875" style="26" customWidth="1"/>
    <col min="4784" max="4786" width="9.5703125" style="26" customWidth="1"/>
    <col min="4787" max="5030" width="9.140625" style="26"/>
    <col min="5031" max="5031" width="12.42578125" style="26" customWidth="1"/>
    <col min="5032" max="5034" width="9.5703125" style="26" customWidth="1"/>
    <col min="5035" max="5035" width="0.85546875" style="26" customWidth="1"/>
    <col min="5036" max="5038" width="9.5703125" style="26" customWidth="1"/>
    <col min="5039" max="5039" width="0.85546875" style="26" customWidth="1"/>
    <col min="5040" max="5042" width="9.5703125" style="26" customWidth="1"/>
    <col min="5043" max="5286" width="9.140625" style="26"/>
    <col min="5287" max="5287" width="12.42578125" style="26" customWidth="1"/>
    <col min="5288" max="5290" width="9.5703125" style="26" customWidth="1"/>
    <col min="5291" max="5291" width="0.85546875" style="26" customWidth="1"/>
    <col min="5292" max="5294" width="9.5703125" style="26" customWidth="1"/>
    <col min="5295" max="5295" width="0.85546875" style="26" customWidth="1"/>
    <col min="5296" max="5298" width="9.5703125" style="26" customWidth="1"/>
    <col min="5299" max="5542" width="9.140625" style="26"/>
    <col min="5543" max="5543" width="12.42578125" style="26" customWidth="1"/>
    <col min="5544" max="5546" width="9.5703125" style="26" customWidth="1"/>
    <col min="5547" max="5547" width="0.85546875" style="26" customWidth="1"/>
    <col min="5548" max="5550" width="9.5703125" style="26" customWidth="1"/>
    <col min="5551" max="5551" width="0.85546875" style="26" customWidth="1"/>
    <col min="5552" max="5554" width="9.5703125" style="26" customWidth="1"/>
    <col min="5555" max="5798" width="9.140625" style="26"/>
    <col min="5799" max="5799" width="12.42578125" style="26" customWidth="1"/>
    <col min="5800" max="5802" width="9.5703125" style="26" customWidth="1"/>
    <col min="5803" max="5803" width="0.85546875" style="26" customWidth="1"/>
    <col min="5804" max="5806" width="9.5703125" style="26" customWidth="1"/>
    <col min="5807" max="5807" width="0.85546875" style="26" customWidth="1"/>
    <col min="5808" max="5810" width="9.5703125" style="26" customWidth="1"/>
    <col min="5811" max="6054" width="9.140625" style="26"/>
    <col min="6055" max="6055" width="12.42578125" style="26" customWidth="1"/>
    <col min="6056" max="6058" width="9.5703125" style="26" customWidth="1"/>
    <col min="6059" max="6059" width="0.85546875" style="26" customWidth="1"/>
    <col min="6060" max="6062" width="9.5703125" style="26" customWidth="1"/>
    <col min="6063" max="6063" width="0.85546875" style="26" customWidth="1"/>
    <col min="6064" max="6066" width="9.5703125" style="26" customWidth="1"/>
    <col min="6067" max="6310" width="9.140625" style="26"/>
    <col min="6311" max="6311" width="12.42578125" style="26" customWidth="1"/>
    <col min="6312" max="6314" width="9.5703125" style="26" customWidth="1"/>
    <col min="6315" max="6315" width="0.85546875" style="26" customWidth="1"/>
    <col min="6316" max="6318" width="9.5703125" style="26" customWidth="1"/>
    <col min="6319" max="6319" width="0.85546875" style="26" customWidth="1"/>
    <col min="6320" max="6322" width="9.5703125" style="26" customWidth="1"/>
    <col min="6323" max="6566" width="9.140625" style="26"/>
    <col min="6567" max="6567" width="12.42578125" style="26" customWidth="1"/>
    <col min="6568" max="6570" width="9.5703125" style="26" customWidth="1"/>
    <col min="6571" max="6571" width="0.85546875" style="26" customWidth="1"/>
    <col min="6572" max="6574" width="9.5703125" style="26" customWidth="1"/>
    <col min="6575" max="6575" width="0.85546875" style="26" customWidth="1"/>
    <col min="6576" max="6578" width="9.5703125" style="26" customWidth="1"/>
    <col min="6579" max="6822" width="9.140625" style="26"/>
    <col min="6823" max="6823" width="12.42578125" style="26" customWidth="1"/>
    <col min="6824" max="6826" width="9.5703125" style="26" customWidth="1"/>
    <col min="6827" max="6827" width="0.85546875" style="26" customWidth="1"/>
    <col min="6828" max="6830" width="9.5703125" style="26" customWidth="1"/>
    <col min="6831" max="6831" width="0.85546875" style="26" customWidth="1"/>
    <col min="6832" max="6834" width="9.5703125" style="26" customWidth="1"/>
    <col min="6835" max="7078" width="9.140625" style="26"/>
    <col min="7079" max="7079" width="12.42578125" style="26" customWidth="1"/>
    <col min="7080" max="7082" width="9.5703125" style="26" customWidth="1"/>
    <col min="7083" max="7083" width="0.85546875" style="26" customWidth="1"/>
    <col min="7084" max="7086" width="9.5703125" style="26" customWidth="1"/>
    <col min="7087" max="7087" width="0.85546875" style="26" customWidth="1"/>
    <col min="7088" max="7090" width="9.5703125" style="26" customWidth="1"/>
    <col min="7091" max="7334" width="9.140625" style="26"/>
    <col min="7335" max="7335" width="12.42578125" style="26" customWidth="1"/>
    <col min="7336" max="7338" width="9.5703125" style="26" customWidth="1"/>
    <col min="7339" max="7339" width="0.85546875" style="26" customWidth="1"/>
    <col min="7340" max="7342" width="9.5703125" style="26" customWidth="1"/>
    <col min="7343" max="7343" width="0.85546875" style="26" customWidth="1"/>
    <col min="7344" max="7346" width="9.5703125" style="26" customWidth="1"/>
    <col min="7347" max="7590" width="9.140625" style="26"/>
    <col min="7591" max="7591" width="12.42578125" style="26" customWidth="1"/>
    <col min="7592" max="7594" width="9.5703125" style="26" customWidth="1"/>
    <col min="7595" max="7595" width="0.85546875" style="26" customWidth="1"/>
    <col min="7596" max="7598" width="9.5703125" style="26" customWidth="1"/>
    <col min="7599" max="7599" width="0.85546875" style="26" customWidth="1"/>
    <col min="7600" max="7602" width="9.5703125" style="26" customWidth="1"/>
    <col min="7603" max="7846" width="9.140625" style="26"/>
    <col min="7847" max="7847" width="12.42578125" style="26" customWidth="1"/>
    <col min="7848" max="7850" width="9.5703125" style="26" customWidth="1"/>
    <col min="7851" max="7851" width="0.85546875" style="26" customWidth="1"/>
    <col min="7852" max="7854" width="9.5703125" style="26" customWidth="1"/>
    <col min="7855" max="7855" width="0.85546875" style="26" customWidth="1"/>
    <col min="7856" max="7858" width="9.5703125" style="26" customWidth="1"/>
    <col min="7859" max="8102" width="9.140625" style="26"/>
    <col min="8103" max="8103" width="12.42578125" style="26" customWidth="1"/>
    <col min="8104" max="8106" width="9.5703125" style="26" customWidth="1"/>
    <col min="8107" max="8107" width="0.85546875" style="26" customWidth="1"/>
    <col min="8108" max="8110" width="9.5703125" style="26" customWidth="1"/>
    <col min="8111" max="8111" width="0.85546875" style="26" customWidth="1"/>
    <col min="8112" max="8114" width="9.5703125" style="26" customWidth="1"/>
    <col min="8115" max="8358" width="9.140625" style="26"/>
    <col min="8359" max="8359" width="12.42578125" style="26" customWidth="1"/>
    <col min="8360" max="8362" width="9.5703125" style="26" customWidth="1"/>
    <col min="8363" max="8363" width="0.85546875" style="26" customWidth="1"/>
    <col min="8364" max="8366" width="9.5703125" style="26" customWidth="1"/>
    <col min="8367" max="8367" width="0.85546875" style="26" customWidth="1"/>
    <col min="8368" max="8370" width="9.5703125" style="26" customWidth="1"/>
    <col min="8371" max="8614" width="9.140625" style="26"/>
    <col min="8615" max="8615" width="12.42578125" style="26" customWidth="1"/>
    <col min="8616" max="8618" width="9.5703125" style="26" customWidth="1"/>
    <col min="8619" max="8619" width="0.85546875" style="26" customWidth="1"/>
    <col min="8620" max="8622" width="9.5703125" style="26" customWidth="1"/>
    <col min="8623" max="8623" width="0.85546875" style="26" customWidth="1"/>
    <col min="8624" max="8626" width="9.5703125" style="26" customWidth="1"/>
    <col min="8627" max="8870" width="9.140625" style="26"/>
    <col min="8871" max="8871" width="12.42578125" style="26" customWidth="1"/>
    <col min="8872" max="8874" width="9.5703125" style="26" customWidth="1"/>
    <col min="8875" max="8875" width="0.85546875" style="26" customWidth="1"/>
    <col min="8876" max="8878" width="9.5703125" style="26" customWidth="1"/>
    <col min="8879" max="8879" width="0.85546875" style="26" customWidth="1"/>
    <col min="8880" max="8882" width="9.5703125" style="26" customWidth="1"/>
    <col min="8883" max="9126" width="9.140625" style="26"/>
    <col min="9127" max="9127" width="12.42578125" style="26" customWidth="1"/>
    <col min="9128" max="9130" width="9.5703125" style="26" customWidth="1"/>
    <col min="9131" max="9131" width="0.85546875" style="26" customWidth="1"/>
    <col min="9132" max="9134" width="9.5703125" style="26" customWidth="1"/>
    <col min="9135" max="9135" width="0.85546875" style="26" customWidth="1"/>
    <col min="9136" max="9138" width="9.5703125" style="26" customWidth="1"/>
    <col min="9139" max="9382" width="9.140625" style="26"/>
    <col min="9383" max="9383" width="12.42578125" style="26" customWidth="1"/>
    <col min="9384" max="9386" width="9.5703125" style="26" customWidth="1"/>
    <col min="9387" max="9387" width="0.85546875" style="26" customWidth="1"/>
    <col min="9388" max="9390" width="9.5703125" style="26" customWidth="1"/>
    <col min="9391" max="9391" width="0.85546875" style="26" customWidth="1"/>
    <col min="9392" max="9394" width="9.5703125" style="26" customWidth="1"/>
    <col min="9395" max="9638" width="9.140625" style="26"/>
    <col min="9639" max="9639" width="12.42578125" style="26" customWidth="1"/>
    <col min="9640" max="9642" width="9.5703125" style="26" customWidth="1"/>
    <col min="9643" max="9643" width="0.85546875" style="26" customWidth="1"/>
    <col min="9644" max="9646" width="9.5703125" style="26" customWidth="1"/>
    <col min="9647" max="9647" width="0.85546875" style="26" customWidth="1"/>
    <col min="9648" max="9650" width="9.5703125" style="26" customWidth="1"/>
    <col min="9651" max="9894" width="9.140625" style="26"/>
    <col min="9895" max="9895" width="12.42578125" style="26" customWidth="1"/>
    <col min="9896" max="9898" width="9.5703125" style="26" customWidth="1"/>
    <col min="9899" max="9899" width="0.85546875" style="26" customWidth="1"/>
    <col min="9900" max="9902" width="9.5703125" style="26" customWidth="1"/>
    <col min="9903" max="9903" width="0.85546875" style="26" customWidth="1"/>
    <col min="9904" max="9906" width="9.5703125" style="26" customWidth="1"/>
    <col min="9907" max="10150" width="9.140625" style="26"/>
    <col min="10151" max="10151" width="12.42578125" style="26" customWidth="1"/>
    <col min="10152" max="10154" width="9.5703125" style="26" customWidth="1"/>
    <col min="10155" max="10155" width="0.85546875" style="26" customWidth="1"/>
    <col min="10156" max="10158" width="9.5703125" style="26" customWidth="1"/>
    <col min="10159" max="10159" width="0.85546875" style="26" customWidth="1"/>
    <col min="10160" max="10162" width="9.5703125" style="26" customWidth="1"/>
    <col min="10163" max="10406" width="9.140625" style="26"/>
    <col min="10407" max="10407" width="12.42578125" style="26" customWidth="1"/>
    <col min="10408" max="10410" width="9.5703125" style="26" customWidth="1"/>
    <col min="10411" max="10411" width="0.85546875" style="26" customWidth="1"/>
    <col min="10412" max="10414" width="9.5703125" style="26" customWidth="1"/>
    <col min="10415" max="10415" width="0.85546875" style="26" customWidth="1"/>
    <col min="10416" max="10418" width="9.5703125" style="26" customWidth="1"/>
    <col min="10419" max="10662" width="9.140625" style="26"/>
    <col min="10663" max="10663" width="12.42578125" style="26" customWidth="1"/>
    <col min="10664" max="10666" width="9.5703125" style="26" customWidth="1"/>
    <col min="10667" max="10667" width="0.85546875" style="26" customWidth="1"/>
    <col min="10668" max="10670" width="9.5703125" style="26" customWidth="1"/>
    <col min="10671" max="10671" width="0.85546875" style="26" customWidth="1"/>
    <col min="10672" max="10674" width="9.5703125" style="26" customWidth="1"/>
    <col min="10675" max="10918" width="9.140625" style="26"/>
    <col min="10919" max="10919" width="12.42578125" style="26" customWidth="1"/>
    <col min="10920" max="10922" width="9.5703125" style="26" customWidth="1"/>
    <col min="10923" max="10923" width="0.85546875" style="26" customWidth="1"/>
    <col min="10924" max="10926" width="9.5703125" style="26" customWidth="1"/>
    <col min="10927" max="10927" width="0.85546875" style="26" customWidth="1"/>
    <col min="10928" max="10930" width="9.5703125" style="26" customWidth="1"/>
    <col min="10931" max="11174" width="9.140625" style="26"/>
    <col min="11175" max="11175" width="12.42578125" style="26" customWidth="1"/>
    <col min="11176" max="11178" width="9.5703125" style="26" customWidth="1"/>
    <col min="11179" max="11179" width="0.85546875" style="26" customWidth="1"/>
    <col min="11180" max="11182" width="9.5703125" style="26" customWidth="1"/>
    <col min="11183" max="11183" width="0.85546875" style="26" customWidth="1"/>
    <col min="11184" max="11186" width="9.5703125" style="26" customWidth="1"/>
    <col min="11187" max="11430" width="9.140625" style="26"/>
    <col min="11431" max="11431" width="12.42578125" style="26" customWidth="1"/>
    <col min="11432" max="11434" width="9.5703125" style="26" customWidth="1"/>
    <col min="11435" max="11435" width="0.85546875" style="26" customWidth="1"/>
    <col min="11436" max="11438" width="9.5703125" style="26" customWidth="1"/>
    <col min="11439" max="11439" width="0.85546875" style="26" customWidth="1"/>
    <col min="11440" max="11442" width="9.5703125" style="26" customWidth="1"/>
    <col min="11443" max="11686" width="9.140625" style="26"/>
    <col min="11687" max="11687" width="12.42578125" style="26" customWidth="1"/>
    <col min="11688" max="11690" width="9.5703125" style="26" customWidth="1"/>
    <col min="11691" max="11691" width="0.85546875" style="26" customWidth="1"/>
    <col min="11692" max="11694" width="9.5703125" style="26" customWidth="1"/>
    <col min="11695" max="11695" width="0.85546875" style="26" customWidth="1"/>
    <col min="11696" max="11698" width="9.5703125" style="26" customWidth="1"/>
    <col min="11699" max="11942" width="9.140625" style="26"/>
    <col min="11943" max="11943" width="12.42578125" style="26" customWidth="1"/>
    <col min="11944" max="11946" width="9.5703125" style="26" customWidth="1"/>
    <col min="11947" max="11947" width="0.85546875" style="26" customWidth="1"/>
    <col min="11948" max="11950" width="9.5703125" style="26" customWidth="1"/>
    <col min="11951" max="11951" width="0.85546875" style="26" customWidth="1"/>
    <col min="11952" max="11954" width="9.5703125" style="26" customWidth="1"/>
    <col min="11955" max="12198" width="9.140625" style="26"/>
    <col min="12199" max="12199" width="12.42578125" style="26" customWidth="1"/>
    <col min="12200" max="12202" width="9.5703125" style="26" customWidth="1"/>
    <col min="12203" max="12203" width="0.85546875" style="26" customWidth="1"/>
    <col min="12204" max="12206" width="9.5703125" style="26" customWidth="1"/>
    <col min="12207" max="12207" width="0.85546875" style="26" customWidth="1"/>
    <col min="12208" max="12210" width="9.5703125" style="26" customWidth="1"/>
    <col min="12211" max="12454" width="9.140625" style="26"/>
    <col min="12455" max="12455" width="12.42578125" style="26" customWidth="1"/>
    <col min="12456" max="12458" width="9.5703125" style="26" customWidth="1"/>
    <col min="12459" max="12459" width="0.85546875" style="26" customWidth="1"/>
    <col min="12460" max="12462" width="9.5703125" style="26" customWidth="1"/>
    <col min="12463" max="12463" width="0.85546875" style="26" customWidth="1"/>
    <col min="12464" max="12466" width="9.5703125" style="26" customWidth="1"/>
    <col min="12467" max="12710" width="9.140625" style="26"/>
    <col min="12711" max="12711" width="12.42578125" style="26" customWidth="1"/>
    <col min="12712" max="12714" width="9.5703125" style="26" customWidth="1"/>
    <col min="12715" max="12715" width="0.85546875" style="26" customWidth="1"/>
    <col min="12716" max="12718" width="9.5703125" style="26" customWidth="1"/>
    <col min="12719" max="12719" width="0.85546875" style="26" customWidth="1"/>
    <col min="12720" max="12722" width="9.5703125" style="26" customWidth="1"/>
    <col min="12723" max="12966" width="9.140625" style="26"/>
    <col min="12967" max="12967" width="12.42578125" style="26" customWidth="1"/>
    <col min="12968" max="12970" width="9.5703125" style="26" customWidth="1"/>
    <col min="12971" max="12971" width="0.85546875" style="26" customWidth="1"/>
    <col min="12972" max="12974" width="9.5703125" style="26" customWidth="1"/>
    <col min="12975" max="12975" width="0.85546875" style="26" customWidth="1"/>
    <col min="12976" max="12978" width="9.5703125" style="26" customWidth="1"/>
    <col min="12979" max="13222" width="9.140625" style="26"/>
    <col min="13223" max="13223" width="12.42578125" style="26" customWidth="1"/>
    <col min="13224" max="13226" width="9.5703125" style="26" customWidth="1"/>
    <col min="13227" max="13227" width="0.85546875" style="26" customWidth="1"/>
    <col min="13228" max="13230" width="9.5703125" style="26" customWidth="1"/>
    <col min="13231" max="13231" width="0.85546875" style="26" customWidth="1"/>
    <col min="13232" max="13234" width="9.5703125" style="26" customWidth="1"/>
    <col min="13235" max="13478" width="9.140625" style="26"/>
    <col min="13479" max="13479" width="12.42578125" style="26" customWidth="1"/>
    <col min="13480" max="13482" width="9.5703125" style="26" customWidth="1"/>
    <col min="13483" max="13483" width="0.85546875" style="26" customWidth="1"/>
    <col min="13484" max="13486" width="9.5703125" style="26" customWidth="1"/>
    <col min="13487" max="13487" width="0.85546875" style="26" customWidth="1"/>
    <col min="13488" max="13490" width="9.5703125" style="26" customWidth="1"/>
    <col min="13491" max="13734" width="9.140625" style="26"/>
    <col min="13735" max="13735" width="12.42578125" style="26" customWidth="1"/>
    <col min="13736" max="13738" width="9.5703125" style="26" customWidth="1"/>
    <col min="13739" max="13739" width="0.85546875" style="26" customWidth="1"/>
    <col min="13740" max="13742" width="9.5703125" style="26" customWidth="1"/>
    <col min="13743" max="13743" width="0.85546875" style="26" customWidth="1"/>
    <col min="13744" max="13746" width="9.5703125" style="26" customWidth="1"/>
    <col min="13747" max="13990" width="9.140625" style="26"/>
    <col min="13991" max="13991" width="12.42578125" style="26" customWidth="1"/>
    <col min="13992" max="13994" width="9.5703125" style="26" customWidth="1"/>
    <col min="13995" max="13995" width="0.85546875" style="26" customWidth="1"/>
    <col min="13996" max="13998" width="9.5703125" style="26" customWidth="1"/>
    <col min="13999" max="13999" width="0.85546875" style="26" customWidth="1"/>
    <col min="14000" max="14002" width="9.5703125" style="26" customWidth="1"/>
    <col min="14003" max="14246" width="9.140625" style="26"/>
    <col min="14247" max="14247" width="12.42578125" style="26" customWidth="1"/>
    <col min="14248" max="14250" width="9.5703125" style="26" customWidth="1"/>
    <col min="14251" max="14251" width="0.85546875" style="26" customWidth="1"/>
    <col min="14252" max="14254" width="9.5703125" style="26" customWidth="1"/>
    <col min="14255" max="14255" width="0.85546875" style="26" customWidth="1"/>
    <col min="14256" max="14258" width="9.5703125" style="26" customWidth="1"/>
    <col min="14259" max="14502" width="9.140625" style="26"/>
    <col min="14503" max="14503" width="12.42578125" style="26" customWidth="1"/>
    <col min="14504" max="14506" width="9.5703125" style="26" customWidth="1"/>
    <col min="14507" max="14507" width="0.85546875" style="26" customWidth="1"/>
    <col min="14508" max="14510" width="9.5703125" style="26" customWidth="1"/>
    <col min="14511" max="14511" width="0.85546875" style="26" customWidth="1"/>
    <col min="14512" max="14514" width="9.5703125" style="26" customWidth="1"/>
    <col min="14515" max="14758" width="9.140625" style="26"/>
    <col min="14759" max="14759" width="12.42578125" style="26" customWidth="1"/>
    <col min="14760" max="14762" width="9.5703125" style="26" customWidth="1"/>
    <col min="14763" max="14763" width="0.85546875" style="26" customWidth="1"/>
    <col min="14764" max="14766" width="9.5703125" style="26" customWidth="1"/>
    <col min="14767" max="14767" width="0.85546875" style="26" customWidth="1"/>
    <col min="14768" max="14770" width="9.5703125" style="26" customWidth="1"/>
    <col min="14771" max="15014" width="9.140625" style="26"/>
    <col min="15015" max="15015" width="12.42578125" style="26" customWidth="1"/>
    <col min="15016" max="15018" width="9.5703125" style="26" customWidth="1"/>
    <col min="15019" max="15019" width="0.85546875" style="26" customWidth="1"/>
    <col min="15020" max="15022" width="9.5703125" style="26" customWidth="1"/>
    <col min="15023" max="15023" width="0.85546875" style="26" customWidth="1"/>
    <col min="15024" max="15026" width="9.5703125" style="26" customWidth="1"/>
    <col min="15027" max="15270" width="9.140625" style="26"/>
    <col min="15271" max="15271" width="12.42578125" style="26" customWidth="1"/>
    <col min="15272" max="15274" width="9.5703125" style="26" customWidth="1"/>
    <col min="15275" max="15275" width="0.85546875" style="26" customWidth="1"/>
    <col min="15276" max="15278" width="9.5703125" style="26" customWidth="1"/>
    <col min="15279" max="15279" width="0.85546875" style="26" customWidth="1"/>
    <col min="15280" max="15282" width="9.5703125" style="26" customWidth="1"/>
    <col min="15283" max="15526" width="9.140625" style="26"/>
    <col min="15527" max="15527" width="12.42578125" style="26" customWidth="1"/>
    <col min="15528" max="15530" width="9.5703125" style="26" customWidth="1"/>
    <col min="15531" max="15531" width="0.85546875" style="26" customWidth="1"/>
    <col min="15532" max="15534" width="9.5703125" style="26" customWidth="1"/>
    <col min="15535" max="15535" width="0.85546875" style="26" customWidth="1"/>
    <col min="15536" max="15538" width="9.5703125" style="26" customWidth="1"/>
    <col min="15539" max="15782" width="9.140625" style="26"/>
    <col min="15783" max="15783" width="12.42578125" style="26" customWidth="1"/>
    <col min="15784" max="15786" width="9.5703125" style="26" customWidth="1"/>
    <col min="15787" max="15787" width="0.85546875" style="26" customWidth="1"/>
    <col min="15788" max="15790" width="9.5703125" style="26" customWidth="1"/>
    <col min="15791" max="15791" width="0.85546875" style="26" customWidth="1"/>
    <col min="15792" max="15794" width="9.5703125" style="26" customWidth="1"/>
    <col min="15795" max="16384" width="9.140625" style="26"/>
  </cols>
  <sheetData>
    <row r="1" spans="1:28" ht="30" customHeight="1" thickBot="1" x14ac:dyDescent="0.25">
      <c r="A1" s="24" t="s">
        <v>88</v>
      </c>
      <c r="B1" s="25"/>
      <c r="C1" s="25"/>
      <c r="D1" s="25"/>
      <c r="E1" s="25"/>
      <c r="F1" s="25"/>
      <c r="G1" s="25"/>
      <c r="H1" s="25"/>
      <c r="I1" s="25"/>
      <c r="J1" s="25"/>
    </row>
    <row r="2" spans="1:28" ht="11.1" customHeight="1" x14ac:dyDescent="0.2">
      <c r="A2" s="289" t="s">
        <v>66</v>
      </c>
      <c r="B2" s="290"/>
      <c r="C2" s="290"/>
      <c r="D2" s="290"/>
      <c r="E2" s="290"/>
      <c r="F2" s="290"/>
      <c r="G2" s="290"/>
      <c r="H2" s="290"/>
      <c r="I2" s="290"/>
      <c r="J2" s="291"/>
      <c r="K2" s="289" t="s">
        <v>67</v>
      </c>
      <c r="L2" s="290"/>
      <c r="M2" s="290"/>
      <c r="N2" s="290"/>
      <c r="O2" s="290"/>
      <c r="P2" s="290"/>
      <c r="Q2" s="290"/>
      <c r="R2" s="290"/>
      <c r="S2" s="291"/>
      <c r="T2" s="289" t="s">
        <v>68</v>
      </c>
      <c r="U2" s="290"/>
      <c r="V2" s="290"/>
      <c r="W2" s="290"/>
      <c r="X2" s="290"/>
      <c r="Y2" s="290"/>
      <c r="Z2" s="290"/>
      <c r="AA2" s="290"/>
      <c r="AB2" s="291"/>
    </row>
    <row r="3" spans="1:28" ht="17.25" customHeight="1" thickBot="1" x14ac:dyDescent="0.25">
      <c r="A3" s="292" t="s">
        <v>64</v>
      </c>
      <c r="B3" s="59"/>
      <c r="C3" s="27" t="s">
        <v>1</v>
      </c>
      <c r="D3" s="28"/>
      <c r="E3" s="29"/>
      <c r="F3" s="29" t="s">
        <v>32</v>
      </c>
      <c r="G3" s="30"/>
      <c r="H3" s="27"/>
      <c r="I3" s="27" t="s">
        <v>33</v>
      </c>
      <c r="J3" s="31"/>
      <c r="K3" s="27"/>
      <c r="L3" s="27" t="s">
        <v>1</v>
      </c>
      <c r="M3" s="28"/>
      <c r="N3" s="29"/>
      <c r="O3" s="29" t="s">
        <v>32</v>
      </c>
      <c r="P3" s="30"/>
      <c r="Q3" s="27"/>
      <c r="R3" s="27" t="s">
        <v>33</v>
      </c>
      <c r="S3" s="31"/>
      <c r="T3" s="27"/>
      <c r="U3" s="27" t="s">
        <v>1</v>
      </c>
      <c r="V3" s="28"/>
      <c r="W3" s="29"/>
      <c r="X3" s="29" t="s">
        <v>32</v>
      </c>
      <c r="Y3" s="30"/>
      <c r="Z3" s="27"/>
      <c r="AA3" s="27" t="s">
        <v>33</v>
      </c>
      <c r="AB3" s="31"/>
    </row>
    <row r="4" spans="1:28" ht="12.75" customHeight="1" thickBot="1" x14ac:dyDescent="0.25">
      <c r="A4" s="293"/>
      <c r="B4" s="60" t="s">
        <v>1</v>
      </c>
      <c r="C4" s="33" t="s">
        <v>34</v>
      </c>
      <c r="D4" s="34" t="s">
        <v>35</v>
      </c>
      <c r="E4" s="35" t="s">
        <v>1</v>
      </c>
      <c r="F4" s="33" t="s">
        <v>34</v>
      </c>
      <c r="G4" s="34" t="s">
        <v>35</v>
      </c>
      <c r="H4" s="35" t="s">
        <v>1</v>
      </c>
      <c r="I4" s="33" t="s">
        <v>34</v>
      </c>
      <c r="J4" s="36" t="s">
        <v>35</v>
      </c>
      <c r="K4" s="32" t="s">
        <v>1</v>
      </c>
      <c r="L4" s="33" t="s">
        <v>34</v>
      </c>
      <c r="M4" s="33" t="s">
        <v>35</v>
      </c>
      <c r="N4" s="37" t="s">
        <v>1</v>
      </c>
      <c r="O4" s="38" t="s">
        <v>34</v>
      </c>
      <c r="P4" s="39" t="s">
        <v>35</v>
      </c>
      <c r="Q4" s="35" t="s">
        <v>1</v>
      </c>
      <c r="R4" s="33" t="s">
        <v>34</v>
      </c>
      <c r="S4" s="36" t="s">
        <v>35</v>
      </c>
      <c r="T4" s="32" t="s">
        <v>1</v>
      </c>
      <c r="U4" s="33" t="s">
        <v>34</v>
      </c>
      <c r="V4" s="33" t="s">
        <v>35</v>
      </c>
      <c r="W4" s="37" t="s">
        <v>1</v>
      </c>
      <c r="X4" s="38" t="s">
        <v>34</v>
      </c>
      <c r="Y4" s="39" t="s">
        <v>35</v>
      </c>
      <c r="Z4" s="35" t="s">
        <v>1</v>
      </c>
      <c r="AA4" s="33" t="s">
        <v>34</v>
      </c>
      <c r="AB4" s="36" t="s">
        <v>35</v>
      </c>
    </row>
    <row r="5" spans="1:28" ht="16.5" customHeight="1" thickBot="1" x14ac:dyDescent="0.25">
      <c r="A5" s="61" t="s">
        <v>66</v>
      </c>
      <c r="B5" s="40">
        <f>+B6+B7+B8+B9+B10+B11+B12+B13+B14+B15+B16+B17+B18+B19+B20+B21+B22+B23+B24+B25</f>
        <v>835952.54063955182</v>
      </c>
      <c r="C5" s="40">
        <f t="shared" ref="C5:D5" si="0">+C6+C7+C8+C9+C10+C11+C12+C13+C14+C15+C16+C17+C18+C19+C20+C21+C22+C23+C24+C25</f>
        <v>409782.73399588629</v>
      </c>
      <c r="D5" s="70">
        <f t="shared" si="0"/>
        <v>426169.80664400873</v>
      </c>
      <c r="E5" s="40">
        <v>552561.69247006904</v>
      </c>
      <c r="F5" s="40">
        <v>268638.51090422226</v>
      </c>
      <c r="G5" s="70">
        <v>283923.18156578008</v>
      </c>
      <c r="H5" s="40">
        <v>283390.84816974006</v>
      </c>
      <c r="I5" s="40">
        <v>141144.22309159298</v>
      </c>
      <c r="J5" s="40">
        <v>142246.62507814736</v>
      </c>
      <c r="K5" s="76">
        <f>+K6+K7+K8+K9+K10+K11+K12+K13+K14+K15+K16+K17+K18+K19+K20+K21+K22+K23+K24+K25</f>
        <v>864150.70281525003</v>
      </c>
      <c r="L5" s="40">
        <f t="shared" ref="L5:S5" si="1">+L6+L7+L8+L9+L10+L11+L12+L13+L14+L15+L16+L17+L18+L19+L20+L21+L22+L23+L24+L25</f>
        <v>423605.43256806559</v>
      </c>
      <c r="M5" s="70">
        <f t="shared" si="1"/>
        <v>440545.27024725609</v>
      </c>
      <c r="N5" s="40">
        <f t="shared" si="1"/>
        <v>571200.57860148931</v>
      </c>
      <c r="O5" s="40">
        <f t="shared" si="1"/>
        <v>277700.164441759</v>
      </c>
      <c r="P5" s="70">
        <f t="shared" si="1"/>
        <v>293500.41415974341</v>
      </c>
      <c r="Q5" s="40">
        <f t="shared" si="1"/>
        <v>292950.12421386747</v>
      </c>
      <c r="R5" s="40">
        <f t="shared" si="1"/>
        <v>145905.26812632516</v>
      </c>
      <c r="S5" s="75">
        <f t="shared" si="1"/>
        <v>147044.85608754717</v>
      </c>
      <c r="T5" s="40">
        <f>+T6+T7+T8+T9+T10+T11+T12+T13+T14+T15+T16+T17+T18+T19+T20+T21+T22+T23+T24+T25</f>
        <v>893214.06035035709</v>
      </c>
      <c r="U5" s="40">
        <f t="shared" ref="U5:AB5" si="2">+U6+U7+U8+U9+U10+U11+U12+U13+U14+U15+U16+U17+U18+U19+U20+U21+U22+U23+U24+U25</f>
        <v>437852.248662161</v>
      </c>
      <c r="V5" s="70">
        <f t="shared" si="2"/>
        <v>455361.81168840255</v>
      </c>
      <c r="W5" s="40">
        <f t="shared" si="2"/>
        <v>590411.35582594725</v>
      </c>
      <c r="X5" s="40">
        <f t="shared" si="2"/>
        <v>287039.85385057784</v>
      </c>
      <c r="Y5" s="70">
        <f t="shared" si="2"/>
        <v>303371.50197534106</v>
      </c>
      <c r="Z5" s="40">
        <f t="shared" si="2"/>
        <v>302802.7045245117</v>
      </c>
      <c r="AA5" s="40">
        <f t="shared" si="2"/>
        <v>150812.3948115182</v>
      </c>
      <c r="AB5" s="75">
        <f t="shared" si="2"/>
        <v>151990.30971299714</v>
      </c>
    </row>
    <row r="6" spans="1:28" ht="12" customHeight="1" x14ac:dyDescent="0.2">
      <c r="A6" s="62" t="s">
        <v>2</v>
      </c>
      <c r="B6" s="41">
        <v>129874.5419997205</v>
      </c>
      <c r="C6" s="41">
        <v>64779.193471024286</v>
      </c>
      <c r="D6" s="42">
        <v>65095.34852846749</v>
      </c>
      <c r="E6" s="41">
        <v>78611.792066836089</v>
      </c>
      <c r="F6" s="41">
        <v>39274.932393778421</v>
      </c>
      <c r="G6" s="42">
        <v>39336.859673071391</v>
      </c>
      <c r="H6" s="41">
        <v>51262.749932721585</v>
      </c>
      <c r="I6" s="41">
        <v>25504.261077286439</v>
      </c>
      <c r="J6" s="43">
        <v>25758.488855437041</v>
      </c>
      <c r="K6" s="41">
        <v>134255.44069854842</v>
      </c>
      <c r="L6" s="41">
        <v>66964.310585093757</v>
      </c>
      <c r="M6" s="41">
        <v>67291.130113483625</v>
      </c>
      <c r="N6" s="55">
        <v>81263.507270571921</v>
      </c>
      <c r="O6" s="41">
        <v>40599.745537152245</v>
      </c>
      <c r="P6" s="42">
        <v>40663.761733434767</v>
      </c>
      <c r="Q6" s="41">
        <v>52991.933428072691</v>
      </c>
      <c r="R6" s="41">
        <v>26364.565047982614</v>
      </c>
      <c r="S6" s="43">
        <v>26627.368380090342</v>
      </c>
      <c r="T6" s="41">
        <v>138770.75713731002</v>
      </c>
      <c r="U6" s="41">
        <v>69216.472961790423</v>
      </c>
      <c r="V6" s="41">
        <v>69554.284175741224</v>
      </c>
      <c r="W6" s="55">
        <v>83996.584219628945</v>
      </c>
      <c r="X6" s="41">
        <v>41965.207506379251</v>
      </c>
      <c r="Y6" s="42">
        <v>42031.376713235906</v>
      </c>
      <c r="Z6" s="41">
        <v>54774.172917877513</v>
      </c>
      <c r="AA6" s="41">
        <v>27251.265455390545</v>
      </c>
      <c r="AB6" s="43">
        <v>27522.907462485888</v>
      </c>
    </row>
    <row r="7" spans="1:28" ht="12" customHeight="1" x14ac:dyDescent="0.2">
      <c r="A7" s="63" t="s">
        <v>3</v>
      </c>
      <c r="B7" s="41">
        <v>119328.51919650448</v>
      </c>
      <c r="C7" s="41">
        <v>59489.473653857487</v>
      </c>
      <c r="D7" s="42">
        <v>59839.045542832449</v>
      </c>
      <c r="E7" s="41">
        <v>74233.745518938536</v>
      </c>
      <c r="F7" s="41">
        <v>36582.139504636609</v>
      </c>
      <c r="G7" s="42">
        <v>37651.606014284051</v>
      </c>
      <c r="H7" s="41">
        <v>45094.773677703415</v>
      </c>
      <c r="I7" s="41">
        <v>22907.334149187234</v>
      </c>
      <c r="J7" s="43">
        <v>22187.439528513773</v>
      </c>
      <c r="K7" s="41">
        <v>123353.68183798979</v>
      </c>
      <c r="L7" s="41">
        <v>61496.159134522859</v>
      </c>
      <c r="M7" s="41">
        <v>61857.522703453164</v>
      </c>
      <c r="N7" s="55">
        <v>76737.781445959219</v>
      </c>
      <c r="O7" s="41">
        <v>37816.119966848331</v>
      </c>
      <c r="P7" s="42">
        <v>38921.661479100367</v>
      </c>
      <c r="Q7" s="41">
        <v>46615.900391977622</v>
      </c>
      <c r="R7" s="41">
        <v>23680.03916765107</v>
      </c>
      <c r="S7" s="43">
        <v>22935.861224329485</v>
      </c>
      <c r="T7" s="41">
        <v>127502.347281348</v>
      </c>
      <c r="U7" s="41">
        <v>63564.415115988857</v>
      </c>
      <c r="V7" s="41">
        <v>63937.932165290331</v>
      </c>
      <c r="W7" s="55">
        <v>79318.647921396449</v>
      </c>
      <c r="X7" s="41">
        <v>39087.962264263711</v>
      </c>
      <c r="Y7" s="42">
        <v>40230.685657101465</v>
      </c>
      <c r="Z7" s="41">
        <v>48183.699359794016</v>
      </c>
      <c r="AA7" s="41">
        <v>24476.452851667167</v>
      </c>
      <c r="AB7" s="43">
        <v>23707.246508130036</v>
      </c>
    </row>
    <row r="8" spans="1:28" ht="12" customHeight="1" x14ac:dyDescent="0.2">
      <c r="A8" s="63" t="s">
        <v>4</v>
      </c>
      <c r="B8" s="41">
        <v>114661.17580217512</v>
      </c>
      <c r="C8" s="41">
        <v>56490.178770825732</v>
      </c>
      <c r="D8" s="42">
        <v>58170.997031513565</v>
      </c>
      <c r="E8" s="41">
        <v>76289.67516733949</v>
      </c>
      <c r="F8" s="41">
        <v>36553.40756855646</v>
      </c>
      <c r="G8" s="42">
        <v>39736.267598759994</v>
      </c>
      <c r="H8" s="41">
        <v>38371.500634961492</v>
      </c>
      <c r="I8" s="41">
        <v>19936.771202240256</v>
      </c>
      <c r="J8" s="43">
        <v>18434.729432719967</v>
      </c>
      <c r="K8" s="41">
        <v>118528.90067108472</v>
      </c>
      <c r="L8" s="41">
        <v>58395.692714340017</v>
      </c>
      <c r="M8" s="41">
        <v>60133.207956730934</v>
      </c>
      <c r="N8" s="55">
        <v>78863.061248617814</v>
      </c>
      <c r="O8" s="41">
        <v>37786.418851593939</v>
      </c>
      <c r="P8" s="42">
        <v>41076.642397013849</v>
      </c>
      <c r="Q8" s="41">
        <v>39665.839422419391</v>
      </c>
      <c r="R8" s="41">
        <v>20609.273862724734</v>
      </c>
      <c r="S8" s="43">
        <v>19056.565559696344</v>
      </c>
      <c r="T8" s="41">
        <v>122515.29772811737</v>
      </c>
      <c r="U8" s="41">
        <v>60359.672944128266</v>
      </c>
      <c r="V8" s="41">
        <v>62155.624783920284</v>
      </c>
      <c r="W8" s="55">
        <v>81515.405727334772</v>
      </c>
      <c r="X8" s="41">
        <v>39057.262232814355</v>
      </c>
      <c r="Y8" s="42">
        <v>42458.143494483651</v>
      </c>
      <c r="Z8" s="41">
        <v>40999.892000641245</v>
      </c>
      <c r="AA8" s="41">
        <v>21302.410711262521</v>
      </c>
      <c r="AB8" s="43">
        <v>19697.481289381216</v>
      </c>
    </row>
    <row r="9" spans="1:28" ht="12" customHeight="1" x14ac:dyDescent="0.2">
      <c r="A9" s="63" t="s">
        <v>5</v>
      </c>
      <c r="B9" s="41">
        <v>104479.81332046656</v>
      </c>
      <c r="C9" s="41">
        <v>51406.844498167666</v>
      </c>
      <c r="D9" s="42">
        <v>53072.968822416617</v>
      </c>
      <c r="E9" s="41">
        <v>72980.692635662606</v>
      </c>
      <c r="F9" s="41">
        <v>35031.494848021357</v>
      </c>
      <c r="G9" s="42">
        <v>37949.197787619516</v>
      </c>
      <c r="H9" s="41">
        <v>31499.120684891412</v>
      </c>
      <c r="I9" s="41">
        <v>16375.349650123106</v>
      </c>
      <c r="J9" s="43">
        <v>15123.771034769432</v>
      </c>
      <c r="K9" s="41">
        <v>108004.10277102556</v>
      </c>
      <c r="L9" s="41">
        <v>53140.888558809005</v>
      </c>
      <c r="M9" s="41">
        <v>54863.214212216611</v>
      </c>
      <c r="N9" s="55">
        <v>75442.460865992776</v>
      </c>
      <c r="O9" s="41">
        <v>36213.169315117681</v>
      </c>
      <c r="P9" s="42">
        <v>39229.291550875329</v>
      </c>
      <c r="Q9" s="41">
        <v>32561.641905033488</v>
      </c>
      <c r="R9" s="41">
        <v>16927.719243691961</v>
      </c>
      <c r="S9" s="43">
        <v>15633.922661341901</v>
      </c>
      <c r="T9" s="41">
        <v>111636.52688844892</v>
      </c>
      <c r="U9" s="41">
        <v>54928.137749098445</v>
      </c>
      <c r="V9" s="41">
        <v>56708.389139407547</v>
      </c>
      <c r="W9" s="55">
        <v>77979.762758260156</v>
      </c>
      <c r="X9" s="41">
        <v>37431.100728999307</v>
      </c>
      <c r="Y9" s="42">
        <v>40548.66202928975</v>
      </c>
      <c r="Z9" s="41">
        <v>33656.764130282289</v>
      </c>
      <c r="AA9" s="41">
        <v>17497.037020129981</v>
      </c>
      <c r="AB9" s="43">
        <v>16159.72711015302</v>
      </c>
    </row>
    <row r="10" spans="1:28" ht="12" customHeight="1" x14ac:dyDescent="0.2">
      <c r="A10" s="63" t="s">
        <v>6</v>
      </c>
      <c r="B10" s="41">
        <v>86751.593438815908</v>
      </c>
      <c r="C10" s="41">
        <v>41609.79256378951</v>
      </c>
      <c r="D10" s="42">
        <v>45141.800875123161</v>
      </c>
      <c r="E10" s="41">
        <v>59042.458204802337</v>
      </c>
      <c r="F10" s="41">
        <v>28362.07282971391</v>
      </c>
      <c r="G10" s="42">
        <v>30680.385375082486</v>
      </c>
      <c r="H10" s="41">
        <v>27709.135234097499</v>
      </c>
      <c r="I10" s="41">
        <v>13247.719734066955</v>
      </c>
      <c r="J10" s="43">
        <v>14461.41550003155</v>
      </c>
      <c r="K10" s="41">
        <v>89677.878582932826</v>
      </c>
      <c r="L10" s="41">
        <v>43013.364682721345</v>
      </c>
      <c r="M10" s="41">
        <v>46664.513900171296</v>
      </c>
      <c r="N10" s="55">
        <v>61034.065061364694</v>
      </c>
      <c r="O10" s="41">
        <v>29318.77586057991</v>
      </c>
      <c r="P10" s="42">
        <v>31715.289200790547</v>
      </c>
      <c r="Q10" s="41">
        <v>28643.813521549113</v>
      </c>
      <c r="R10" s="41">
        <v>13694.588822151312</v>
      </c>
      <c r="S10" s="43">
        <v>14949.224699398121</v>
      </c>
      <c r="T10" s="41">
        <v>92693.950015472539</v>
      </c>
      <c r="U10" s="41">
        <v>44460.002164442245</v>
      </c>
      <c r="V10" s="41">
        <v>48233.947851047378</v>
      </c>
      <c r="W10" s="55">
        <v>63086.77976599081</v>
      </c>
      <c r="X10" s="41">
        <v>30304.833110257088</v>
      </c>
      <c r="Y10" s="42">
        <v>32781.946655749744</v>
      </c>
      <c r="Z10" s="41">
        <v>29607.1702495311</v>
      </c>
      <c r="AA10" s="41">
        <v>14155.169054208014</v>
      </c>
      <c r="AB10" s="43">
        <v>15452.00119532192</v>
      </c>
    </row>
    <row r="11" spans="1:28" ht="12" customHeight="1" x14ac:dyDescent="0.2">
      <c r="A11" s="64" t="s">
        <v>7</v>
      </c>
      <c r="B11" s="41">
        <v>67632.044315571402</v>
      </c>
      <c r="C11" s="41">
        <v>32763.640386034327</v>
      </c>
      <c r="D11" s="42">
        <v>34868.403929543289</v>
      </c>
      <c r="E11" s="44">
        <v>47747.405962556353</v>
      </c>
      <c r="F11" s="44">
        <v>23189.270748697276</v>
      </c>
      <c r="G11" s="45">
        <v>24558.135213855232</v>
      </c>
      <c r="H11" s="44">
        <v>19884.638353012469</v>
      </c>
      <c r="I11" s="44">
        <v>9574.369637330914</v>
      </c>
      <c r="J11" s="46">
        <v>10310.268715681632</v>
      </c>
      <c r="K11" s="41">
        <v>69913.393149538824</v>
      </c>
      <c r="L11" s="41">
        <v>33868.816098955875</v>
      </c>
      <c r="M11" s="41">
        <v>36044.577050633314</v>
      </c>
      <c r="N11" s="56">
        <v>49358.010669577117</v>
      </c>
      <c r="O11" s="44">
        <v>23971.485988818986</v>
      </c>
      <c r="P11" s="45">
        <v>25386.52468075242</v>
      </c>
      <c r="Q11" s="44">
        <v>20555.382480007291</v>
      </c>
      <c r="R11" s="44">
        <v>9897.3301101296092</v>
      </c>
      <c r="S11" s="46">
        <v>10658.052369878003</v>
      </c>
      <c r="T11" s="41">
        <v>72264.739893767066</v>
      </c>
      <c r="U11" s="41">
        <v>35007.901571370319</v>
      </c>
      <c r="V11" s="41">
        <v>37256.838322413831</v>
      </c>
      <c r="W11" s="56">
        <v>51018.033055275264</v>
      </c>
      <c r="X11" s="44">
        <v>24777.701693638359</v>
      </c>
      <c r="Y11" s="45">
        <v>26240.331361653043</v>
      </c>
      <c r="Z11" s="44">
        <v>21246.706838526941</v>
      </c>
      <c r="AA11" s="44">
        <v>10230.199877748479</v>
      </c>
      <c r="AB11" s="46">
        <v>11016.506960778226</v>
      </c>
    </row>
    <row r="12" spans="1:28" ht="12" customHeight="1" x14ac:dyDescent="0.2">
      <c r="A12" s="64" t="s">
        <v>8</v>
      </c>
      <c r="B12" s="44">
        <v>55220.278564073022</v>
      </c>
      <c r="C12" s="44">
        <v>26862.075720823188</v>
      </c>
      <c r="D12" s="45">
        <v>28358.202843246087</v>
      </c>
      <c r="E12" s="41">
        <v>38723.468560695575</v>
      </c>
      <c r="F12" s="41">
        <v>19067.662687894554</v>
      </c>
      <c r="G12" s="42">
        <v>19655.805872798293</v>
      </c>
      <c r="H12" s="41">
        <v>16496.810003366601</v>
      </c>
      <c r="I12" s="41">
        <v>7794.4130329239524</v>
      </c>
      <c r="J12" s="43">
        <v>8702.3969704427163</v>
      </c>
      <c r="K12" s="44">
        <v>57082.956520755804</v>
      </c>
      <c r="L12" s="44">
        <v>27768.18118819251</v>
      </c>
      <c r="M12" s="44">
        <v>29314.775332582074</v>
      </c>
      <c r="N12" s="55">
        <v>40029.679850667519</v>
      </c>
      <c r="O12" s="41">
        <v>19710.848776391289</v>
      </c>
      <c r="P12" s="42">
        <v>20318.831074287751</v>
      </c>
      <c r="Q12" s="41">
        <v>17053.276670121442</v>
      </c>
      <c r="R12" s="41">
        <v>8057.3324118131322</v>
      </c>
      <c r="S12" s="43">
        <v>8995.944258307949</v>
      </c>
      <c r="T12" s="44">
        <v>59002.78644061472</v>
      </c>
      <c r="U12" s="44">
        <v>28702.088405251736</v>
      </c>
      <c r="V12" s="44">
        <v>30300.698035407895</v>
      </c>
      <c r="W12" s="55">
        <v>41375.969211699143</v>
      </c>
      <c r="X12" s="41">
        <v>20373.769541762293</v>
      </c>
      <c r="Y12" s="42">
        <v>21002.199669928457</v>
      </c>
      <c r="Z12" s="41">
        <v>17626.817228954947</v>
      </c>
      <c r="AA12" s="41">
        <v>8328.3188634829312</v>
      </c>
      <c r="AB12" s="43">
        <v>9298.4983654717507</v>
      </c>
    </row>
    <row r="13" spans="1:28" ht="12" customHeight="1" x14ac:dyDescent="0.2">
      <c r="A13" s="64" t="s">
        <v>9</v>
      </c>
      <c r="B13" s="44">
        <v>42654.0234020813</v>
      </c>
      <c r="C13" s="44">
        <v>21059.467185225563</v>
      </c>
      <c r="D13" s="45">
        <v>21594.55621685199</v>
      </c>
      <c r="E13" s="44">
        <v>30192.360713689712</v>
      </c>
      <c r="F13" s="44">
        <v>15040.094537664261</v>
      </c>
      <c r="G13" s="45">
        <v>15152.266176022198</v>
      </c>
      <c r="H13" s="44">
        <v>12461.662688383574</v>
      </c>
      <c r="I13" s="44">
        <v>6019.3726475575513</v>
      </c>
      <c r="J13" s="46">
        <v>6442.2900408258965</v>
      </c>
      <c r="K13" s="44">
        <v>44092.819279631702</v>
      </c>
      <c r="L13" s="44">
        <v>21769.840372870065</v>
      </c>
      <c r="M13" s="44">
        <v>22322.978906780416</v>
      </c>
      <c r="N13" s="56">
        <v>31210.802601804862</v>
      </c>
      <c r="O13" s="44">
        <v>15547.423607548528</v>
      </c>
      <c r="P13" s="45">
        <v>15663.378994260733</v>
      </c>
      <c r="Q13" s="44">
        <v>12882.01667785238</v>
      </c>
      <c r="R13" s="44">
        <v>6222.4167653266886</v>
      </c>
      <c r="S13" s="46">
        <v>6659.5999125254448</v>
      </c>
      <c r="T13" s="44">
        <v>45575.761279556165</v>
      </c>
      <c r="U13" s="44">
        <v>22502.009718080735</v>
      </c>
      <c r="V13" s="44">
        <v>23073.751561490182</v>
      </c>
      <c r="W13" s="56">
        <v>32260.493022725281</v>
      </c>
      <c r="X13" s="44">
        <v>16070.318896047209</v>
      </c>
      <c r="Y13" s="45">
        <v>16190.1741266768</v>
      </c>
      <c r="Z13" s="44">
        <v>13315.268256844431</v>
      </c>
      <c r="AA13" s="44">
        <v>6431.690822032414</v>
      </c>
      <c r="AB13" s="46">
        <v>6883.5774348118575</v>
      </c>
    </row>
    <row r="14" spans="1:28" ht="12" customHeight="1" x14ac:dyDescent="0.2">
      <c r="A14" s="64" t="s">
        <v>10</v>
      </c>
      <c r="B14" s="44">
        <v>29951.343274519102</v>
      </c>
      <c r="C14" s="44">
        <v>14864.257915375123</v>
      </c>
      <c r="D14" s="45">
        <v>15087.085359140236</v>
      </c>
      <c r="E14" s="44">
        <v>20266.686551963765</v>
      </c>
      <c r="F14" s="44">
        <v>10098.47911811292</v>
      </c>
      <c r="G14" s="45">
        <v>10168.207433848838</v>
      </c>
      <c r="H14" s="44">
        <v>9684.6567225498347</v>
      </c>
      <c r="I14" s="44">
        <v>4765.7787972603637</v>
      </c>
      <c r="J14" s="46">
        <v>4918.8779252894101</v>
      </c>
      <c r="K14" s="44">
        <v>30961.655216830739</v>
      </c>
      <c r="L14" s="44">
        <v>15365.655704054141</v>
      </c>
      <c r="M14" s="44">
        <v>15595.99951279328</v>
      </c>
      <c r="N14" s="56">
        <v>20950.317842463737</v>
      </c>
      <c r="O14" s="44">
        <v>10439.118733469741</v>
      </c>
      <c r="P14" s="45">
        <v>10511.199108993551</v>
      </c>
      <c r="Q14" s="44">
        <v>10011.33737438249</v>
      </c>
      <c r="R14" s="44">
        <v>4926.5369705835155</v>
      </c>
      <c r="S14" s="46">
        <v>5084.8004037988194</v>
      </c>
      <c r="T14" s="44">
        <v>32002.966243405994</v>
      </c>
      <c r="U14" s="44">
        <v>15882.437723706198</v>
      </c>
      <c r="V14" s="44">
        <v>16120.528519686635</v>
      </c>
      <c r="W14" s="56">
        <v>21654.924777276377</v>
      </c>
      <c r="X14" s="44">
        <v>10790.210087227784</v>
      </c>
      <c r="Y14" s="45">
        <v>10864.714690051631</v>
      </c>
      <c r="Z14" s="44">
        <v>10348.041466120772</v>
      </c>
      <c r="AA14" s="44">
        <v>5092.2276364819954</v>
      </c>
      <c r="AB14" s="46">
        <v>5255.8138296386896</v>
      </c>
    </row>
    <row r="15" spans="1:28" ht="12" customHeight="1" x14ac:dyDescent="0.2">
      <c r="A15" s="64" t="s">
        <v>11</v>
      </c>
      <c r="B15" s="44">
        <v>22728.682335260739</v>
      </c>
      <c r="C15" s="44">
        <v>10924.226278122469</v>
      </c>
      <c r="D15" s="45">
        <v>11804.456057142901</v>
      </c>
      <c r="E15" s="44">
        <v>15195.306855364992</v>
      </c>
      <c r="F15" s="44">
        <v>7190.0556176379441</v>
      </c>
      <c r="G15" s="45">
        <v>8005.2512377277881</v>
      </c>
      <c r="H15" s="44">
        <v>7533.3754799018197</v>
      </c>
      <c r="I15" s="44">
        <v>3734.1706604853398</v>
      </c>
      <c r="J15" s="46">
        <v>3799.2048194164363</v>
      </c>
      <c r="K15" s="44">
        <v>23495.361111113725</v>
      </c>
      <c r="L15" s="44">
        <v>11292.719810060098</v>
      </c>
      <c r="M15" s="44">
        <v>12202.641301054744</v>
      </c>
      <c r="N15" s="56">
        <v>15707.8715120698</v>
      </c>
      <c r="O15" s="44">
        <v>7432.5889487792856</v>
      </c>
      <c r="P15" s="45">
        <v>8275.2825632915446</v>
      </c>
      <c r="Q15" s="44">
        <v>7787.4895990470977</v>
      </c>
      <c r="R15" s="44">
        <v>3860.1308612822768</v>
      </c>
      <c r="S15" s="46">
        <v>3927.3587377647218</v>
      </c>
      <c r="T15" s="44">
        <v>24285.563651220375</v>
      </c>
      <c r="U15" s="44">
        <v>11672.519713383639</v>
      </c>
      <c r="V15" s="44">
        <v>12613.043937832195</v>
      </c>
      <c r="W15" s="56">
        <v>16236.16302926173</v>
      </c>
      <c r="X15" s="44">
        <v>7682.5638539966349</v>
      </c>
      <c r="Y15" s="45">
        <v>8553.5991752638038</v>
      </c>
      <c r="Z15" s="44">
        <v>8049.4006219516223</v>
      </c>
      <c r="AA15" s="44">
        <v>3989.9558593854185</v>
      </c>
      <c r="AB15" s="46">
        <v>4059.4447625662833</v>
      </c>
    </row>
    <row r="16" spans="1:28" ht="12" customHeight="1" x14ac:dyDescent="0.2">
      <c r="A16" s="64" t="s">
        <v>12</v>
      </c>
      <c r="B16" s="44">
        <v>17060.123552153214</v>
      </c>
      <c r="C16" s="44">
        <v>8035.4996837426061</v>
      </c>
      <c r="D16" s="45">
        <v>9024.6238684151449</v>
      </c>
      <c r="E16" s="44">
        <v>11367.36601223555</v>
      </c>
      <c r="F16" s="44">
        <v>5288.9407856288681</v>
      </c>
      <c r="G16" s="45">
        <v>6078.4252266063922</v>
      </c>
      <c r="H16" s="44">
        <v>5692.7575399217494</v>
      </c>
      <c r="I16" s="44">
        <v>2746.5588981131586</v>
      </c>
      <c r="J16" s="46">
        <v>2946.1986418086035</v>
      </c>
      <c r="K16" s="44">
        <v>17635.591784227243</v>
      </c>
      <c r="L16" s="44">
        <v>8306.5513430501778</v>
      </c>
      <c r="M16" s="44">
        <v>9329.0404411781819</v>
      </c>
      <c r="N16" s="56">
        <v>11750.807433534257</v>
      </c>
      <c r="O16" s="44">
        <v>5467.3461409090842</v>
      </c>
      <c r="P16" s="45">
        <v>6283.4612926261107</v>
      </c>
      <c r="Q16" s="44">
        <v>5884.784350695264</v>
      </c>
      <c r="R16" s="44">
        <v>2839.2052021419909</v>
      </c>
      <c r="S16" s="46">
        <v>3045.579148553205</v>
      </c>
      <c r="T16" s="44">
        <v>18228.716927452009</v>
      </c>
      <c r="U16" s="44">
        <v>8585.9195953479993</v>
      </c>
      <c r="V16" s="44">
        <v>9642.7973320994697</v>
      </c>
      <c r="W16" s="56">
        <v>12146.013867614311</v>
      </c>
      <c r="X16" s="44">
        <v>5651.2254517093716</v>
      </c>
      <c r="Y16" s="45">
        <v>6494.7884159050363</v>
      </c>
      <c r="Z16" s="44">
        <v>6082.7030598325746</v>
      </c>
      <c r="AA16" s="44">
        <v>2934.6941436387001</v>
      </c>
      <c r="AB16" s="46">
        <v>3148.0089161939231</v>
      </c>
    </row>
    <row r="17" spans="1:28" ht="12" customHeight="1" x14ac:dyDescent="0.2">
      <c r="A17" s="64" t="s">
        <v>13</v>
      </c>
      <c r="B17" s="44">
        <v>13047.667188336707</v>
      </c>
      <c r="C17" s="44">
        <v>6135.8972740341396</v>
      </c>
      <c r="D17" s="45">
        <v>6911.7699143051932</v>
      </c>
      <c r="E17" s="44">
        <v>8995.8878447014922</v>
      </c>
      <c r="F17" s="44">
        <v>4222.6830636189852</v>
      </c>
      <c r="G17" s="45">
        <v>4773.2047810822241</v>
      </c>
      <c r="H17" s="44">
        <v>4051.7793436371899</v>
      </c>
      <c r="I17" s="44">
        <v>1913.2142104147281</v>
      </c>
      <c r="J17" s="46">
        <v>2138.5651332224652</v>
      </c>
      <c r="K17" s="44">
        <v>13487.788149160584</v>
      </c>
      <c r="L17" s="44">
        <v>6342.8719741682617</v>
      </c>
      <c r="M17" s="44">
        <v>7144.9161749934392</v>
      </c>
      <c r="N17" s="56">
        <v>9299.3351004076212</v>
      </c>
      <c r="O17" s="44">
        <v>4365.1216543946521</v>
      </c>
      <c r="P17" s="45">
        <v>4934.2134460134403</v>
      </c>
      <c r="Q17" s="44">
        <v>4188.4530487546663</v>
      </c>
      <c r="R17" s="44">
        <v>1977.7503197740195</v>
      </c>
      <c r="S17" s="46">
        <v>2210.7027289806033</v>
      </c>
      <c r="T17" s="44">
        <v>13941.413203290465</v>
      </c>
      <c r="U17" s="44">
        <v>6556.1972140647513</v>
      </c>
      <c r="V17" s="44">
        <v>7385.2159892225482</v>
      </c>
      <c r="W17" s="56">
        <v>9612.0929330188937</v>
      </c>
      <c r="X17" s="44">
        <v>4511.93064374396</v>
      </c>
      <c r="Y17" s="45">
        <v>5100.1622892750484</v>
      </c>
      <c r="Z17" s="44">
        <v>4329.3202702687286</v>
      </c>
      <c r="AA17" s="44">
        <v>2044.2665703210075</v>
      </c>
      <c r="AB17" s="46">
        <v>2285.0536999477522</v>
      </c>
    </row>
    <row r="18" spans="1:28" ht="12" customHeight="1" x14ac:dyDescent="0.2">
      <c r="A18" s="64" t="s">
        <v>14</v>
      </c>
      <c r="B18" s="44">
        <v>10981.69832554992</v>
      </c>
      <c r="C18" s="44">
        <v>5379.686123672489</v>
      </c>
      <c r="D18" s="45">
        <v>5602.0122018788143</v>
      </c>
      <c r="E18" s="44">
        <v>7105.359968797462</v>
      </c>
      <c r="F18" s="44">
        <v>3478.571291663151</v>
      </c>
      <c r="G18" s="45">
        <v>3626.7886771340268</v>
      </c>
      <c r="H18" s="44">
        <v>3876.3383567533087</v>
      </c>
      <c r="I18" s="44">
        <v>1901.114832008943</v>
      </c>
      <c r="J18" s="46">
        <v>1975.2235247443705</v>
      </c>
      <c r="K18" s="44">
        <v>11352.130491602704</v>
      </c>
      <c r="L18" s="44">
        <v>5561.1524801866071</v>
      </c>
      <c r="M18" s="44">
        <v>5790.9780114172136</v>
      </c>
      <c r="N18" s="56">
        <v>7345.0363654533012</v>
      </c>
      <c r="O18" s="44">
        <v>3595.9096723164976</v>
      </c>
      <c r="P18" s="45">
        <v>3749.1266931369414</v>
      </c>
      <c r="Q18" s="44">
        <v>4007.0941261508788</v>
      </c>
      <c r="R18" s="44">
        <v>1965.2428078703101</v>
      </c>
      <c r="S18" s="46">
        <v>2041.8513182805291</v>
      </c>
      <c r="T18" s="44">
        <v>11733.92851154351</v>
      </c>
      <c r="U18" s="44">
        <v>5748.1867119616354</v>
      </c>
      <c r="V18" s="44">
        <v>5985.7417995799515</v>
      </c>
      <c r="W18" s="56">
        <v>7592.0666777610832</v>
      </c>
      <c r="X18" s="44">
        <v>3716.8483096744776</v>
      </c>
      <c r="Y18" s="45">
        <v>3875.2183680866929</v>
      </c>
      <c r="Z18" s="44">
        <v>4141.8618337807957</v>
      </c>
      <c r="AA18" s="44">
        <v>2031.3384022873579</v>
      </c>
      <c r="AB18" s="46">
        <v>2110.5234314934673</v>
      </c>
    </row>
    <row r="19" spans="1:28" ht="12" customHeight="1" x14ac:dyDescent="0.2">
      <c r="A19" s="64" t="s">
        <v>15</v>
      </c>
      <c r="B19" s="44">
        <v>8076.4079283906458</v>
      </c>
      <c r="C19" s="44">
        <v>4034.4369828854319</v>
      </c>
      <c r="D19" s="45">
        <v>4041.9709455051993</v>
      </c>
      <c r="E19" s="44">
        <v>5051.5219365539979</v>
      </c>
      <c r="F19" s="44">
        <v>2478.673701903439</v>
      </c>
      <c r="G19" s="45">
        <v>2572.8482346505307</v>
      </c>
      <c r="H19" s="44">
        <v>3024.8859918365524</v>
      </c>
      <c r="I19" s="44">
        <v>1555.7632809819313</v>
      </c>
      <c r="J19" s="46">
        <v>1469.1227108546097</v>
      </c>
      <c r="K19" s="44">
        <v>8348.8394953619118</v>
      </c>
      <c r="L19" s="44">
        <v>4170.5256994093379</v>
      </c>
      <c r="M19" s="44">
        <v>4178.3137959535179</v>
      </c>
      <c r="N19" s="56">
        <v>5221.9187328738744</v>
      </c>
      <c r="O19" s="44">
        <v>2562.2837630357894</v>
      </c>
      <c r="P19" s="45">
        <v>2659.6349698380618</v>
      </c>
      <c r="Q19" s="44">
        <v>3126.9207624889536</v>
      </c>
      <c r="R19" s="44">
        <v>1608.2419363735164</v>
      </c>
      <c r="S19" s="46">
        <v>1518.6788261154272</v>
      </c>
      <c r="T19" s="44">
        <v>8629.6299945977371</v>
      </c>
      <c r="U19" s="44">
        <v>4310.7899833084884</v>
      </c>
      <c r="V19" s="44">
        <v>4318.8400112885247</v>
      </c>
      <c r="W19" s="56">
        <v>5397.5437606130972</v>
      </c>
      <c r="X19" s="44">
        <v>2648.4592054313362</v>
      </c>
      <c r="Y19" s="45">
        <v>2749.084555181767</v>
      </c>
      <c r="Z19" s="44">
        <v>3232.0862339838427</v>
      </c>
      <c r="AA19" s="44">
        <v>1662.3307778771227</v>
      </c>
      <c r="AB19" s="46">
        <v>1569.7554561067252</v>
      </c>
    </row>
    <row r="20" spans="1:28" ht="12" customHeight="1" x14ac:dyDescent="0.2">
      <c r="A20" s="64" t="s">
        <v>16</v>
      </c>
      <c r="B20" s="44">
        <v>5735.2290442979238</v>
      </c>
      <c r="C20" s="44">
        <v>2680.2072019822403</v>
      </c>
      <c r="D20" s="45">
        <v>3055.0218423156689</v>
      </c>
      <c r="E20" s="44">
        <v>3139.7789217880236</v>
      </c>
      <c r="F20" s="44">
        <v>1414.5014818613022</v>
      </c>
      <c r="G20" s="45">
        <v>1725.2774399267037</v>
      </c>
      <c r="H20" s="44">
        <v>2595.450122509817</v>
      </c>
      <c r="I20" s="44">
        <v>1265.7057201208906</v>
      </c>
      <c r="J20" s="46">
        <v>1329.7444023889138</v>
      </c>
      <c r="K20" s="44">
        <v>5928.6884942579745</v>
      </c>
      <c r="L20" s="44">
        <v>2770.6153455926724</v>
      </c>
      <c r="M20" s="44">
        <v>3158.0731486657182</v>
      </c>
      <c r="N20" s="56">
        <v>3245.689234787742</v>
      </c>
      <c r="O20" s="44">
        <v>1462.2151261701142</v>
      </c>
      <c r="P20" s="45">
        <v>1783.4741086176111</v>
      </c>
      <c r="Q20" s="44">
        <v>2682.999259470595</v>
      </c>
      <c r="R20" s="44">
        <v>1308.4002194225188</v>
      </c>
      <c r="S20" s="46">
        <v>1374.5990400480646</v>
      </c>
      <c r="T20" s="44">
        <v>6128.0837998016714</v>
      </c>
      <c r="U20" s="44">
        <v>2863.7974538972512</v>
      </c>
      <c r="V20" s="44">
        <v>3264.286345903964</v>
      </c>
      <c r="W20" s="56">
        <v>3354.8491606793605</v>
      </c>
      <c r="X20" s="44">
        <v>1511.392753251472</v>
      </c>
      <c r="Y20" s="45">
        <v>1843.4564074278933</v>
      </c>
      <c r="Z20" s="44">
        <v>2773.234639121878</v>
      </c>
      <c r="AA20" s="44">
        <v>1352.4047006457952</v>
      </c>
      <c r="AB20" s="46">
        <v>1420.8299384760876</v>
      </c>
    </row>
    <row r="21" spans="1:28" ht="12" customHeight="1" x14ac:dyDescent="0.2">
      <c r="A21" s="64" t="s">
        <v>17</v>
      </c>
      <c r="B21" s="44">
        <v>3435.486954613923</v>
      </c>
      <c r="C21" s="44">
        <v>1495.4915800238157</v>
      </c>
      <c r="D21" s="45">
        <v>1939.9953745900928</v>
      </c>
      <c r="E21" s="44">
        <v>1698.9085707575186</v>
      </c>
      <c r="F21" s="44">
        <v>695.00805167352462</v>
      </c>
      <c r="G21" s="45">
        <v>1003.9005190839835</v>
      </c>
      <c r="H21" s="44">
        <v>1736.5783838563477</v>
      </c>
      <c r="I21" s="44">
        <v>800.48352835026617</v>
      </c>
      <c r="J21" s="46">
        <v>936.09485550607553</v>
      </c>
      <c r="K21" s="44">
        <v>3551.3720241469005</v>
      </c>
      <c r="L21" s="44">
        <v>1545.9371640200804</v>
      </c>
      <c r="M21" s="44">
        <v>2005.4348601268082</v>
      </c>
      <c r="N21" s="56">
        <v>1756.2157707129759</v>
      </c>
      <c r="O21" s="44">
        <v>718.45190620075778</v>
      </c>
      <c r="P21" s="45">
        <v>1037.763864512209</v>
      </c>
      <c r="Q21" s="44">
        <v>1795.1562534338796</v>
      </c>
      <c r="R21" s="44">
        <v>827.4852578193013</v>
      </c>
      <c r="S21" s="46">
        <v>967.67099561457053</v>
      </c>
      <c r="T21" s="44">
        <v>3670.8127588957027</v>
      </c>
      <c r="U21" s="44">
        <v>1597.9305540368371</v>
      </c>
      <c r="V21" s="44">
        <v>2072.8822048588686</v>
      </c>
      <c r="W21" s="56">
        <v>1815.2813094977723</v>
      </c>
      <c r="X21" s="44">
        <v>742.61508115818219</v>
      </c>
      <c r="Y21" s="45">
        <v>1072.6662283395945</v>
      </c>
      <c r="Z21" s="44">
        <v>1855.531449397949</v>
      </c>
      <c r="AA21" s="44">
        <v>855.31547287866556</v>
      </c>
      <c r="AB21" s="46">
        <v>1000.2159765192858</v>
      </c>
    </row>
    <row r="22" spans="1:28" ht="12" customHeight="1" x14ac:dyDescent="0.2">
      <c r="A22" s="64" t="s">
        <v>18</v>
      </c>
      <c r="B22" s="44">
        <v>2661.3722954328218</v>
      </c>
      <c r="C22" s="44">
        <v>1158.3467527892242</v>
      </c>
      <c r="D22" s="45">
        <v>1503.0255426435831</v>
      </c>
      <c r="E22" s="44">
        <v>1231.802888331943</v>
      </c>
      <c r="F22" s="44">
        <v>470.87266373545077</v>
      </c>
      <c r="G22" s="45">
        <v>760.93022459648739</v>
      </c>
      <c r="H22" s="44">
        <v>1429.5694071008315</v>
      </c>
      <c r="I22" s="44">
        <v>687.47408905375789</v>
      </c>
      <c r="J22" s="46">
        <v>742.09531804707046</v>
      </c>
      <c r="K22" s="44">
        <v>2751.1451042322178</v>
      </c>
      <c r="L22" s="44">
        <v>1197.4198436679437</v>
      </c>
      <c r="M22" s="44">
        <v>1553.7252605642623</v>
      </c>
      <c r="N22" s="56">
        <v>1273.3537849737056</v>
      </c>
      <c r="O22" s="44">
        <v>486.75603401135447</v>
      </c>
      <c r="P22" s="45">
        <v>786.59775096234705</v>
      </c>
      <c r="Q22" s="44">
        <v>1477.791319258474</v>
      </c>
      <c r="R22" s="44">
        <v>710.66380965657629</v>
      </c>
      <c r="S22" s="46">
        <v>767.12750960189351</v>
      </c>
      <c r="T22" s="44">
        <v>2843.6723839471651</v>
      </c>
      <c r="U22" s="44">
        <v>1237.6918019302964</v>
      </c>
      <c r="V22" s="44">
        <v>1605.9805820168715</v>
      </c>
      <c r="W22" s="56">
        <v>1316.1795747356371</v>
      </c>
      <c r="X22" s="44">
        <v>503.12674875215697</v>
      </c>
      <c r="Y22" s="45">
        <v>813.05282598348356</v>
      </c>
      <c r="Z22" s="44">
        <v>1527.4928092115445</v>
      </c>
      <c r="AA22" s="44">
        <v>734.56505317814822</v>
      </c>
      <c r="AB22" s="46">
        <v>792.9277560333984</v>
      </c>
    </row>
    <row r="23" spans="1:28" ht="12" customHeight="1" x14ac:dyDescent="0.2">
      <c r="A23" s="64" t="s">
        <v>19</v>
      </c>
      <c r="B23" s="44">
        <v>791.06607507556316</v>
      </c>
      <c r="C23" s="44">
        <v>307.0089767555134</v>
      </c>
      <c r="D23" s="45">
        <v>484.05709832004214</v>
      </c>
      <c r="E23" s="44">
        <v>354.09624312905891</v>
      </c>
      <c r="F23" s="44">
        <v>111.12594864156648</v>
      </c>
      <c r="G23" s="45">
        <v>242.97029448749285</v>
      </c>
      <c r="H23" s="44">
        <v>436.96983194649829</v>
      </c>
      <c r="I23" s="44">
        <v>195.88302811394777</v>
      </c>
      <c r="J23" s="46">
        <v>241.08680383255117</v>
      </c>
      <c r="K23" s="44">
        <v>817.7501371390797</v>
      </c>
      <c r="L23" s="44">
        <v>317.36493417540299</v>
      </c>
      <c r="M23" s="44">
        <v>500.38520296367057</v>
      </c>
      <c r="N23" s="56">
        <v>366.04053757653861</v>
      </c>
      <c r="O23" s="44">
        <v>114.87442402667943</v>
      </c>
      <c r="P23" s="45">
        <v>251.16611354985864</v>
      </c>
      <c r="Q23" s="44">
        <v>451.70959956253688</v>
      </c>
      <c r="R23" s="44">
        <v>202.49051014872313</v>
      </c>
      <c r="S23" s="46">
        <v>249.21908941381307</v>
      </c>
      <c r="T23" s="44">
        <v>845.25293790361798</v>
      </c>
      <c r="U23" s="44">
        <v>328.03864018640593</v>
      </c>
      <c r="V23" s="44">
        <v>517.214297717215</v>
      </c>
      <c r="W23" s="56">
        <v>378.3513150616223</v>
      </c>
      <c r="X23" s="44">
        <v>118.737912705509</v>
      </c>
      <c r="Y23" s="45">
        <v>259.61340235611294</v>
      </c>
      <c r="Z23" s="44">
        <v>466.90162284200193</v>
      </c>
      <c r="AA23" s="44">
        <v>209.30072748089719</v>
      </c>
      <c r="AB23" s="46">
        <v>257.60089536110422</v>
      </c>
    </row>
    <row r="24" spans="1:28" ht="12" customHeight="1" x14ac:dyDescent="0.2">
      <c r="A24" s="64" t="s">
        <v>20</v>
      </c>
      <c r="B24" s="44">
        <v>510.42596748922699</v>
      </c>
      <c r="C24" s="44">
        <v>197.76651876888926</v>
      </c>
      <c r="D24" s="45">
        <v>312.65944872033879</v>
      </c>
      <c r="E24" s="44">
        <v>177.04812156452971</v>
      </c>
      <c r="F24" s="44">
        <v>54.621228993312343</v>
      </c>
      <c r="G24" s="45">
        <v>122.42689257121729</v>
      </c>
      <c r="H24" s="44">
        <v>333.37784592469944</v>
      </c>
      <c r="I24" s="44">
        <v>143.1452897755772</v>
      </c>
      <c r="J24" s="46">
        <v>190.23255614912236</v>
      </c>
      <c r="K24" s="44">
        <v>527.64354086830667</v>
      </c>
      <c r="L24" s="44">
        <v>204.43753428476904</v>
      </c>
      <c r="M24" s="44">
        <v>323.20600658353919</v>
      </c>
      <c r="N24" s="56">
        <v>183.02026878826896</v>
      </c>
      <c r="O24" s="44">
        <v>56.463699945317018</v>
      </c>
      <c r="P24" s="45">
        <v>126.55656884295193</v>
      </c>
      <c r="Q24" s="44">
        <v>344.62327208003842</v>
      </c>
      <c r="R24" s="44">
        <v>147.97383433945149</v>
      </c>
      <c r="S24" s="46">
        <v>196.64943774058685</v>
      </c>
      <c r="T24" s="44">
        <v>545.3893956473355</v>
      </c>
      <c r="U24" s="44">
        <v>211.31323447590606</v>
      </c>
      <c r="V24" s="44">
        <v>334.07616117143175</v>
      </c>
      <c r="W24" s="56">
        <v>189.17565753081089</v>
      </c>
      <c r="X24" s="44">
        <v>58.36270285525022</v>
      </c>
      <c r="Y24" s="45">
        <v>130.8129546755608</v>
      </c>
      <c r="Z24" s="44">
        <v>356.21373811652711</v>
      </c>
      <c r="AA24" s="44">
        <v>152.95053162065574</v>
      </c>
      <c r="AB24" s="46">
        <v>203.26320649587132</v>
      </c>
    </row>
    <row r="25" spans="1:28" ht="12" customHeight="1" thickBot="1" x14ac:dyDescent="0.25">
      <c r="A25" s="65" t="s">
        <v>21</v>
      </c>
      <c r="B25" s="47">
        <v>371.04765902353444</v>
      </c>
      <c r="C25" s="47">
        <v>109.24245798662476</v>
      </c>
      <c r="D25" s="48">
        <v>261.80520103691032</v>
      </c>
      <c r="E25" s="47">
        <v>156.32972436016985</v>
      </c>
      <c r="F25" s="47">
        <v>33.902831788952497</v>
      </c>
      <c r="G25" s="48">
        <v>122.42689257121734</v>
      </c>
      <c r="H25" s="47">
        <v>214.71793466336575</v>
      </c>
      <c r="I25" s="47">
        <v>75.339626197672217</v>
      </c>
      <c r="J25" s="49">
        <v>139.37830846569355</v>
      </c>
      <c r="K25" s="47">
        <v>383.56375480094658</v>
      </c>
      <c r="L25" s="47">
        <v>112.92739989063402</v>
      </c>
      <c r="M25" s="47">
        <v>270.6363549103134</v>
      </c>
      <c r="N25" s="57">
        <v>161.6030032917694</v>
      </c>
      <c r="O25" s="47">
        <v>35.046434448817465</v>
      </c>
      <c r="P25" s="48">
        <v>126.55656884295192</v>
      </c>
      <c r="Q25" s="47">
        <v>221.96075150917724</v>
      </c>
      <c r="R25" s="47">
        <v>77.880965441816571</v>
      </c>
      <c r="S25" s="49">
        <v>144.07978606736066</v>
      </c>
      <c r="T25" s="47">
        <v>396.46387801669857</v>
      </c>
      <c r="U25" s="47">
        <v>116.72540571050025</v>
      </c>
      <c r="V25" s="47">
        <v>279.73847230619936</v>
      </c>
      <c r="W25" s="57">
        <v>167.03808058571607</v>
      </c>
      <c r="X25" s="47">
        <v>36.225125910155306</v>
      </c>
      <c r="Y25" s="48">
        <v>130.81295467556077</v>
      </c>
      <c r="Z25" s="47">
        <v>229.42579743098352</v>
      </c>
      <c r="AA25" s="47">
        <v>80.500279800345126</v>
      </c>
      <c r="AB25" s="49">
        <v>148.92551763063847</v>
      </c>
    </row>
    <row r="26" spans="1:28" ht="14.25" customHeight="1" x14ac:dyDescent="0.2">
      <c r="A26" s="66" t="s">
        <v>69</v>
      </c>
      <c r="B26" s="53">
        <v>428185.53038191242</v>
      </c>
      <c r="C26" s="54">
        <v>212302.43891728518</v>
      </c>
      <c r="D26" s="69">
        <v>215883.09146465702</v>
      </c>
      <c r="E26" s="54">
        <v>274184.10141717817</v>
      </c>
      <c r="F26" s="54">
        <v>133828.67442642091</v>
      </c>
      <c r="G26" s="69">
        <v>140355.42699072391</v>
      </c>
      <c r="H26" s="54">
        <v>154001.4289645539</v>
      </c>
      <c r="I26" s="54">
        <v>78473.764490743808</v>
      </c>
      <c r="J26" s="74">
        <v>75527.664473805227</v>
      </c>
      <c r="K26" s="58">
        <v>442628.98792241688</v>
      </c>
      <c r="L26" s="58">
        <v>219463.7768066104</v>
      </c>
      <c r="M26" s="71">
        <v>223165.21111649909</v>
      </c>
      <c r="N26" s="58">
        <v>283432.81756067014</v>
      </c>
      <c r="O26" s="58">
        <v>138342.95302690571</v>
      </c>
      <c r="P26" s="71">
        <v>145089.864533669</v>
      </c>
      <c r="Q26" s="58">
        <v>159196.17036206948</v>
      </c>
      <c r="R26" s="58">
        <v>81120.82377947816</v>
      </c>
      <c r="S26" s="72">
        <v>78075.346582586557</v>
      </c>
      <c r="T26" s="58">
        <v>457515.60953940672</v>
      </c>
      <c r="U26" s="58">
        <v>226844.84377832571</v>
      </c>
      <c r="V26" s="71">
        <v>230670.76575960382</v>
      </c>
      <c r="W26" s="58">
        <v>292965.30915856111</v>
      </c>
      <c r="X26" s="58">
        <v>142995.74182079951</v>
      </c>
      <c r="Y26" s="71">
        <v>149969.56733774516</v>
      </c>
      <c r="Z26" s="58">
        <v>164550.30037941752</v>
      </c>
      <c r="AA26" s="58">
        <v>83849.101957529812</v>
      </c>
      <c r="AB26" s="72">
        <v>80701.198421864625</v>
      </c>
    </row>
    <row r="27" spans="1:28" ht="12" customHeight="1" x14ac:dyDescent="0.2">
      <c r="A27" s="67" t="s">
        <v>22</v>
      </c>
      <c r="B27" s="50">
        <v>20598.633328074568</v>
      </c>
      <c r="C27" s="50">
        <v>10211.166139732721</v>
      </c>
      <c r="D27" s="51">
        <v>10387.467188342274</v>
      </c>
      <c r="E27" s="50">
        <v>14208.91153928224</v>
      </c>
      <c r="F27" s="50">
        <v>6891.6238731214908</v>
      </c>
      <c r="G27" s="51">
        <v>7317.2876661605469</v>
      </c>
      <c r="H27" s="50">
        <v>6389.7217887921479</v>
      </c>
      <c r="I27" s="50">
        <v>3319.5422666108816</v>
      </c>
      <c r="J27" s="52">
        <v>3070.1795221812595</v>
      </c>
      <c r="K27" s="50">
        <v>21293.46177220525</v>
      </c>
      <c r="L27" s="50">
        <v>10555.606888234091</v>
      </c>
      <c r="M27" s="51">
        <v>10737.854883971217</v>
      </c>
      <c r="N27" s="50">
        <v>14688.203332111236</v>
      </c>
      <c r="O27" s="50">
        <v>7124.0905721027393</v>
      </c>
      <c r="P27" s="51">
        <v>7564.1127600085974</v>
      </c>
      <c r="Q27" s="50">
        <v>6605.2584400945007</v>
      </c>
      <c r="R27" s="50">
        <v>3431.5163161316195</v>
      </c>
      <c r="S27" s="52">
        <v>3173.7421239628816</v>
      </c>
      <c r="T27" s="50">
        <v>22009.609419403641</v>
      </c>
      <c r="U27" s="50">
        <v>10910.616004112573</v>
      </c>
      <c r="V27" s="51">
        <v>11098.993415289429</v>
      </c>
      <c r="W27" s="50">
        <v>15182.201084585202</v>
      </c>
      <c r="X27" s="50">
        <v>7363.6899738451966</v>
      </c>
      <c r="Y27" s="51">
        <v>7818.5111107409139</v>
      </c>
      <c r="Z27" s="50">
        <v>6827.4083348189033</v>
      </c>
      <c r="AA27" s="50">
        <v>3546.9260302688294</v>
      </c>
      <c r="AB27" s="52">
        <v>3280.4823045500702</v>
      </c>
    </row>
    <row r="28" spans="1:28" ht="11.1" customHeight="1" thickBot="1" x14ac:dyDescent="0.25">
      <c r="A28" s="68" t="s">
        <v>23</v>
      </c>
      <c r="B28" s="47">
        <v>407767.0102573373</v>
      </c>
      <c r="C28" s="47">
        <v>197480.29507833012</v>
      </c>
      <c r="D28" s="48">
        <v>210286.71517902904</v>
      </c>
      <c r="E28" s="47">
        <v>278377.59105265664</v>
      </c>
      <c r="F28" s="47">
        <v>134809.83647776788</v>
      </c>
      <c r="G28" s="48">
        <v>143567.75457501484</v>
      </c>
      <c r="H28" s="47">
        <v>129389.41920519709</v>
      </c>
      <c r="I28" s="47">
        <v>62670.458600848164</v>
      </c>
      <c r="J28" s="49">
        <v>66718.960604341642</v>
      </c>
      <c r="K28" s="47">
        <v>421521.71489114326</v>
      </c>
      <c r="L28" s="47">
        <v>204141.6557620705</v>
      </c>
      <c r="M28" s="48">
        <v>217380.05913144702</v>
      </c>
      <c r="N28" s="47">
        <v>287767.76104119635</v>
      </c>
      <c r="O28" s="47">
        <v>139357.21141488233</v>
      </c>
      <c r="P28" s="48">
        <v>148410.54962612275</v>
      </c>
      <c r="Q28" s="47">
        <v>133753.95385180472</v>
      </c>
      <c r="R28" s="47">
        <v>64784.444346849283</v>
      </c>
      <c r="S28" s="47">
        <v>68969.509504962611</v>
      </c>
      <c r="T28" s="73">
        <v>435698.45081348077</v>
      </c>
      <c r="U28" s="47">
        <v>211007.40488410895</v>
      </c>
      <c r="V28" s="48">
        <v>224691.04592916043</v>
      </c>
      <c r="W28" s="47">
        <v>297446.0466676603</v>
      </c>
      <c r="X28" s="47">
        <v>144044.11202973797</v>
      </c>
      <c r="Y28" s="48">
        <v>153401.93463755044</v>
      </c>
      <c r="Z28" s="47">
        <v>138252.40414509829</v>
      </c>
      <c r="AA28" s="47">
        <v>66963.292853982653</v>
      </c>
      <c r="AB28" s="49">
        <v>71289.111291127192</v>
      </c>
    </row>
    <row r="29" spans="1:28" ht="11.1" customHeight="1" x14ac:dyDescent="0.2">
      <c r="A29" s="281" t="s">
        <v>90</v>
      </c>
    </row>
    <row r="30" spans="1:28" ht="11.1" customHeight="1" x14ac:dyDescent="0.2">
      <c r="E30" s="249"/>
      <c r="F30" s="249"/>
      <c r="G30" s="249"/>
    </row>
    <row r="31" spans="1:28" ht="11.1" customHeight="1" x14ac:dyDescent="0.2"/>
    <row r="32" spans="1:28" ht="11.1" customHeight="1" x14ac:dyDescent="0.2"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</row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workbookViewId="0">
      <selection activeCell="A29" sqref="A29"/>
    </sheetView>
  </sheetViews>
  <sheetFormatPr defaultRowHeight="12" x14ac:dyDescent="0.2"/>
  <cols>
    <col min="1" max="1" width="16.5703125" style="22" customWidth="1"/>
    <col min="2" max="2" width="9.85546875" style="22" bestFit="1" customWidth="1"/>
    <col min="3" max="4" width="9.28515625" style="22" bestFit="1" customWidth="1"/>
    <col min="5" max="5" width="9.85546875" style="22" bestFit="1" customWidth="1"/>
    <col min="6" max="10" width="9.28515625" style="22" bestFit="1" customWidth="1"/>
    <col min="11" max="11" width="9.85546875" style="22" bestFit="1" customWidth="1"/>
    <col min="12" max="13" width="9.28515625" style="22" bestFit="1" customWidth="1"/>
    <col min="14" max="14" width="9.85546875" style="22" bestFit="1" customWidth="1"/>
    <col min="15" max="19" width="9.28515625" style="22" bestFit="1" customWidth="1"/>
    <col min="20" max="20" width="9.85546875" style="22" bestFit="1" customWidth="1"/>
    <col min="21" max="21" width="9.28515625" style="22" bestFit="1" customWidth="1"/>
    <col min="22" max="23" width="9.85546875" style="22" bestFit="1" customWidth="1"/>
    <col min="24" max="24" width="9.28515625" style="22" bestFit="1" customWidth="1"/>
    <col min="25" max="25" width="9.85546875" style="22" bestFit="1" customWidth="1"/>
    <col min="26" max="28" width="9.28515625" style="22" bestFit="1" customWidth="1"/>
    <col min="29" max="16384" width="9.140625" style="22"/>
  </cols>
  <sheetData>
    <row r="1" spans="1:28" ht="12.75" thickBot="1" x14ac:dyDescent="0.25">
      <c r="A1" s="126" t="s">
        <v>78</v>
      </c>
    </row>
    <row r="2" spans="1:28" ht="15.75" customHeight="1" x14ac:dyDescent="0.2">
      <c r="A2" s="284" t="s">
        <v>71</v>
      </c>
      <c r="B2" s="285"/>
      <c r="C2" s="285"/>
      <c r="D2" s="285"/>
      <c r="E2" s="285"/>
      <c r="F2" s="285"/>
      <c r="G2" s="285"/>
      <c r="H2" s="285"/>
      <c r="I2" s="285"/>
      <c r="J2" s="286"/>
      <c r="K2" s="284" t="s">
        <v>72</v>
      </c>
      <c r="L2" s="285"/>
      <c r="M2" s="285"/>
      <c r="N2" s="285"/>
      <c r="O2" s="285"/>
      <c r="P2" s="285"/>
      <c r="Q2" s="285"/>
      <c r="R2" s="285"/>
      <c r="S2" s="286"/>
      <c r="T2" s="284" t="s">
        <v>73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25">
      <c r="A3" s="294" t="s">
        <v>64</v>
      </c>
      <c r="B3" s="186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46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46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8" ht="15.75" customHeight="1" thickBot="1" x14ac:dyDescent="0.25">
      <c r="A4" s="288"/>
      <c r="B4" s="194" t="s">
        <v>1</v>
      </c>
      <c r="C4" s="5" t="s">
        <v>34</v>
      </c>
      <c r="D4" s="6" t="s">
        <v>35</v>
      </c>
      <c r="E4" s="81" t="s">
        <v>1</v>
      </c>
      <c r="F4" s="5" t="s">
        <v>34</v>
      </c>
      <c r="G4" s="6" t="s">
        <v>35</v>
      </c>
      <c r="H4" s="81" t="s">
        <v>1</v>
      </c>
      <c r="I4" s="5" t="s">
        <v>34</v>
      </c>
      <c r="J4" s="82" t="s">
        <v>35</v>
      </c>
      <c r="K4" s="80" t="s">
        <v>1</v>
      </c>
      <c r="L4" s="5" t="s">
        <v>34</v>
      </c>
      <c r="M4" s="5" t="s">
        <v>35</v>
      </c>
      <c r="N4" s="4" t="s">
        <v>1</v>
      </c>
      <c r="O4" s="5" t="s">
        <v>34</v>
      </c>
      <c r="P4" s="6" t="s">
        <v>35</v>
      </c>
      <c r="Q4" s="81" t="s">
        <v>1</v>
      </c>
      <c r="R4" s="5" t="s">
        <v>34</v>
      </c>
      <c r="S4" s="82" t="s">
        <v>35</v>
      </c>
      <c r="T4" s="80" t="s">
        <v>1</v>
      </c>
      <c r="U4" s="5" t="s">
        <v>34</v>
      </c>
      <c r="V4" s="5" t="s">
        <v>35</v>
      </c>
      <c r="W4" s="4" t="s">
        <v>1</v>
      </c>
      <c r="X4" s="5" t="s">
        <v>34</v>
      </c>
      <c r="Y4" s="6" t="s">
        <v>35</v>
      </c>
      <c r="Z4" s="81" t="s">
        <v>1</v>
      </c>
      <c r="AA4" s="5" t="s">
        <v>34</v>
      </c>
      <c r="AB4" s="82" t="s">
        <v>35</v>
      </c>
    </row>
    <row r="5" spans="1:28" ht="15.75" customHeight="1" thickBot="1" x14ac:dyDescent="0.25">
      <c r="A5" s="7" t="s">
        <v>70</v>
      </c>
      <c r="B5" s="8">
        <f>+SUM(B6:B25)</f>
        <v>354574.43526401604</v>
      </c>
      <c r="C5" s="8">
        <f t="shared" ref="C5:AB5" si="0">+SUM(C6:C25)</f>
        <v>171428.63546558275</v>
      </c>
      <c r="D5" s="8">
        <f t="shared" si="0"/>
        <v>183145.79979837534</v>
      </c>
      <c r="E5" s="10">
        <f t="shared" si="0"/>
        <v>351310.83264423272</v>
      </c>
      <c r="F5" s="8">
        <f t="shared" si="0"/>
        <v>169701.84720459473</v>
      </c>
      <c r="G5" s="9">
        <f t="shared" si="0"/>
        <v>181608.98543958232</v>
      </c>
      <c r="H5" s="8">
        <f t="shared" si="0"/>
        <v>3263.6026197814253</v>
      </c>
      <c r="I5" s="8">
        <f t="shared" si="0"/>
        <v>1726.7882609882679</v>
      </c>
      <c r="J5" s="274">
        <f t="shared" si="0"/>
        <v>1536.8143587931499</v>
      </c>
      <c r="K5" s="8">
        <f t="shared" si="0"/>
        <v>366534.85998048377</v>
      </c>
      <c r="L5" s="8">
        <f t="shared" si="0"/>
        <v>177211.22745425306</v>
      </c>
      <c r="M5" s="9">
        <f t="shared" si="0"/>
        <v>189323.63252624686</v>
      </c>
      <c r="N5" s="8">
        <f t="shared" si="0"/>
        <v>363161.17025470774</v>
      </c>
      <c r="O5" s="8">
        <f t="shared" si="0"/>
        <v>175426.19156189871</v>
      </c>
      <c r="P5" s="8">
        <f t="shared" si="0"/>
        <v>187734.9786928223</v>
      </c>
      <c r="Q5" s="10">
        <f t="shared" si="0"/>
        <v>3373.68972577768</v>
      </c>
      <c r="R5" s="8">
        <f t="shared" si="0"/>
        <v>1785.0358923537769</v>
      </c>
      <c r="S5" s="274">
        <f t="shared" si="0"/>
        <v>1588.6538334239171</v>
      </c>
      <c r="T5" s="8">
        <f t="shared" si="0"/>
        <v>378862.26265455695</v>
      </c>
      <c r="U5" s="8">
        <f t="shared" si="0"/>
        <v>183171.24489789363</v>
      </c>
      <c r="V5" s="8">
        <f t="shared" si="0"/>
        <v>195691.01775662351</v>
      </c>
      <c r="W5" s="10">
        <f t="shared" si="0"/>
        <v>375375.10805466154</v>
      </c>
      <c r="X5" s="8">
        <f t="shared" si="0"/>
        <v>181326.17418038368</v>
      </c>
      <c r="Y5" s="8">
        <f t="shared" si="0"/>
        <v>194048.93387424003</v>
      </c>
      <c r="Z5" s="10">
        <f t="shared" si="0"/>
        <v>3487.1545998944812</v>
      </c>
      <c r="AA5" s="8">
        <f t="shared" si="0"/>
        <v>1845.0707175104324</v>
      </c>
      <c r="AB5" s="274">
        <f t="shared" si="0"/>
        <v>1642.0838823840472</v>
      </c>
    </row>
    <row r="6" spans="1:28" ht="12" customHeight="1" x14ac:dyDescent="0.2">
      <c r="A6" s="11" t="s">
        <v>2</v>
      </c>
      <c r="B6" s="124">
        <v>46344.420224645299</v>
      </c>
      <c r="C6" s="101">
        <v>23211.322078199839</v>
      </c>
      <c r="D6" s="112">
        <v>23133.09814646114</v>
      </c>
      <c r="E6" s="113">
        <v>45886.484290926019</v>
      </c>
      <c r="F6" s="101">
        <v>23005.984257385753</v>
      </c>
      <c r="G6" s="112">
        <v>22880.500033554923</v>
      </c>
      <c r="H6" s="113">
        <v>457.93593371996656</v>
      </c>
      <c r="I6" s="101">
        <v>205.33782081393502</v>
      </c>
      <c r="J6" s="142">
        <v>252.59811290603125</v>
      </c>
      <c r="K6" s="148">
        <v>47907.699733824775</v>
      </c>
      <c r="L6" s="101">
        <v>23994.281148784325</v>
      </c>
      <c r="M6" s="112">
        <v>23913.418585058822</v>
      </c>
      <c r="N6" s="113">
        <v>47434.31680868275</v>
      </c>
      <c r="O6" s="101">
        <v>23782.01691900488</v>
      </c>
      <c r="P6" s="112">
        <v>23652.299889695219</v>
      </c>
      <c r="Q6" s="101">
        <v>473.38292514268369</v>
      </c>
      <c r="R6" s="101">
        <v>212.26422977928317</v>
      </c>
      <c r="S6" s="142">
        <v>261.11869536340384</v>
      </c>
      <c r="T6" s="153">
        <v>49518.9448575407</v>
      </c>
      <c r="U6" s="116">
        <v>24801.263506775595</v>
      </c>
      <c r="V6" s="116">
        <v>24717.681350746356</v>
      </c>
      <c r="W6" s="117">
        <v>49029.640985785176</v>
      </c>
      <c r="X6" s="116">
        <v>24581.860347198843</v>
      </c>
      <c r="Y6" s="118">
        <v>24447.780638568605</v>
      </c>
      <c r="Z6" s="116">
        <v>489.30387175491865</v>
      </c>
      <c r="AA6" s="116">
        <v>219.40315957693915</v>
      </c>
      <c r="AB6" s="154">
        <v>269.90071217798049</v>
      </c>
    </row>
    <row r="7" spans="1:28" ht="12" customHeight="1" x14ac:dyDescent="0.2">
      <c r="A7" s="11" t="s">
        <v>3</v>
      </c>
      <c r="B7" s="124">
        <v>46066.870848421604</v>
      </c>
      <c r="C7" s="101">
        <v>22790.810186193656</v>
      </c>
      <c r="D7" s="112">
        <v>23276.060662212589</v>
      </c>
      <c r="E7" s="113">
        <v>45702.932991406575</v>
      </c>
      <c r="F7" s="101">
        <v>22594.475289646522</v>
      </c>
      <c r="G7" s="112">
        <v>23108.457701745523</v>
      </c>
      <c r="H7" s="113">
        <v>363.9378570144807</v>
      </c>
      <c r="I7" s="101">
        <v>196.33489654728473</v>
      </c>
      <c r="J7" s="142">
        <v>167.60296046719432</v>
      </c>
      <c r="K7" s="148">
        <v>47620.788124774313</v>
      </c>
      <c r="L7" s="101">
        <v>23559.584644675218</v>
      </c>
      <c r="M7" s="112">
        <v>24061.203480085322</v>
      </c>
      <c r="N7" s="113">
        <v>47244.573998216736</v>
      </c>
      <c r="O7" s="101">
        <v>23356.627023769157</v>
      </c>
      <c r="P7" s="112">
        <v>23887.946974433806</v>
      </c>
      <c r="Q7" s="101">
        <v>376.21412655733536</v>
      </c>
      <c r="R7" s="101">
        <v>202.95762090593192</v>
      </c>
      <c r="S7" s="142">
        <v>173.25650565140526</v>
      </c>
      <c r="T7" s="153">
        <v>49222.383757193908</v>
      </c>
      <c r="U7" s="116">
        <v>24351.947168563034</v>
      </c>
      <c r="V7" s="116">
        <v>24870.436588596851</v>
      </c>
      <c r="W7" s="117">
        <v>48833.516692167716</v>
      </c>
      <c r="X7" s="116">
        <v>24142.163620325668</v>
      </c>
      <c r="Y7" s="118">
        <v>24691.353071808855</v>
      </c>
      <c r="Z7" s="116">
        <v>388.86706502545348</v>
      </c>
      <c r="AA7" s="116">
        <v>209.7835482374158</v>
      </c>
      <c r="AB7" s="154">
        <v>179.08351678803791</v>
      </c>
    </row>
    <row r="8" spans="1:28" ht="12" customHeight="1" x14ac:dyDescent="0.2">
      <c r="A8" s="11" t="s">
        <v>4</v>
      </c>
      <c r="B8" s="124">
        <v>48603.262316828979</v>
      </c>
      <c r="C8" s="101">
        <v>22993.529957425249</v>
      </c>
      <c r="D8" s="112">
        <v>25609.732359382589</v>
      </c>
      <c r="E8" s="113">
        <v>48132.377808849007</v>
      </c>
      <c r="F8" s="101">
        <v>22739.731188717979</v>
      </c>
      <c r="G8" s="112">
        <v>25392.646620110962</v>
      </c>
      <c r="H8" s="113">
        <v>470.88450797926356</v>
      </c>
      <c r="I8" s="101">
        <v>253.79876870746554</v>
      </c>
      <c r="J8" s="142">
        <v>217.08573927179447</v>
      </c>
      <c r="K8" s="148">
        <v>50242.736576967254</v>
      </c>
      <c r="L8" s="101">
        <v>23769.142513415623</v>
      </c>
      <c r="M8" s="112">
        <v>26473.594063537857</v>
      </c>
      <c r="N8" s="113">
        <v>49755.968299184424</v>
      </c>
      <c r="O8" s="101">
        <v>23506.782662000471</v>
      </c>
      <c r="P8" s="112">
        <v>26249.18563717018</v>
      </c>
      <c r="Q8" s="101">
        <v>486.76827778251601</v>
      </c>
      <c r="R8" s="101">
        <v>262.35985141498514</v>
      </c>
      <c r="S8" s="142">
        <v>224.4084263675345</v>
      </c>
      <c r="T8" s="153">
        <v>51932.514311258026</v>
      </c>
      <c r="U8" s="116">
        <v>24568.552946011372</v>
      </c>
      <c r="V8" s="116">
        <v>27363.961365206851</v>
      </c>
      <c r="W8" s="117">
        <v>51429.374906947822</v>
      </c>
      <c r="X8" s="116">
        <v>24297.369334875264</v>
      </c>
      <c r="Y8" s="118">
        <v>27132.005572033828</v>
      </c>
      <c r="Z8" s="116">
        <v>503.13940430924896</v>
      </c>
      <c r="AA8" s="116">
        <v>271.18361113617158</v>
      </c>
      <c r="AB8" s="154">
        <v>231.95579317307761</v>
      </c>
    </row>
    <row r="9" spans="1:28" ht="12" customHeight="1" x14ac:dyDescent="0.2">
      <c r="A9" s="11" t="s">
        <v>5</v>
      </c>
      <c r="B9" s="124">
        <v>47861.763953149879</v>
      </c>
      <c r="C9" s="101">
        <v>22665.008681594987</v>
      </c>
      <c r="D9" s="112">
        <v>25196.755271534686</v>
      </c>
      <c r="E9" s="113">
        <v>47320.154425438828</v>
      </c>
      <c r="F9" s="101">
        <v>22328.289561728478</v>
      </c>
      <c r="G9" s="112">
        <v>24991.864863691386</v>
      </c>
      <c r="H9" s="113">
        <v>541.60952771019674</v>
      </c>
      <c r="I9" s="101">
        <v>336.71911986674945</v>
      </c>
      <c r="J9" s="142">
        <v>204.89040784344616</v>
      </c>
      <c r="K9" s="148">
        <v>49476.226158040867</v>
      </c>
      <c r="L9" s="101">
        <v>23429.539632151194</v>
      </c>
      <c r="M9" s="112">
        <v>26046.686525889731</v>
      </c>
      <c r="N9" s="113">
        <v>48916.347180145734</v>
      </c>
      <c r="O9" s="101">
        <v>23081.46237903164</v>
      </c>
      <c r="P9" s="112">
        <v>25834.884801114153</v>
      </c>
      <c r="Q9" s="101">
        <v>559.87897789515762</v>
      </c>
      <c r="R9" s="101">
        <v>348.07725311957074</v>
      </c>
      <c r="S9" s="142">
        <v>211.80172477558881</v>
      </c>
      <c r="T9" s="153">
        <v>51140.224400032748</v>
      </c>
      <c r="U9" s="116">
        <v>24217.528445902313</v>
      </c>
      <c r="V9" s="116">
        <v>26922.695954156643</v>
      </c>
      <c r="W9" s="117">
        <v>50561.515416147711</v>
      </c>
      <c r="X9" s="116">
        <v>23857.744561492076</v>
      </c>
      <c r="Y9" s="118">
        <v>26703.770854680602</v>
      </c>
      <c r="Z9" s="116">
        <v>578.70898388596709</v>
      </c>
      <c r="AA9" s="116">
        <v>359.78388441004398</v>
      </c>
      <c r="AB9" s="154">
        <v>218.92509947592291</v>
      </c>
    </row>
    <row r="10" spans="1:28" ht="12" customHeight="1" x14ac:dyDescent="0.2">
      <c r="A10" s="11" t="s">
        <v>6</v>
      </c>
      <c r="B10" s="124">
        <v>37807.391271683904</v>
      </c>
      <c r="C10" s="101">
        <v>17888.953796068075</v>
      </c>
      <c r="D10" s="112">
        <v>19918.437475612118</v>
      </c>
      <c r="E10" s="113">
        <v>37477.081664490892</v>
      </c>
      <c r="F10" s="101">
        <v>17707.667593050515</v>
      </c>
      <c r="G10" s="112">
        <v>19769.414071436666</v>
      </c>
      <c r="H10" s="113">
        <v>330.30960719289379</v>
      </c>
      <c r="I10" s="101">
        <v>181.28620301749555</v>
      </c>
      <c r="J10" s="142">
        <v>149.02340417539872</v>
      </c>
      <c r="K10" s="148">
        <v>39082.701649581446</v>
      </c>
      <c r="L10" s="101">
        <v>18492.379942615902</v>
      </c>
      <c r="M10" s="112">
        <v>20590.321706975377</v>
      </c>
      <c r="N10" s="113">
        <v>38741.250113369293</v>
      </c>
      <c r="O10" s="101">
        <v>18304.978634368803</v>
      </c>
      <c r="P10" s="112">
        <v>20436.271479009542</v>
      </c>
      <c r="Q10" s="101">
        <v>341.45153621275261</v>
      </c>
      <c r="R10" s="101">
        <v>187.40130824699952</v>
      </c>
      <c r="S10" s="142">
        <v>154.050227965754</v>
      </c>
      <c r="T10" s="153">
        <v>40397.141975513274</v>
      </c>
      <c r="U10" s="116">
        <v>19114.320824214639</v>
      </c>
      <c r="V10" s="116">
        <v>21282.821151315718</v>
      </c>
      <c r="W10" s="117">
        <v>40044.206645969949</v>
      </c>
      <c r="X10" s="116">
        <v>18920.616782883884</v>
      </c>
      <c r="Y10" s="118">
        <v>21123.589863103149</v>
      </c>
      <c r="Z10" s="116">
        <v>352.93532954364144</v>
      </c>
      <c r="AA10" s="116">
        <v>193.70404133092831</v>
      </c>
      <c r="AB10" s="154">
        <v>159.23128821271206</v>
      </c>
    </row>
    <row r="11" spans="1:28" ht="12" customHeight="1" x14ac:dyDescent="0.2">
      <c r="A11" s="12" t="s">
        <v>7</v>
      </c>
      <c r="B11" s="124">
        <v>31993.942185086889</v>
      </c>
      <c r="C11" s="101">
        <v>15475.389177927509</v>
      </c>
      <c r="D11" s="112">
        <v>16518.553007155671</v>
      </c>
      <c r="E11" s="113">
        <v>31732.767146841252</v>
      </c>
      <c r="F11" s="101">
        <v>15344.80165880469</v>
      </c>
      <c r="G11" s="112">
        <v>16387.965488032853</v>
      </c>
      <c r="H11" s="113">
        <v>261.17503824554473</v>
      </c>
      <c r="I11" s="101">
        <v>130.58751912277197</v>
      </c>
      <c r="J11" s="142">
        <v>130.58751912277197</v>
      </c>
      <c r="K11" s="148">
        <v>33073.154612247556</v>
      </c>
      <c r="L11" s="101">
        <v>15997.401508241386</v>
      </c>
      <c r="M11" s="112">
        <v>17075.753104002237</v>
      </c>
      <c r="N11" s="113">
        <v>32803.169676637946</v>
      </c>
      <c r="O11" s="101">
        <v>15862.409040436272</v>
      </c>
      <c r="P11" s="112">
        <v>16940.760636197123</v>
      </c>
      <c r="Q11" s="101">
        <v>269.98493561008365</v>
      </c>
      <c r="R11" s="101">
        <v>134.99246780504228</v>
      </c>
      <c r="S11" s="142">
        <v>134.99246780504228</v>
      </c>
      <c r="T11" s="153">
        <v>34185.480175550758</v>
      </c>
      <c r="U11" s="116">
        <v>16535.430579039927</v>
      </c>
      <c r="V11" s="116">
        <v>17650.049596527915</v>
      </c>
      <c r="W11" s="117">
        <v>33906.415031260687</v>
      </c>
      <c r="X11" s="116">
        <v>16395.898006894891</v>
      </c>
      <c r="Y11" s="118">
        <v>17510.51702438288</v>
      </c>
      <c r="Z11" s="116">
        <v>279.06514429032092</v>
      </c>
      <c r="AA11" s="116">
        <v>139.53257214515992</v>
      </c>
      <c r="AB11" s="154">
        <v>139.53257214515992</v>
      </c>
    </row>
    <row r="12" spans="1:28" ht="12" customHeight="1" x14ac:dyDescent="0.2">
      <c r="A12" s="12" t="s">
        <v>8</v>
      </c>
      <c r="B12" s="124">
        <v>26079.905918219119</v>
      </c>
      <c r="C12" s="101">
        <v>12861.842587390676</v>
      </c>
      <c r="D12" s="112">
        <v>13218.0633308247</v>
      </c>
      <c r="E12" s="113">
        <v>25887.395133469669</v>
      </c>
      <c r="F12" s="101">
        <v>12770.892610343692</v>
      </c>
      <c r="G12" s="112">
        <v>13116.502523122233</v>
      </c>
      <c r="H12" s="113">
        <v>192.51078474938487</v>
      </c>
      <c r="I12" s="101">
        <v>90.949977046953236</v>
      </c>
      <c r="J12" s="142">
        <v>101.56080770243111</v>
      </c>
      <c r="K12" s="148">
        <v>26959.627410578512</v>
      </c>
      <c r="L12" s="101">
        <v>13295.695354772493</v>
      </c>
      <c r="M12" s="112">
        <v>13663.932055818055</v>
      </c>
      <c r="N12" s="113">
        <v>26760.62289554561</v>
      </c>
      <c r="O12" s="101">
        <v>13201.677473654478</v>
      </c>
      <c r="P12" s="112">
        <v>13558.945421902938</v>
      </c>
      <c r="Q12" s="101">
        <v>199.00451503311291</v>
      </c>
      <c r="R12" s="101">
        <v>94.0178811180064</v>
      </c>
      <c r="S12" s="142">
        <v>104.98663391510715</v>
      </c>
      <c r="T12" s="153">
        <v>27866.341121401099</v>
      </c>
      <c r="U12" s="116">
        <v>13742.85989043982</v>
      </c>
      <c r="V12" s="116">
        <v>14123.481230952764</v>
      </c>
      <c r="W12" s="117">
        <v>27660.643630996001</v>
      </c>
      <c r="X12" s="116">
        <v>13645.679973713111</v>
      </c>
      <c r="Y12" s="118">
        <v>14014.963657274606</v>
      </c>
      <c r="Z12" s="116">
        <v>205.69749040496745</v>
      </c>
      <c r="AA12" s="116">
        <v>97.179916726755962</v>
      </c>
      <c r="AB12" s="154">
        <v>108.51757367821082</v>
      </c>
    </row>
    <row r="13" spans="1:28" ht="12" customHeight="1" x14ac:dyDescent="0.2">
      <c r="A13" s="12" t="s">
        <v>9</v>
      </c>
      <c r="B13" s="124">
        <v>20048.40660705325</v>
      </c>
      <c r="C13" s="101">
        <v>9971.1491502473455</v>
      </c>
      <c r="D13" s="112">
        <v>10077.257456802161</v>
      </c>
      <c r="E13" s="113">
        <v>19898.339144925725</v>
      </c>
      <c r="F13" s="101">
        <v>9890.8100038558423</v>
      </c>
      <c r="G13" s="112">
        <v>10007.529141066139</v>
      </c>
      <c r="H13" s="113">
        <v>150.06746212747299</v>
      </c>
      <c r="I13" s="101">
        <v>80.339146391475367</v>
      </c>
      <c r="J13" s="142">
        <v>69.728315735997498</v>
      </c>
      <c r="K13" s="148">
        <v>20724.674927776003</v>
      </c>
      <c r="L13" s="101">
        <v>10307.493699904891</v>
      </c>
      <c r="M13" s="112">
        <v>10417.18122787591</v>
      </c>
      <c r="N13" s="113">
        <v>20569.545423931457</v>
      </c>
      <c r="O13" s="101">
        <v>10224.444571583977</v>
      </c>
      <c r="P13" s="112">
        <v>10345.100852352098</v>
      </c>
      <c r="Q13" s="101">
        <v>155.12950384471031</v>
      </c>
      <c r="R13" s="101">
        <v>83.049128320905652</v>
      </c>
      <c r="S13" s="142">
        <v>72.080375523804904</v>
      </c>
      <c r="T13" s="153">
        <v>21421.692977134273</v>
      </c>
      <c r="U13" s="116">
        <v>10654.158203809251</v>
      </c>
      <c r="V13" s="116">
        <v>10767.534773323745</v>
      </c>
      <c r="W13" s="117">
        <v>21261.346114535023</v>
      </c>
      <c r="X13" s="116">
        <v>10568.315944033991</v>
      </c>
      <c r="Y13" s="118">
        <v>10693.030170499935</v>
      </c>
      <c r="Z13" s="116">
        <v>160.34686259914761</v>
      </c>
      <c r="AA13" s="116">
        <v>85.842259775301102</v>
      </c>
      <c r="AB13" s="154">
        <v>74.504602823846241</v>
      </c>
    </row>
    <row r="14" spans="1:28" ht="12" customHeight="1" x14ac:dyDescent="0.2">
      <c r="A14" s="12" t="s">
        <v>10</v>
      </c>
      <c r="B14" s="124">
        <v>13495.460760818003</v>
      </c>
      <c r="C14" s="101">
        <v>6639.348324427071</v>
      </c>
      <c r="D14" s="112">
        <v>6856.1124363889212</v>
      </c>
      <c r="E14" s="113">
        <v>13366.614960001441</v>
      </c>
      <c r="F14" s="101">
        <v>6563.5566768879626</v>
      </c>
      <c r="G14" s="112">
        <v>6803.0582831115453</v>
      </c>
      <c r="H14" s="113">
        <v>128.84580081651706</v>
      </c>
      <c r="I14" s="101">
        <v>75.791647539127709</v>
      </c>
      <c r="J14" s="142">
        <v>53.054153277389418</v>
      </c>
      <c r="K14" s="148">
        <v>13950.686593228003</v>
      </c>
      <c r="L14" s="101">
        <v>6863.3053216149128</v>
      </c>
      <c r="M14" s="112">
        <v>7087.3812716128505</v>
      </c>
      <c r="N14" s="113">
        <v>13817.494594977481</v>
      </c>
      <c r="O14" s="101">
        <v>6784.9570873498997</v>
      </c>
      <c r="P14" s="112">
        <v>7032.5375076273413</v>
      </c>
      <c r="Q14" s="101">
        <v>133.19199825050902</v>
      </c>
      <c r="R14" s="101">
        <v>78.348234265005331</v>
      </c>
      <c r="S14" s="142">
        <v>54.843763985503735</v>
      </c>
      <c r="T14" s="153">
        <v>14419.879976969227</v>
      </c>
      <c r="U14" s="116">
        <v>7094.133921053527</v>
      </c>
      <c r="V14" s="116">
        <v>7325.7460559189803</v>
      </c>
      <c r="W14" s="117">
        <v>14282.208428273056</v>
      </c>
      <c r="X14" s="116">
        <v>7013.1506571145574</v>
      </c>
      <c r="Y14" s="118">
        <v>7269.0577711617016</v>
      </c>
      <c r="Z14" s="116">
        <v>137.67154869623769</v>
      </c>
      <c r="AA14" s="116">
        <v>80.983263938963304</v>
      </c>
      <c r="AB14" s="154">
        <v>56.688284757274317</v>
      </c>
    </row>
    <row r="15" spans="1:28" ht="12" customHeight="1" x14ac:dyDescent="0.2">
      <c r="A15" s="12" t="s">
        <v>11</v>
      </c>
      <c r="B15" s="124">
        <v>10157.428171656216</v>
      </c>
      <c r="C15" s="101">
        <v>4752.0308688723189</v>
      </c>
      <c r="D15" s="112">
        <v>5405.3973027847851</v>
      </c>
      <c r="E15" s="113">
        <v>10062.145566710706</v>
      </c>
      <c r="F15" s="101">
        <v>4697.5836660462801</v>
      </c>
      <c r="G15" s="112">
        <v>5364.561900665256</v>
      </c>
      <c r="H15" s="113">
        <v>95.282604945555477</v>
      </c>
      <c r="I15" s="101">
        <v>54.447202826031706</v>
      </c>
      <c r="J15" s="142">
        <v>40.835402119523785</v>
      </c>
      <c r="K15" s="148">
        <v>10500.0562431627</v>
      </c>
      <c r="L15" s="101">
        <v>4912.3253001818339</v>
      </c>
      <c r="M15" s="112">
        <v>5587.7309429819834</v>
      </c>
      <c r="N15" s="113">
        <v>10401.559586921012</v>
      </c>
      <c r="O15" s="101">
        <v>4856.0414966151548</v>
      </c>
      <c r="P15" s="112">
        <v>5545.518090306974</v>
      </c>
      <c r="Q15" s="101">
        <v>98.496656241710227</v>
      </c>
      <c r="R15" s="101">
        <v>56.283803566691638</v>
      </c>
      <c r="S15" s="142">
        <v>42.212852675018723</v>
      </c>
      <c r="T15" s="153">
        <v>10853.197064250618</v>
      </c>
      <c r="U15" s="116">
        <v>5077.5379952160492</v>
      </c>
      <c r="V15" s="116">
        <v>5775.6590690331413</v>
      </c>
      <c r="W15" s="117">
        <v>10751.387740985569</v>
      </c>
      <c r="X15" s="116">
        <v>5019.3612390646249</v>
      </c>
      <c r="Y15" s="118">
        <v>5732.0265019195731</v>
      </c>
      <c r="Z15" s="116">
        <v>101.80932326499865</v>
      </c>
      <c r="AA15" s="116">
        <v>58.176756151427732</v>
      </c>
      <c r="AB15" s="154">
        <v>43.632567113570815</v>
      </c>
    </row>
    <row r="16" spans="1:28" ht="12" customHeight="1" x14ac:dyDescent="0.2">
      <c r="A16" s="12" t="s">
        <v>12</v>
      </c>
      <c r="B16" s="124">
        <v>7801.0742271304944</v>
      </c>
      <c r="C16" s="101">
        <v>3646.4501670435861</v>
      </c>
      <c r="D16" s="112">
        <v>4154.6240600866149</v>
      </c>
      <c r="E16" s="113">
        <v>7720.9158451921594</v>
      </c>
      <c r="F16" s="101">
        <v>3608.6396095255036</v>
      </c>
      <c r="G16" s="112">
        <v>4112.2762356663625</v>
      </c>
      <c r="H16" s="113">
        <v>80.158381938324453</v>
      </c>
      <c r="I16" s="101">
        <v>37.81055751807758</v>
      </c>
      <c r="J16" s="142">
        <v>42.347824420246887</v>
      </c>
      <c r="K16" s="148">
        <v>8064.2182999158649</v>
      </c>
      <c r="L16" s="101">
        <v>3769.4513999805604</v>
      </c>
      <c r="M16" s="112">
        <v>4294.7668999363268</v>
      </c>
      <c r="N16" s="113">
        <v>7981.3560335538095</v>
      </c>
      <c r="O16" s="101">
        <v>3730.3654252814663</v>
      </c>
      <c r="P16" s="112">
        <v>4250.9906082733542</v>
      </c>
      <c r="Q16" s="101">
        <v>82.862266362073726</v>
      </c>
      <c r="R16" s="101">
        <v>39.085974699091409</v>
      </c>
      <c r="S16" s="142">
        <v>43.776291662982381</v>
      </c>
      <c r="T16" s="153">
        <v>8335.4363396958925</v>
      </c>
      <c r="U16" s="116">
        <v>3896.2266411412934</v>
      </c>
      <c r="V16" s="116">
        <v>4439.2096985545877</v>
      </c>
      <c r="W16" s="117">
        <v>8249.787226472914</v>
      </c>
      <c r="X16" s="116">
        <v>3855.8261160361376</v>
      </c>
      <c r="Y16" s="118">
        <v>4393.9611104368132</v>
      </c>
      <c r="Z16" s="116">
        <v>85.649113222935341</v>
      </c>
      <c r="AA16" s="116">
        <v>40.400525105158167</v>
      </c>
      <c r="AB16" s="154">
        <v>45.248588117777139</v>
      </c>
    </row>
    <row r="17" spans="1:28" ht="12" customHeight="1" x14ac:dyDescent="0.2">
      <c r="A17" s="12" t="s">
        <v>13</v>
      </c>
      <c r="B17" s="124">
        <v>6007.341378472659</v>
      </c>
      <c r="C17" s="101">
        <v>2881.1644828775957</v>
      </c>
      <c r="D17" s="112">
        <v>3126.1768955947705</v>
      </c>
      <c r="E17" s="113">
        <v>5961.96870945096</v>
      </c>
      <c r="F17" s="101">
        <v>2855.4533037652996</v>
      </c>
      <c r="G17" s="112">
        <v>3106.5154056853676</v>
      </c>
      <c r="H17" s="113">
        <v>45.372669021693092</v>
      </c>
      <c r="I17" s="101">
        <v>25.711179112292761</v>
      </c>
      <c r="J17" s="142">
        <v>19.661489909400352</v>
      </c>
      <c r="K17" s="148">
        <v>6209.9796601913804</v>
      </c>
      <c r="L17" s="101">
        <v>2978.3512720708959</v>
      </c>
      <c r="M17" s="112">
        <v>3231.6283881210256</v>
      </c>
      <c r="N17" s="113">
        <v>6163.0764905524811</v>
      </c>
      <c r="O17" s="101">
        <v>2951.7728092755119</v>
      </c>
      <c r="P17" s="112">
        <v>3211.3036812774967</v>
      </c>
      <c r="Q17" s="101">
        <v>46.903169638909695</v>
      </c>
      <c r="R17" s="101">
        <v>26.578462795382155</v>
      </c>
      <c r="S17" s="142">
        <v>20.324706843527526</v>
      </c>
      <c r="T17" s="153">
        <v>6418.8354287072216</v>
      </c>
      <c r="U17" s="116">
        <v>3078.5200130129401</v>
      </c>
      <c r="V17" s="116">
        <v>3340.3154156943497</v>
      </c>
      <c r="W17" s="117">
        <v>6370.3547985810346</v>
      </c>
      <c r="X17" s="116">
        <v>3051.0476559414342</v>
      </c>
      <c r="Y17" s="118">
        <v>3319.3071426396687</v>
      </c>
      <c r="Z17" s="116">
        <v>48.480630126189787</v>
      </c>
      <c r="AA17" s="116">
        <v>27.472357071507567</v>
      </c>
      <c r="AB17" s="154">
        <v>21.008273054682256</v>
      </c>
    </row>
    <row r="18" spans="1:28" ht="12" customHeight="1" x14ac:dyDescent="0.2">
      <c r="A18" s="12" t="s">
        <v>14</v>
      </c>
      <c r="B18" s="124">
        <v>4773.2047810824452</v>
      </c>
      <c r="C18" s="101">
        <v>2336.6924546172072</v>
      </c>
      <c r="D18" s="112">
        <v>2436.5123264649451</v>
      </c>
      <c r="E18" s="113">
        <v>4744.4687573687024</v>
      </c>
      <c r="F18" s="101">
        <v>2326.1054985121441</v>
      </c>
      <c r="G18" s="112">
        <v>2418.3632588562655</v>
      </c>
      <c r="H18" s="113">
        <v>28.736023713738966</v>
      </c>
      <c r="I18" s="101">
        <v>10.586956105061729</v>
      </c>
      <c r="J18" s="142">
        <v>18.14906760867725</v>
      </c>
      <c r="K18" s="148">
        <v>4934.2134460133202</v>
      </c>
      <c r="L18" s="101">
        <v>2415.5132364039409</v>
      </c>
      <c r="M18" s="112">
        <v>2518.7002096095493</v>
      </c>
      <c r="N18" s="113">
        <v>4904.5081052420173</v>
      </c>
      <c r="O18" s="101">
        <v>2404.5691634881946</v>
      </c>
      <c r="P18" s="112">
        <v>2499.9389417539842</v>
      </c>
      <c r="Q18" s="101">
        <v>29.705340771309469</v>
      </c>
      <c r="R18" s="101">
        <v>10.94407291574559</v>
      </c>
      <c r="S18" s="142">
        <v>18.761267855563869</v>
      </c>
      <c r="T18" s="153">
        <v>5100.1622892749365</v>
      </c>
      <c r="U18" s="116">
        <v>2496.7524514986967</v>
      </c>
      <c r="V18" s="116">
        <v>2603.409837776308</v>
      </c>
      <c r="W18" s="117">
        <v>5069.4578901950181</v>
      </c>
      <c r="X18" s="116">
        <v>2485.4403044692531</v>
      </c>
      <c r="Y18" s="118">
        <v>2584.0175857258332</v>
      </c>
      <c r="Z18" s="116">
        <v>30.704399079920222</v>
      </c>
      <c r="AA18" s="116">
        <v>11.312147029444292</v>
      </c>
      <c r="AB18" s="154">
        <v>19.392252050475928</v>
      </c>
    </row>
    <row r="19" spans="1:28" ht="12" customHeight="1" x14ac:dyDescent="0.2">
      <c r="A19" s="12" t="s">
        <v>15</v>
      </c>
      <c r="B19" s="124">
        <v>3320.59402466247</v>
      </c>
      <c r="C19" s="101">
        <v>1604.7340380104431</v>
      </c>
      <c r="D19" s="112">
        <v>1715.8599866520124</v>
      </c>
      <c r="E19" s="113">
        <v>3277.2737395988074</v>
      </c>
      <c r="F19" s="101">
        <v>1587.7826221159664</v>
      </c>
      <c r="G19" s="112">
        <v>1689.4911174828264</v>
      </c>
      <c r="H19" s="113">
        <v>43.320285063661508</v>
      </c>
      <c r="I19" s="101">
        <v>16.951415894476249</v>
      </c>
      <c r="J19" s="142">
        <v>26.368869169185277</v>
      </c>
      <c r="K19" s="148">
        <v>3432.6035518481276</v>
      </c>
      <c r="L19" s="101">
        <v>1658.8645639107169</v>
      </c>
      <c r="M19" s="112">
        <v>1773.7389879373989</v>
      </c>
      <c r="N19" s="113">
        <v>3387.8219967190821</v>
      </c>
      <c r="O19" s="101">
        <v>1641.3413466863078</v>
      </c>
      <c r="P19" s="112">
        <v>1746.4806500327625</v>
      </c>
      <c r="Q19" s="101">
        <v>44.781555129044527</v>
      </c>
      <c r="R19" s="101">
        <v>17.523217224408729</v>
      </c>
      <c r="S19" s="142">
        <v>27.258337904635798</v>
      </c>
      <c r="T19" s="153">
        <v>3548.0498322001777</v>
      </c>
      <c r="U19" s="116">
        <v>1714.6559597473363</v>
      </c>
      <c r="V19" s="116">
        <v>1833.3938724528441</v>
      </c>
      <c r="W19" s="117">
        <v>3501.7621713149797</v>
      </c>
      <c r="X19" s="116">
        <v>1696.5433967922588</v>
      </c>
      <c r="Y19" s="118">
        <v>1805.2187745227236</v>
      </c>
      <c r="Z19" s="116">
        <v>46.287660885198449</v>
      </c>
      <c r="AA19" s="116">
        <v>18.112562955077653</v>
      </c>
      <c r="AB19" s="154">
        <v>28.175097930120796</v>
      </c>
    </row>
    <row r="20" spans="1:28" ht="12" customHeight="1" x14ac:dyDescent="0.2">
      <c r="A20" s="12" t="s">
        <v>16</v>
      </c>
      <c r="B20" s="124">
        <v>1987.0826409636391</v>
      </c>
      <c r="C20" s="101">
        <v>909.72598633689984</v>
      </c>
      <c r="D20" s="112">
        <v>1077.3566546267245</v>
      </c>
      <c r="E20" s="113">
        <v>1941.8788652450346</v>
      </c>
      <c r="F20" s="101">
        <v>889.00758913253947</v>
      </c>
      <c r="G20" s="112">
        <v>1052.8712761124805</v>
      </c>
      <c r="H20" s="113">
        <v>45.20377571860331</v>
      </c>
      <c r="I20" s="101">
        <v>20.71839720435986</v>
      </c>
      <c r="J20" s="142">
        <v>24.485378514243472</v>
      </c>
      <c r="K20" s="148">
        <v>2054.1104635279444</v>
      </c>
      <c r="L20" s="101">
        <v>940.41265770994346</v>
      </c>
      <c r="M20" s="112">
        <v>1113.6978058179891</v>
      </c>
      <c r="N20" s="113">
        <v>2007.3818842628536</v>
      </c>
      <c r="O20" s="101">
        <v>918.99539221344344</v>
      </c>
      <c r="P20" s="112">
        <v>1088.3864920493982</v>
      </c>
      <c r="Q20" s="101">
        <v>46.728579265089941</v>
      </c>
      <c r="R20" s="101">
        <v>21.417265496499557</v>
      </c>
      <c r="S20" s="142">
        <v>25.311313768590384</v>
      </c>
      <c r="T20" s="153">
        <v>2123.1948797340838</v>
      </c>
      <c r="U20" s="116">
        <v>972.04087858916023</v>
      </c>
      <c r="V20" s="116">
        <v>1151.1540011449263</v>
      </c>
      <c r="W20" s="117">
        <v>2074.8947118538772</v>
      </c>
      <c r="X20" s="116">
        <v>949.90330164406555</v>
      </c>
      <c r="Y20" s="118">
        <v>1124.9914102098144</v>
      </c>
      <c r="Z20" s="116">
        <v>48.300167880207077</v>
      </c>
      <c r="AA20" s="116">
        <v>22.13757694509491</v>
      </c>
      <c r="AB20" s="154">
        <v>26.162590935112167</v>
      </c>
    </row>
    <row r="21" spans="1:28" ht="12" customHeight="1" x14ac:dyDescent="0.2">
      <c r="A21" s="12" t="s">
        <v>17</v>
      </c>
      <c r="B21" s="124">
        <v>1069.8226920069571</v>
      </c>
      <c r="C21" s="101">
        <v>410.60096277731213</v>
      </c>
      <c r="D21" s="112">
        <v>659.22172922963352</v>
      </c>
      <c r="E21" s="113">
        <v>1058.521748077306</v>
      </c>
      <c r="F21" s="101">
        <v>406.83398146742854</v>
      </c>
      <c r="G21" s="112">
        <v>651.68776660986612</v>
      </c>
      <c r="H21" s="113">
        <v>11.300943929650833</v>
      </c>
      <c r="I21" s="101">
        <v>3.7669813098836111</v>
      </c>
      <c r="J21" s="142">
        <v>7.5339626197672223</v>
      </c>
      <c r="K21" s="148">
        <v>1105.9097092738073</v>
      </c>
      <c r="L21" s="101">
        <v>424.45126165789998</v>
      </c>
      <c r="M21" s="112">
        <v>681.45844761589774</v>
      </c>
      <c r="N21" s="113">
        <v>1094.2275644575345</v>
      </c>
      <c r="O21" s="101">
        <v>420.55721338580918</v>
      </c>
      <c r="P21" s="112">
        <v>673.67035107171591</v>
      </c>
      <c r="Q21" s="101">
        <v>11.682144816272487</v>
      </c>
      <c r="R21" s="101">
        <v>3.8940482720908292</v>
      </c>
      <c r="S21" s="142">
        <v>7.7880965441816583</v>
      </c>
      <c r="T21" s="153">
        <v>1143.1039731648918</v>
      </c>
      <c r="U21" s="116">
        <v>438.72652491187932</v>
      </c>
      <c r="V21" s="116">
        <v>704.37744825301547</v>
      </c>
      <c r="W21" s="117">
        <v>1131.0289311948402</v>
      </c>
      <c r="X21" s="116">
        <v>434.70151092186211</v>
      </c>
      <c r="Y21" s="118">
        <v>696.32742027298104</v>
      </c>
      <c r="Z21" s="116">
        <v>12.075041970051769</v>
      </c>
      <c r="AA21" s="116">
        <v>4.0250139900172561</v>
      </c>
      <c r="AB21" s="154">
        <v>8.0500279800345123</v>
      </c>
    </row>
    <row r="22" spans="1:28" ht="12" customHeight="1" x14ac:dyDescent="0.2">
      <c r="A22" s="12" t="s">
        <v>18</v>
      </c>
      <c r="B22" s="124">
        <v>736.44484608224946</v>
      </c>
      <c r="C22" s="101">
        <v>263.68869169185211</v>
      </c>
      <c r="D22" s="112">
        <v>472.75615439039137</v>
      </c>
      <c r="E22" s="113">
        <v>725.14390215259834</v>
      </c>
      <c r="F22" s="101">
        <v>259.92171038196852</v>
      </c>
      <c r="G22" s="112">
        <v>465.22219177062419</v>
      </c>
      <c r="H22" s="113">
        <v>11.300943929650833</v>
      </c>
      <c r="I22" s="101">
        <v>3.7669813098836111</v>
      </c>
      <c r="J22" s="142">
        <v>7.5339626197672223</v>
      </c>
      <c r="K22" s="148">
        <v>761.28643719376146</v>
      </c>
      <c r="L22" s="101">
        <v>272.5833790463588</v>
      </c>
      <c r="M22" s="112">
        <v>488.70305814739817</v>
      </c>
      <c r="N22" s="113">
        <v>749.60429237748872</v>
      </c>
      <c r="O22" s="101">
        <v>268.689330774268</v>
      </c>
      <c r="P22" s="112">
        <v>480.91496160321657</v>
      </c>
      <c r="Q22" s="101">
        <v>11.682144816272487</v>
      </c>
      <c r="R22" s="101">
        <v>3.8940482720908292</v>
      </c>
      <c r="S22" s="142">
        <v>7.7880965441816583</v>
      </c>
      <c r="T22" s="153">
        <v>786.89023504836837</v>
      </c>
      <c r="U22" s="116">
        <v>281.75097930120796</v>
      </c>
      <c r="V22" s="116">
        <v>505.13925574716336</v>
      </c>
      <c r="W22" s="117">
        <v>774.81519307831672</v>
      </c>
      <c r="X22" s="116">
        <v>277.72596531119075</v>
      </c>
      <c r="Y22" s="118">
        <v>497.08922776712893</v>
      </c>
      <c r="Z22" s="116">
        <v>12.075041970051769</v>
      </c>
      <c r="AA22" s="116">
        <v>4.0250139900172561</v>
      </c>
      <c r="AB22" s="154">
        <v>8.0500279800345123</v>
      </c>
    </row>
    <row r="23" spans="1:28" ht="12" customHeight="1" x14ac:dyDescent="0.2">
      <c r="A23" s="12" t="s">
        <v>19</v>
      </c>
      <c r="B23" s="124">
        <v>226.01887859301618</v>
      </c>
      <c r="C23" s="101">
        <v>75.339626197672189</v>
      </c>
      <c r="D23" s="112">
        <v>150.67925239534438</v>
      </c>
      <c r="E23" s="113">
        <v>224.13538793807439</v>
      </c>
      <c r="F23" s="101">
        <v>73.456135542730379</v>
      </c>
      <c r="G23" s="112">
        <v>150.67925239534438</v>
      </c>
      <c r="H23" s="113">
        <v>1.8834906549418056</v>
      </c>
      <c r="I23" s="101">
        <v>1.8834906549418056</v>
      </c>
      <c r="J23" s="142">
        <v>0</v>
      </c>
      <c r="K23" s="148">
        <v>233.64289632545047</v>
      </c>
      <c r="L23" s="101">
        <v>77.880965441816571</v>
      </c>
      <c r="M23" s="112">
        <v>155.76193088363334</v>
      </c>
      <c r="N23" s="113">
        <v>231.69587218940504</v>
      </c>
      <c r="O23" s="101">
        <v>75.933941305771157</v>
      </c>
      <c r="P23" s="112">
        <v>155.76193088363334</v>
      </c>
      <c r="Q23" s="101">
        <v>1.9470241360454146</v>
      </c>
      <c r="R23" s="101">
        <v>1.9470241360454146</v>
      </c>
      <c r="S23" s="142">
        <v>0</v>
      </c>
      <c r="T23" s="153">
        <v>241.50083940103559</v>
      </c>
      <c r="U23" s="116">
        <v>80.500279800345069</v>
      </c>
      <c r="V23" s="116">
        <v>161.00055960069017</v>
      </c>
      <c r="W23" s="117">
        <v>239.48833240602696</v>
      </c>
      <c r="X23" s="116">
        <v>78.487772805336448</v>
      </c>
      <c r="Y23" s="118">
        <v>161.00055960069017</v>
      </c>
      <c r="Z23" s="116">
        <v>2.0125069950086281</v>
      </c>
      <c r="AA23" s="116">
        <v>2.0125069950086281</v>
      </c>
      <c r="AB23" s="154">
        <v>0</v>
      </c>
    </row>
    <row r="24" spans="1:28" ht="12" customHeight="1" x14ac:dyDescent="0.2">
      <c r="A24" s="12" t="s">
        <v>20</v>
      </c>
      <c r="B24" s="124">
        <v>105.47547667674114</v>
      </c>
      <c r="C24" s="101">
        <v>39.553303753777904</v>
      </c>
      <c r="D24" s="112">
        <v>65.922172922963142</v>
      </c>
      <c r="E24" s="113">
        <v>105.47547667674114</v>
      </c>
      <c r="F24" s="101">
        <v>39.553303753777904</v>
      </c>
      <c r="G24" s="112">
        <v>65.922172922963142</v>
      </c>
      <c r="H24" s="113">
        <v>0</v>
      </c>
      <c r="I24" s="101">
        <v>0</v>
      </c>
      <c r="J24" s="142">
        <v>0</v>
      </c>
      <c r="K24" s="148">
        <v>109.03335161854319</v>
      </c>
      <c r="L24" s="101">
        <v>40.887506856953699</v>
      </c>
      <c r="M24" s="112">
        <v>68.145844761589501</v>
      </c>
      <c r="N24" s="113">
        <v>109.03335161854319</v>
      </c>
      <c r="O24" s="101">
        <v>40.887506856953699</v>
      </c>
      <c r="P24" s="112">
        <v>68.145844761589501</v>
      </c>
      <c r="Q24" s="101">
        <v>0</v>
      </c>
      <c r="R24" s="101">
        <v>0</v>
      </c>
      <c r="S24" s="142">
        <v>0</v>
      </c>
      <c r="T24" s="153">
        <v>112.70039172048301</v>
      </c>
      <c r="U24" s="116">
        <v>42.262646895181192</v>
      </c>
      <c r="V24" s="116">
        <v>70.437744825301962</v>
      </c>
      <c r="W24" s="117">
        <v>112.70039172048301</v>
      </c>
      <c r="X24" s="116">
        <v>42.262646895181192</v>
      </c>
      <c r="Y24" s="118">
        <v>70.437744825301962</v>
      </c>
      <c r="Z24" s="116">
        <v>0</v>
      </c>
      <c r="AA24" s="116">
        <v>0</v>
      </c>
      <c r="AB24" s="154">
        <v>0</v>
      </c>
    </row>
    <row r="25" spans="1:28" ht="12" customHeight="1" thickBot="1" x14ac:dyDescent="0.25">
      <c r="A25" s="12" t="s">
        <v>21</v>
      </c>
      <c r="B25" s="245">
        <v>88.524060782264854</v>
      </c>
      <c r="C25" s="143">
        <v>11.300943929650833</v>
      </c>
      <c r="D25" s="112">
        <v>77.223116852613998</v>
      </c>
      <c r="E25" s="113">
        <v>84.757079472381236</v>
      </c>
      <c r="F25" s="143">
        <v>11.300943929650833</v>
      </c>
      <c r="G25" s="112">
        <v>73.456135542730379</v>
      </c>
      <c r="H25" s="113">
        <v>3.7669813098836111</v>
      </c>
      <c r="I25" s="143">
        <v>0</v>
      </c>
      <c r="J25" s="142">
        <v>3.7669813098836111</v>
      </c>
      <c r="K25" s="149">
        <v>91.510134394134468</v>
      </c>
      <c r="L25" s="141">
        <v>11.682144816272487</v>
      </c>
      <c r="M25" s="119">
        <v>79.827989577861985</v>
      </c>
      <c r="N25" s="120">
        <v>87.61608612204364</v>
      </c>
      <c r="O25" s="141">
        <v>11.682144816272487</v>
      </c>
      <c r="P25" s="119">
        <v>75.933941305771157</v>
      </c>
      <c r="Q25" s="141">
        <v>3.8940482720908292</v>
      </c>
      <c r="R25" s="141">
        <v>0</v>
      </c>
      <c r="S25" s="150">
        <v>3.8940482720908292</v>
      </c>
      <c r="T25" s="155">
        <v>94.587828765405419</v>
      </c>
      <c r="U25" s="121">
        <v>12.075041970051769</v>
      </c>
      <c r="V25" s="121">
        <v>82.512786795353691</v>
      </c>
      <c r="W25" s="122">
        <v>90.562814775388176</v>
      </c>
      <c r="X25" s="121">
        <v>12.075041970051769</v>
      </c>
      <c r="Y25" s="123">
        <v>78.487772805336448</v>
      </c>
      <c r="Z25" s="121">
        <v>4.0250139900172561</v>
      </c>
      <c r="AA25" s="121">
        <v>0</v>
      </c>
      <c r="AB25" s="156">
        <v>4.0250139900172561</v>
      </c>
    </row>
    <row r="26" spans="1:28" ht="12" customHeight="1" thickTop="1" x14ac:dyDescent="0.2">
      <c r="A26" s="23" t="s">
        <v>69</v>
      </c>
      <c r="B26" s="151">
        <v>170379.00191865454</v>
      </c>
      <c r="C26" s="127">
        <v>82689.965294891474</v>
      </c>
      <c r="D26" s="131">
        <v>87689.036623740423</v>
      </c>
      <c r="E26" s="127">
        <v>168733.64152271734</v>
      </c>
      <c r="F26" s="127">
        <v>81810.543828157912</v>
      </c>
      <c r="G26" s="131">
        <v>86923.097694543365</v>
      </c>
      <c r="H26" s="127">
        <v>1645.360395932656</v>
      </c>
      <c r="I26" s="127">
        <v>879.42146673478135</v>
      </c>
      <c r="J26" s="135">
        <v>765.938929197883</v>
      </c>
      <c r="K26" s="136">
        <v>176126.18790582317</v>
      </c>
      <c r="L26" s="127">
        <v>85479.244516292019</v>
      </c>
      <c r="M26" s="127">
        <v>90646.943389422391</v>
      </c>
      <c r="N26" s="151">
        <v>174425.32658486246</v>
      </c>
      <c r="O26" s="127">
        <v>84570.158603390606</v>
      </c>
      <c r="P26" s="127">
        <v>89855.167981367107</v>
      </c>
      <c r="Q26" s="151">
        <v>1700.8613209567841</v>
      </c>
      <c r="R26" s="127">
        <v>909.08591290142829</v>
      </c>
      <c r="S26" s="135">
        <v>791.77540805538888</v>
      </c>
      <c r="T26" s="136">
        <v>182049.71299658538</v>
      </c>
      <c r="U26" s="127">
        <v>88354.106316595833</v>
      </c>
      <c r="V26" s="127">
        <v>93695.606680014418</v>
      </c>
      <c r="W26" s="134">
        <v>180291.64783314217</v>
      </c>
      <c r="X26" s="127">
        <v>87414.445772636842</v>
      </c>
      <c r="Y26" s="127">
        <v>92877.202060530224</v>
      </c>
      <c r="Z26" s="134">
        <v>1758.0651634435712</v>
      </c>
      <c r="AA26" s="127">
        <v>939.66054395909987</v>
      </c>
      <c r="AB26" s="135">
        <v>818.4046194844467</v>
      </c>
    </row>
    <row r="27" spans="1:28" ht="12" customHeight="1" x14ac:dyDescent="0.2">
      <c r="A27" s="13" t="s">
        <v>22</v>
      </c>
      <c r="B27" s="89">
        <v>9351.8970649780495</v>
      </c>
      <c r="C27" s="88">
        <v>4534.5900340542321</v>
      </c>
      <c r="D27" s="88">
        <v>4817.3070309234445</v>
      </c>
      <c r="E27" s="89">
        <v>9255.010903129556</v>
      </c>
      <c r="F27" s="88">
        <v>4480.5879110567421</v>
      </c>
      <c r="G27" s="90">
        <v>4774.4229920724965</v>
      </c>
      <c r="H27" s="88">
        <v>96.886161848450968</v>
      </c>
      <c r="I27" s="88">
        <v>54.00212299749726</v>
      </c>
      <c r="J27" s="144">
        <v>42.884038850953708</v>
      </c>
      <c r="K27" s="87">
        <v>9667.35314324504</v>
      </c>
      <c r="L27" s="88">
        <v>4687.549800265755</v>
      </c>
      <c r="M27" s="128">
        <v>4979.8033429793431</v>
      </c>
      <c r="N27" s="129">
        <v>9567.1988392813946</v>
      </c>
      <c r="O27" s="88">
        <v>4631.7260898597888</v>
      </c>
      <c r="P27" s="128">
        <v>4935.472749421664</v>
      </c>
      <c r="Q27" s="88">
        <v>100.15430396365049</v>
      </c>
      <c r="R27" s="88">
        <v>55.823710405969102</v>
      </c>
      <c r="S27" s="144">
        <v>44.330593557681333</v>
      </c>
      <c r="T27" s="87">
        <v>9992.4882613496975</v>
      </c>
      <c r="U27" s="88">
        <v>4845.2027829748877</v>
      </c>
      <c r="V27" s="88">
        <v>5147.2854783757739</v>
      </c>
      <c r="W27" s="89">
        <v>9888.9655398921459</v>
      </c>
      <c r="X27" s="88">
        <v>4787.5015939657296</v>
      </c>
      <c r="Y27" s="90">
        <v>5101.4639459273249</v>
      </c>
      <c r="Z27" s="88">
        <v>103.52272145760682</v>
      </c>
      <c r="AA27" s="88">
        <v>57.701189009157808</v>
      </c>
      <c r="AB27" s="144">
        <v>45.821532448448849</v>
      </c>
    </row>
    <row r="28" spans="1:28" ht="12" customHeight="1" thickBot="1" x14ac:dyDescent="0.25">
      <c r="A28" s="137" t="s">
        <v>23</v>
      </c>
      <c r="B28" s="139">
        <v>184195.43334510719</v>
      </c>
      <c r="C28" s="138">
        <v>88738.670170653713</v>
      </c>
      <c r="D28" s="138">
        <v>95456.763174590058</v>
      </c>
      <c r="E28" s="139">
        <v>182577.19112126305</v>
      </c>
      <c r="F28" s="138">
        <v>87891.303376401178</v>
      </c>
      <c r="G28" s="140">
        <v>94685.887744995722</v>
      </c>
      <c r="H28" s="138">
        <v>1618.2422238487745</v>
      </c>
      <c r="I28" s="138">
        <v>847.36679425348632</v>
      </c>
      <c r="J28" s="145">
        <v>770.87542959526593</v>
      </c>
      <c r="K28" s="152">
        <v>190408.67207507527</v>
      </c>
      <c r="L28" s="138">
        <v>91731.98293798574</v>
      </c>
      <c r="M28" s="138">
        <v>98676.689136867586</v>
      </c>
      <c r="N28" s="139">
        <v>188735.84367024933</v>
      </c>
      <c r="O28" s="138">
        <v>90856.032958531083</v>
      </c>
      <c r="P28" s="140">
        <v>97879.810711497033</v>
      </c>
      <c r="Q28" s="138">
        <v>1672.8284048208679</v>
      </c>
      <c r="R28" s="138">
        <v>875.94997945235889</v>
      </c>
      <c r="S28" s="145">
        <v>796.87842536853395</v>
      </c>
      <c r="T28" s="152">
        <v>196812.54965825021</v>
      </c>
      <c r="U28" s="138">
        <v>94817.138581265608</v>
      </c>
      <c r="V28" s="140">
        <v>101995.41107657187</v>
      </c>
      <c r="W28" s="138">
        <v>195083.46022178989</v>
      </c>
      <c r="X28" s="138">
        <v>93911.728407715578</v>
      </c>
      <c r="Y28" s="138">
        <v>101171.73181367329</v>
      </c>
      <c r="Z28" s="139">
        <v>1729.0894364509154</v>
      </c>
      <c r="AA28" s="138">
        <v>905.41017355134352</v>
      </c>
      <c r="AB28" s="145">
        <v>823.6792628996086</v>
      </c>
    </row>
    <row r="29" spans="1:28" x14ac:dyDescent="0.2">
      <c r="A29" s="281" t="s">
        <v>91</v>
      </c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"/>
  <sheetViews>
    <sheetView workbookViewId="0">
      <selection activeCell="A29" sqref="A29"/>
    </sheetView>
  </sheetViews>
  <sheetFormatPr defaultRowHeight="12" x14ac:dyDescent="0.2"/>
  <cols>
    <col min="1" max="1" width="15.5703125" style="22" customWidth="1"/>
    <col min="2" max="7" width="10.42578125" style="22" bestFit="1" customWidth="1"/>
    <col min="8" max="10" width="9.42578125" style="22" bestFit="1" customWidth="1"/>
    <col min="11" max="16" width="10.42578125" style="22" bestFit="1" customWidth="1"/>
    <col min="17" max="19" width="9.42578125" style="22" bestFit="1" customWidth="1"/>
    <col min="20" max="25" width="10.42578125" style="22" bestFit="1" customWidth="1"/>
    <col min="26" max="28" width="9.42578125" style="22" bestFit="1" customWidth="1"/>
    <col min="29" max="16384" width="9.140625" style="22"/>
  </cols>
  <sheetData>
    <row r="1" spans="1:28" ht="15.75" customHeight="1" thickBot="1" x14ac:dyDescent="0.25">
      <c r="A1" s="283" t="s">
        <v>79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</row>
    <row r="2" spans="1:28" ht="15.75" customHeight="1" x14ac:dyDescent="0.2">
      <c r="A2" s="284" t="s">
        <v>74</v>
      </c>
      <c r="B2" s="285"/>
      <c r="C2" s="285"/>
      <c r="D2" s="285"/>
      <c r="E2" s="285"/>
      <c r="F2" s="285"/>
      <c r="G2" s="285"/>
      <c r="H2" s="285"/>
      <c r="I2" s="285"/>
      <c r="J2" s="286"/>
      <c r="K2" s="284" t="s">
        <v>75</v>
      </c>
      <c r="L2" s="285"/>
      <c r="M2" s="285"/>
      <c r="N2" s="285"/>
      <c r="O2" s="285"/>
      <c r="P2" s="285"/>
      <c r="Q2" s="285"/>
      <c r="R2" s="285"/>
      <c r="S2" s="286"/>
      <c r="T2" s="284" t="s">
        <v>76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25">
      <c r="A3" s="294" t="s">
        <v>64</v>
      </c>
      <c r="B3" s="186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46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46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8" ht="15.75" customHeight="1" thickBot="1" x14ac:dyDescent="0.25">
      <c r="A4" s="288"/>
      <c r="B4" s="194" t="s">
        <v>1</v>
      </c>
      <c r="C4" s="5" t="s">
        <v>34</v>
      </c>
      <c r="D4" s="6" t="s">
        <v>35</v>
      </c>
      <c r="E4" s="81" t="s">
        <v>1</v>
      </c>
      <c r="F4" s="5" t="s">
        <v>34</v>
      </c>
      <c r="G4" s="6" t="s">
        <v>35</v>
      </c>
      <c r="H4" s="81" t="s">
        <v>1</v>
      </c>
      <c r="I4" s="5" t="s">
        <v>34</v>
      </c>
      <c r="J4" s="82" t="s">
        <v>35</v>
      </c>
      <c r="K4" s="80" t="s">
        <v>1</v>
      </c>
      <c r="L4" s="5" t="s">
        <v>34</v>
      </c>
      <c r="M4" s="5" t="s">
        <v>35</v>
      </c>
      <c r="N4" s="4" t="s">
        <v>1</v>
      </c>
      <c r="O4" s="5" t="s">
        <v>34</v>
      </c>
      <c r="P4" s="6" t="s">
        <v>35</v>
      </c>
      <c r="Q4" s="81" t="s">
        <v>1</v>
      </c>
      <c r="R4" s="5" t="s">
        <v>34</v>
      </c>
      <c r="S4" s="82" t="s">
        <v>35</v>
      </c>
      <c r="T4" s="80" t="s">
        <v>1</v>
      </c>
      <c r="U4" s="5" t="s">
        <v>34</v>
      </c>
      <c r="V4" s="5" t="s">
        <v>35</v>
      </c>
      <c r="W4" s="4" t="s">
        <v>1</v>
      </c>
      <c r="X4" s="5" t="s">
        <v>34</v>
      </c>
      <c r="Y4" s="6" t="s">
        <v>35</v>
      </c>
      <c r="Z4" s="81" t="s">
        <v>1</v>
      </c>
      <c r="AA4" s="5" t="s">
        <v>34</v>
      </c>
      <c r="AB4" s="82" t="s">
        <v>35</v>
      </c>
    </row>
    <row r="5" spans="1:28" ht="15.75" customHeight="1" thickBot="1" x14ac:dyDescent="0.25">
      <c r="A5" s="7" t="s">
        <v>24</v>
      </c>
      <c r="B5" s="8">
        <f t="shared" ref="B5:AB5" si="0">+SUM(B6:B25)</f>
        <v>126687.95305709171</v>
      </c>
      <c r="C5" s="8">
        <f t="shared" si="0"/>
        <v>63519.341364174936</v>
      </c>
      <c r="D5" s="9">
        <f t="shared" si="0"/>
        <v>63168.611692903207</v>
      </c>
      <c r="E5" s="8">
        <f t="shared" si="0"/>
        <v>119303.1593672387</v>
      </c>
      <c r="F5" s="8">
        <f t="shared" si="0"/>
        <v>59613.249361256283</v>
      </c>
      <c r="G5" s="9">
        <f t="shared" si="0"/>
        <v>59689.910005970865</v>
      </c>
      <c r="H5" s="8">
        <f t="shared" si="0"/>
        <v>7384.7936898517601</v>
      </c>
      <c r="I5" s="8">
        <f t="shared" si="0"/>
        <v>3906.0920029191757</v>
      </c>
      <c r="J5" s="274">
        <f t="shared" si="0"/>
        <v>3478.7016869325921</v>
      </c>
      <c r="K5" s="8">
        <f t="shared" si="0"/>
        <v>130961.36245813068</v>
      </c>
      <c r="L5" s="8">
        <f t="shared" si="0"/>
        <v>65661.96143170321</v>
      </c>
      <c r="M5" s="9">
        <f t="shared" si="0"/>
        <v>65299.401026424537</v>
      </c>
      <c r="N5" s="8">
        <f t="shared" si="0"/>
        <v>123327.46657649353</v>
      </c>
      <c r="O5" s="8">
        <f t="shared" si="0"/>
        <v>61624.110016118939</v>
      </c>
      <c r="P5" s="9">
        <f t="shared" si="0"/>
        <v>61703.356560375534</v>
      </c>
      <c r="Q5" s="8">
        <f t="shared" si="0"/>
        <v>7633.895881634453</v>
      </c>
      <c r="R5" s="8">
        <f t="shared" si="0"/>
        <v>4037.8514155848375</v>
      </c>
      <c r="S5" s="274">
        <f t="shared" si="0"/>
        <v>3596.0444660496028</v>
      </c>
      <c r="T5" s="8">
        <f t="shared" si="0"/>
        <v>135365.8915385303</v>
      </c>
      <c r="U5" s="8">
        <f t="shared" si="0"/>
        <v>67870.322838261462</v>
      </c>
      <c r="V5" s="9">
        <f t="shared" si="0"/>
        <v>67495.568700278178</v>
      </c>
      <c r="W5" s="8">
        <f t="shared" si="0"/>
        <v>127475.25034074923</v>
      </c>
      <c r="X5" s="8">
        <f t="shared" si="0"/>
        <v>63696.669277307315</v>
      </c>
      <c r="Y5" s="9">
        <f t="shared" si="0"/>
        <v>63778.581063450089</v>
      </c>
      <c r="Z5" s="8">
        <f t="shared" si="0"/>
        <v>7890.6411977825901</v>
      </c>
      <c r="AA5" s="8">
        <f t="shared" si="0"/>
        <v>4173.6535609543434</v>
      </c>
      <c r="AB5" s="274">
        <f t="shared" si="0"/>
        <v>3716.9876368281984</v>
      </c>
    </row>
    <row r="6" spans="1:28" s="160" customFormat="1" ht="12" customHeight="1" x14ac:dyDescent="0.2">
      <c r="A6" s="157" t="s">
        <v>2</v>
      </c>
      <c r="B6" s="89">
        <v>21293.206085357149</v>
      </c>
      <c r="C6" s="88">
        <v>10644.973377433111</v>
      </c>
      <c r="D6" s="88">
        <v>10648.23270792222</v>
      </c>
      <c r="E6" s="89">
        <v>20173.626062347015</v>
      </c>
      <c r="F6" s="88">
        <v>10063.182885127184</v>
      </c>
      <c r="G6" s="90">
        <v>10110.443177219262</v>
      </c>
      <c r="H6" s="88">
        <v>1119.5800230092991</v>
      </c>
      <c r="I6" s="88">
        <v>581.79049230614737</v>
      </c>
      <c r="J6" s="144">
        <v>537.78953070316277</v>
      </c>
      <c r="K6" s="87">
        <v>22011.463700765227</v>
      </c>
      <c r="L6" s="88">
        <v>11004.047213636983</v>
      </c>
      <c r="M6" s="88">
        <v>11007.416487125542</v>
      </c>
      <c r="N6" s="89">
        <v>20854.11825744397</v>
      </c>
      <c r="O6" s="88">
        <v>10402.631895929206</v>
      </c>
      <c r="P6" s="90">
        <v>10451.486361513311</v>
      </c>
      <c r="Q6" s="88">
        <v>1157.345443320376</v>
      </c>
      <c r="R6" s="88">
        <v>601.41531770796666</v>
      </c>
      <c r="S6" s="144">
        <v>555.93012561240516</v>
      </c>
      <c r="T6" s="87">
        <v>22751.759389141967</v>
      </c>
      <c r="U6" s="88">
        <v>11374.138399656596</v>
      </c>
      <c r="V6" s="88">
        <v>11377.620989491152</v>
      </c>
      <c r="W6" s="89">
        <v>21555.489780973487</v>
      </c>
      <c r="X6" s="88">
        <v>10752.496114188483</v>
      </c>
      <c r="Y6" s="90">
        <v>10802.993666789534</v>
      </c>
      <c r="Z6" s="88">
        <v>1196.2696081695083</v>
      </c>
      <c r="AA6" s="88">
        <v>621.64228546799245</v>
      </c>
      <c r="AB6" s="144">
        <v>574.6273227015057</v>
      </c>
    </row>
    <row r="7" spans="1:28" s="160" customFormat="1" ht="12" customHeight="1" x14ac:dyDescent="0.2">
      <c r="A7" s="157" t="s">
        <v>3</v>
      </c>
      <c r="B7" s="89">
        <v>17243.950304069338</v>
      </c>
      <c r="C7" s="88">
        <v>8479.1135809683492</v>
      </c>
      <c r="D7" s="88">
        <v>8764.836723098244</v>
      </c>
      <c r="E7" s="89">
        <v>16348.471629573831</v>
      </c>
      <c r="F7" s="88">
        <v>8020.9988223579448</v>
      </c>
      <c r="G7" s="90">
        <v>8327.4728072122598</v>
      </c>
      <c r="H7" s="88">
        <v>895.47867449616263</v>
      </c>
      <c r="I7" s="88">
        <v>458.11475861033426</v>
      </c>
      <c r="J7" s="144">
        <v>437.36391588582416</v>
      </c>
      <c r="K7" s="87">
        <v>17825.619338589335</v>
      </c>
      <c r="L7" s="88">
        <v>8765.1291240027458</v>
      </c>
      <c r="M7" s="88">
        <v>9060.4902145892902</v>
      </c>
      <c r="N7" s="89">
        <v>16899.934579822664</v>
      </c>
      <c r="O7" s="88">
        <v>8291.5613418891244</v>
      </c>
      <c r="P7" s="90">
        <v>8608.3732379372614</v>
      </c>
      <c r="Q7" s="88">
        <v>925.68475876608329</v>
      </c>
      <c r="R7" s="88">
        <v>473.56778211383772</v>
      </c>
      <c r="S7" s="144">
        <v>452.11697665223551</v>
      </c>
      <c r="T7" s="87">
        <v>18425.135541531741</v>
      </c>
      <c r="U7" s="88">
        <v>9059.920392170925</v>
      </c>
      <c r="V7" s="88">
        <v>9365.2151493618894</v>
      </c>
      <c r="W7" s="89">
        <v>17468.31789469302</v>
      </c>
      <c r="X7" s="88">
        <v>8570.4254462837362</v>
      </c>
      <c r="Y7" s="90">
        <v>8897.8924484103572</v>
      </c>
      <c r="Z7" s="88">
        <v>956.81764683895926</v>
      </c>
      <c r="AA7" s="88">
        <v>489.49494588730323</v>
      </c>
      <c r="AB7" s="144">
        <v>467.32270095164142</v>
      </c>
    </row>
    <row r="8" spans="1:28" s="160" customFormat="1" ht="12" customHeight="1" x14ac:dyDescent="0.2">
      <c r="A8" s="157" t="s">
        <v>4</v>
      </c>
      <c r="B8" s="89">
        <v>16631.002334361212</v>
      </c>
      <c r="C8" s="88">
        <v>8244.4694363141898</v>
      </c>
      <c r="D8" s="88">
        <v>8386.5328980435788</v>
      </c>
      <c r="E8" s="89">
        <v>15662.097600993637</v>
      </c>
      <c r="F8" s="88">
        <v>7740.0643362415603</v>
      </c>
      <c r="G8" s="90">
        <v>7922.0332647487639</v>
      </c>
      <c r="H8" s="88">
        <v>968.90473336750608</v>
      </c>
      <c r="I8" s="88">
        <v>504.40510007270296</v>
      </c>
      <c r="J8" s="144">
        <v>464.49963329479891</v>
      </c>
      <c r="K8" s="87">
        <v>17191.995546492362</v>
      </c>
      <c r="L8" s="88">
        <v>8522.5700160908909</v>
      </c>
      <c r="M8" s="88">
        <v>8669.4255304048711</v>
      </c>
      <c r="N8" s="89">
        <v>16190.407937630956</v>
      </c>
      <c r="O8" s="88">
        <v>8001.1504371782275</v>
      </c>
      <c r="P8" s="90">
        <v>8189.2575004569126</v>
      </c>
      <c r="Q8" s="88">
        <v>1001.5876088609861</v>
      </c>
      <c r="R8" s="88">
        <v>521.41957891279685</v>
      </c>
      <c r="S8" s="144">
        <v>480.16802994817687</v>
      </c>
      <c r="T8" s="87">
        <v>17770.201537278499</v>
      </c>
      <c r="U8" s="88">
        <v>8809.2034686677307</v>
      </c>
      <c r="V8" s="88">
        <v>8960.9980686118415</v>
      </c>
      <c r="W8" s="89">
        <v>16734.928254513608</v>
      </c>
      <c r="X8" s="88">
        <v>8270.2473610010002</v>
      </c>
      <c r="Y8" s="90">
        <v>8464.6808935136814</v>
      </c>
      <c r="Z8" s="88">
        <v>1035.2732827651498</v>
      </c>
      <c r="AA8" s="88">
        <v>538.95610766685741</v>
      </c>
      <c r="AB8" s="144">
        <v>496.3171750982761</v>
      </c>
    </row>
    <row r="9" spans="1:28" s="160" customFormat="1" ht="12" customHeight="1" x14ac:dyDescent="0.2">
      <c r="A9" s="157" t="s">
        <v>5</v>
      </c>
      <c r="B9" s="89">
        <v>16040.218827994539</v>
      </c>
      <c r="C9" s="88">
        <v>8124.1429156520971</v>
      </c>
      <c r="D9" s="88">
        <v>7916.0759123382386</v>
      </c>
      <c r="E9" s="89">
        <v>14539.277468210501</v>
      </c>
      <c r="F9" s="88">
        <v>7282.3451159853412</v>
      </c>
      <c r="G9" s="90">
        <v>7256.9323522218165</v>
      </c>
      <c r="H9" s="88">
        <v>1500.9413597833918</v>
      </c>
      <c r="I9" s="88">
        <v>841.79779966687533</v>
      </c>
      <c r="J9" s="144">
        <v>659.14356011651535</v>
      </c>
      <c r="K9" s="87">
        <v>16581.283864407509</v>
      </c>
      <c r="L9" s="88">
        <v>8398.1846684270422</v>
      </c>
      <c r="M9" s="88">
        <v>8183.0991959805251</v>
      </c>
      <c r="N9" s="89">
        <v>15029.713089888741</v>
      </c>
      <c r="O9" s="88">
        <v>7527.9915356281563</v>
      </c>
      <c r="P9" s="90">
        <v>7501.7215542606427</v>
      </c>
      <c r="Q9" s="88">
        <v>1551.5707745188258</v>
      </c>
      <c r="R9" s="88">
        <v>870.19313279893277</v>
      </c>
      <c r="S9" s="144">
        <v>681.37764171991614</v>
      </c>
      <c r="T9" s="87">
        <v>17138.950229510338</v>
      </c>
      <c r="U9" s="88">
        <v>8680.6347582892486</v>
      </c>
      <c r="V9" s="88">
        <v>8458.3154712246705</v>
      </c>
      <c r="W9" s="89">
        <v>15535.196593814673</v>
      </c>
      <c r="X9" s="88">
        <v>7781.1750472643998</v>
      </c>
      <c r="Y9" s="90">
        <v>7754.0215465542078</v>
      </c>
      <c r="Z9" s="88">
        <v>1603.7536356957157</v>
      </c>
      <c r="AA9" s="88">
        <v>899.45971102511032</v>
      </c>
      <c r="AB9" s="144">
        <v>704.29392467060518</v>
      </c>
    </row>
    <row r="10" spans="1:28" s="160" customFormat="1" ht="12" customHeight="1" x14ac:dyDescent="0.2">
      <c r="A10" s="157" t="s">
        <v>6</v>
      </c>
      <c r="B10" s="89">
        <v>14615.047875471291</v>
      </c>
      <c r="C10" s="88">
        <v>7391.2535823483076</v>
      </c>
      <c r="D10" s="88">
        <v>7223.7942931203215</v>
      </c>
      <c r="E10" s="89">
        <v>13730.125392944896</v>
      </c>
      <c r="F10" s="88">
        <v>6896.5573334362753</v>
      </c>
      <c r="G10" s="90">
        <v>6833.5680595064823</v>
      </c>
      <c r="H10" s="88">
        <v>884.92248252607192</v>
      </c>
      <c r="I10" s="88">
        <v>494.69624891214602</v>
      </c>
      <c r="J10" s="144">
        <v>390.22623361392965</v>
      </c>
      <c r="K10" s="87">
        <v>15108.039367407695</v>
      </c>
      <c r="L10" s="88">
        <v>7640.5736777651246</v>
      </c>
      <c r="M10" s="88">
        <v>7467.4656896386659</v>
      </c>
      <c r="N10" s="89">
        <v>14193.266879693041</v>
      </c>
      <c r="O10" s="88">
        <v>7129.190446786045</v>
      </c>
      <c r="P10" s="90">
        <v>7064.0764329036156</v>
      </c>
      <c r="Q10" s="88">
        <v>914.77248771417806</v>
      </c>
      <c r="R10" s="88">
        <v>511.38323097909881</v>
      </c>
      <c r="S10" s="144">
        <v>403.38925673506571</v>
      </c>
      <c r="T10" s="87">
        <v>15616.157162554138</v>
      </c>
      <c r="U10" s="88">
        <v>7897.5435834166883</v>
      </c>
      <c r="V10" s="88">
        <v>7718.6135791363859</v>
      </c>
      <c r="W10" s="89">
        <v>14670.618791311439</v>
      </c>
      <c r="X10" s="88">
        <v>7368.9613689372627</v>
      </c>
      <c r="Y10" s="90">
        <v>7301.6574223731122</v>
      </c>
      <c r="Z10" s="88">
        <v>945.53837124250163</v>
      </c>
      <c r="AA10" s="88">
        <v>528.58221447931464</v>
      </c>
      <c r="AB10" s="144">
        <v>416.9561567631859</v>
      </c>
    </row>
    <row r="11" spans="1:28" s="160" customFormat="1" ht="12" customHeight="1" x14ac:dyDescent="0.2">
      <c r="A11" s="158" t="s">
        <v>7</v>
      </c>
      <c r="B11" s="89">
        <v>10619.069790313037</v>
      </c>
      <c r="C11" s="88">
        <v>5447.8040330510375</v>
      </c>
      <c r="D11" s="88">
        <v>5171.2657572617027</v>
      </c>
      <c r="E11" s="89">
        <v>10136.6641314358</v>
      </c>
      <c r="F11" s="88">
        <v>5171.2657572617027</v>
      </c>
      <c r="G11" s="90">
        <v>4965.3983741740867</v>
      </c>
      <c r="H11" s="88">
        <v>482.40565887706174</v>
      </c>
      <c r="I11" s="88">
        <v>276.53827578940007</v>
      </c>
      <c r="J11" s="144">
        <v>205.86738308766456</v>
      </c>
      <c r="K11" s="87">
        <v>10977.269852571211</v>
      </c>
      <c r="L11" s="88">
        <v>5631.568127490169</v>
      </c>
      <c r="M11" s="88">
        <v>5345.7017250795034</v>
      </c>
      <c r="N11" s="89">
        <v>10478.59179503232</v>
      </c>
      <c r="O11" s="88">
        <v>5345.7017250795034</v>
      </c>
      <c r="P11" s="90">
        <v>5132.8900699515634</v>
      </c>
      <c r="Q11" s="88">
        <v>498.67805753862433</v>
      </c>
      <c r="R11" s="88">
        <v>285.86640241067676</v>
      </c>
      <c r="S11" s="144">
        <v>212.81165512794848</v>
      </c>
      <c r="T11" s="87">
        <v>11346.460454911325</v>
      </c>
      <c r="U11" s="88">
        <v>5820.970597961802</v>
      </c>
      <c r="V11" s="88">
        <v>5525.4898569484585</v>
      </c>
      <c r="W11" s="89">
        <v>10831.01071781027</v>
      </c>
      <c r="X11" s="88">
        <v>5525.4898569484585</v>
      </c>
      <c r="Y11" s="90">
        <v>5305.5208608607472</v>
      </c>
      <c r="Z11" s="88">
        <v>515.44973710094655</v>
      </c>
      <c r="AA11" s="88">
        <v>295.48074101328103</v>
      </c>
      <c r="AB11" s="144">
        <v>219.96899608766449</v>
      </c>
    </row>
    <row r="12" spans="1:28" s="160" customFormat="1" ht="12" customHeight="1" x14ac:dyDescent="0.2">
      <c r="A12" s="158" t="s">
        <v>8</v>
      </c>
      <c r="B12" s="89">
        <v>8259.7737488132498</v>
      </c>
      <c r="C12" s="88">
        <v>4206.4364384216897</v>
      </c>
      <c r="D12" s="88">
        <v>4053.3373103926774</v>
      </c>
      <c r="E12" s="89">
        <v>7888.3946758715783</v>
      </c>
      <c r="F12" s="88">
        <v>4015.4414866231118</v>
      </c>
      <c r="G12" s="90">
        <v>3872.9531892495452</v>
      </c>
      <c r="H12" s="88">
        <v>371.37907294172777</v>
      </c>
      <c r="I12" s="88">
        <v>190.9949517986023</v>
      </c>
      <c r="J12" s="144">
        <v>180.38412114312433</v>
      </c>
      <c r="K12" s="87">
        <v>8538.3905702008942</v>
      </c>
      <c r="L12" s="88">
        <v>4348.3270017079903</v>
      </c>
      <c r="M12" s="88">
        <v>4190.0635684926638</v>
      </c>
      <c r="N12" s="89">
        <v>8154.4842223023297</v>
      </c>
      <c r="O12" s="88">
        <v>4150.8894513601572</v>
      </c>
      <c r="P12" s="90">
        <v>4003.5947709419324</v>
      </c>
      <c r="Q12" s="88">
        <v>383.90634789852385</v>
      </c>
      <c r="R12" s="88">
        <v>197.43755034781282</v>
      </c>
      <c r="S12" s="144">
        <v>186.46879755071217</v>
      </c>
      <c r="T12" s="87">
        <v>8825.5561040683424</v>
      </c>
      <c r="U12" s="88">
        <v>4494.5711486126002</v>
      </c>
      <c r="V12" s="88">
        <v>4330.9849554558814</v>
      </c>
      <c r="W12" s="89">
        <v>8428.7381107676138</v>
      </c>
      <c r="X12" s="88">
        <v>4290.4933234863965</v>
      </c>
      <c r="Y12" s="90">
        <v>4138.2447872811335</v>
      </c>
      <c r="Z12" s="88">
        <v>396.81799330092247</v>
      </c>
      <c r="AA12" s="88">
        <v>204.07782512618817</v>
      </c>
      <c r="AB12" s="144">
        <v>192.74016817473321</v>
      </c>
    </row>
    <row r="13" spans="1:28" s="160" customFormat="1" ht="12" customHeight="1" x14ac:dyDescent="0.2">
      <c r="A13" s="158" t="s">
        <v>9</v>
      </c>
      <c r="B13" s="89">
        <v>6363.4667273847163</v>
      </c>
      <c r="C13" s="88">
        <v>3269.6516748380609</v>
      </c>
      <c r="D13" s="88">
        <v>3093.8150525472765</v>
      </c>
      <c r="E13" s="89">
        <v>6134.5759518166087</v>
      </c>
      <c r="F13" s="88">
        <v>3163.5433682832772</v>
      </c>
      <c r="G13" s="90">
        <v>2971.032583533884</v>
      </c>
      <c r="H13" s="88">
        <v>228.89077556816648</v>
      </c>
      <c r="I13" s="88">
        <v>106.10830655477876</v>
      </c>
      <c r="J13" s="144">
        <v>122.78246901338684</v>
      </c>
      <c r="K13" s="87">
        <v>6578.1177488902649</v>
      </c>
      <c r="L13" s="88">
        <v>3379.9428261924277</v>
      </c>
      <c r="M13" s="88">
        <v>3198.1749226975971</v>
      </c>
      <c r="N13" s="89">
        <v>6341.5060814099252</v>
      </c>
      <c r="O13" s="88">
        <v>3270.2552982214092</v>
      </c>
      <c r="P13" s="90">
        <v>3071.2507831882758</v>
      </c>
      <c r="Q13" s="88">
        <v>236.61166748031513</v>
      </c>
      <c r="R13" s="88">
        <v>109.68752797100747</v>
      </c>
      <c r="S13" s="144">
        <v>126.92413950930865</v>
      </c>
      <c r="T13" s="87">
        <v>6799.3548403156774</v>
      </c>
      <c r="U13" s="88">
        <v>3493.6180063269353</v>
      </c>
      <c r="V13" s="88">
        <v>3305.7368339885256</v>
      </c>
      <c r="W13" s="89">
        <v>6554.7853832199889</v>
      </c>
      <c r="X13" s="88">
        <v>3380.2414368123777</v>
      </c>
      <c r="Y13" s="90">
        <v>3174.5439464073947</v>
      </c>
      <c r="Z13" s="88">
        <v>244.56945709567017</v>
      </c>
      <c r="AA13" s="88">
        <v>113.37656951454862</v>
      </c>
      <c r="AB13" s="144">
        <v>131.19288758112057</v>
      </c>
    </row>
    <row r="14" spans="1:28" s="160" customFormat="1" ht="12" customHeight="1" x14ac:dyDescent="0.2">
      <c r="A14" s="158" t="s">
        <v>10</v>
      </c>
      <c r="B14" s="89">
        <v>4277.6805871084516</v>
      </c>
      <c r="C14" s="88">
        <v>2328.3194124020515</v>
      </c>
      <c r="D14" s="88">
        <v>1949.3611747063956</v>
      </c>
      <c r="E14" s="89">
        <v>4088.2014682606778</v>
      </c>
      <c r="F14" s="88">
        <v>2228.2744376503983</v>
      </c>
      <c r="G14" s="90">
        <v>1859.9270306102208</v>
      </c>
      <c r="H14" s="88">
        <v>189.47911884781973</v>
      </c>
      <c r="I14" s="88">
        <v>100.04497475164855</v>
      </c>
      <c r="J14" s="144">
        <v>89.434144096170684</v>
      </c>
      <c r="K14" s="87">
        <v>4421.9743419171027</v>
      </c>
      <c r="L14" s="88">
        <v>2406.8577566209642</v>
      </c>
      <c r="M14" s="88">
        <v>2015.116585295903</v>
      </c>
      <c r="N14" s="89">
        <v>4226.1037562545698</v>
      </c>
      <c r="O14" s="88">
        <v>2303.4380873911468</v>
      </c>
      <c r="P14" s="90">
        <v>1922.6656688632008</v>
      </c>
      <c r="Q14" s="88">
        <v>195.87058566251272</v>
      </c>
      <c r="R14" s="88">
        <v>103.41966922980704</v>
      </c>
      <c r="S14" s="144">
        <v>92.450916432706293</v>
      </c>
      <c r="T14" s="87">
        <v>4570.6954167152317</v>
      </c>
      <c r="U14" s="88">
        <v>2487.8058682049318</v>
      </c>
      <c r="V14" s="88">
        <v>2082.8895485100834</v>
      </c>
      <c r="W14" s="89">
        <v>4368.2372568678074</v>
      </c>
      <c r="X14" s="88">
        <v>2380.9079598054918</v>
      </c>
      <c r="Y14" s="90">
        <v>1987.3292970621078</v>
      </c>
      <c r="Z14" s="88">
        <v>202.45815984740889</v>
      </c>
      <c r="AA14" s="88">
        <v>106.89790839943156</v>
      </c>
      <c r="AB14" s="144">
        <v>95.560251447976697</v>
      </c>
    </row>
    <row r="15" spans="1:28" s="160" customFormat="1" ht="12" customHeight="1" x14ac:dyDescent="0.2">
      <c r="A15" s="158" t="s">
        <v>11</v>
      </c>
      <c r="B15" s="89">
        <v>3020.3073345441394</v>
      </c>
      <c r="C15" s="88">
        <v>1501.835344618027</v>
      </c>
      <c r="D15" s="88">
        <v>1518.4719899259808</v>
      </c>
      <c r="E15" s="89">
        <v>2869.0651044718093</v>
      </c>
      <c r="F15" s="88">
        <v>1426.2142295818733</v>
      </c>
      <c r="G15" s="90">
        <v>1442.8508748898271</v>
      </c>
      <c r="H15" s="88">
        <v>151.24223007231026</v>
      </c>
      <c r="I15" s="88">
        <v>75.621115036155146</v>
      </c>
      <c r="J15" s="144">
        <v>75.621115036155146</v>
      </c>
      <c r="K15" s="87">
        <v>3122.1876589635622</v>
      </c>
      <c r="L15" s="88">
        <v>1552.4949150479433</v>
      </c>
      <c r="M15" s="88">
        <v>1569.6927439155447</v>
      </c>
      <c r="N15" s="89">
        <v>2965.8437601671858</v>
      </c>
      <c r="O15" s="88">
        <v>1474.3229656497551</v>
      </c>
      <c r="P15" s="90">
        <v>1491.5207945173565</v>
      </c>
      <c r="Q15" s="88">
        <v>156.34389879636529</v>
      </c>
      <c r="R15" s="88">
        <v>78.171949398182775</v>
      </c>
      <c r="S15" s="144">
        <v>78.171949398182775</v>
      </c>
      <c r="T15" s="87">
        <v>3227.1939453999134</v>
      </c>
      <c r="U15" s="88">
        <v>1604.7088571768566</v>
      </c>
      <c r="V15" s="88">
        <v>1622.4850882231251</v>
      </c>
      <c r="W15" s="89">
        <v>3065.5918449792903</v>
      </c>
      <c r="X15" s="88">
        <v>1523.907806966545</v>
      </c>
      <c r="Y15" s="90">
        <v>1541.6840380128135</v>
      </c>
      <c r="Z15" s="88">
        <v>161.60210042063261</v>
      </c>
      <c r="AA15" s="88">
        <v>80.801050210316347</v>
      </c>
      <c r="AB15" s="144">
        <v>80.801050210316347</v>
      </c>
    </row>
    <row r="16" spans="1:28" s="160" customFormat="1" ht="12" customHeight="1" x14ac:dyDescent="0.2">
      <c r="A16" s="158" t="s">
        <v>12</v>
      </c>
      <c r="B16" s="89">
        <v>2280.7328294904451</v>
      </c>
      <c r="C16" s="88">
        <v>1075.3322558141201</v>
      </c>
      <c r="D16" s="88">
        <v>1205.4005736763045</v>
      </c>
      <c r="E16" s="89">
        <v>2141.5899778239013</v>
      </c>
      <c r="F16" s="88">
        <v>1011.8105191837509</v>
      </c>
      <c r="G16" s="90">
        <v>1129.7794586401508</v>
      </c>
      <c r="H16" s="88">
        <v>139.14285166652544</v>
      </c>
      <c r="I16" s="88">
        <v>63.52173663037032</v>
      </c>
      <c r="J16" s="144">
        <v>75.621115036155146</v>
      </c>
      <c r="K16" s="87">
        <v>2357.6659938492817</v>
      </c>
      <c r="L16" s="88">
        <v>1111.6051204421619</v>
      </c>
      <c r="M16" s="88">
        <v>1246.0608734070456</v>
      </c>
      <c r="N16" s="89">
        <v>2213.8296069566154</v>
      </c>
      <c r="O16" s="88">
        <v>1045.9406829476839</v>
      </c>
      <c r="P16" s="90">
        <v>1167.8889240088574</v>
      </c>
      <c r="Q16" s="88">
        <v>143.83638689265609</v>
      </c>
      <c r="R16" s="88">
        <v>65.664437494473574</v>
      </c>
      <c r="S16" s="144">
        <v>78.171949398182775</v>
      </c>
      <c r="T16" s="87">
        <v>2436.9596743430661</v>
      </c>
      <c r="U16" s="88">
        <v>1148.9909339906992</v>
      </c>
      <c r="V16" s="88">
        <v>1287.9687403524351</v>
      </c>
      <c r="W16" s="89">
        <v>2288.2857419560928</v>
      </c>
      <c r="X16" s="88">
        <v>1081.1180518140375</v>
      </c>
      <c r="Y16" s="90">
        <v>1207.1676901421235</v>
      </c>
      <c r="Z16" s="88">
        <v>148.67393238698207</v>
      </c>
      <c r="AA16" s="88">
        <v>67.872882176665698</v>
      </c>
      <c r="AB16" s="144">
        <v>80.801050210316347</v>
      </c>
    </row>
    <row r="17" spans="1:28" s="160" customFormat="1" ht="12" customHeight="1" x14ac:dyDescent="0.2">
      <c r="A17" s="158" t="s">
        <v>13</v>
      </c>
      <c r="B17" s="89">
        <v>1851.204896085057</v>
      </c>
      <c r="C17" s="88">
        <v>822.75773159336666</v>
      </c>
      <c r="D17" s="88">
        <v>1028.4471644917048</v>
      </c>
      <c r="E17" s="89">
        <v>1754.4098688387803</v>
      </c>
      <c r="F17" s="88">
        <v>777.38506257167444</v>
      </c>
      <c r="G17" s="90">
        <v>977.0248062671202</v>
      </c>
      <c r="H17" s="88">
        <v>96.795027246278579</v>
      </c>
      <c r="I17" s="88">
        <v>45.372669021693092</v>
      </c>
      <c r="J17" s="144">
        <v>51.422358224585501</v>
      </c>
      <c r="K17" s="87">
        <v>1913.6493212675728</v>
      </c>
      <c r="L17" s="88">
        <v>850.510809452226</v>
      </c>
      <c r="M17" s="88">
        <v>1063.1385118152853</v>
      </c>
      <c r="N17" s="89">
        <v>1813.5892260378919</v>
      </c>
      <c r="O17" s="88">
        <v>803.6076398133165</v>
      </c>
      <c r="P17" s="90">
        <v>1009.9815862245183</v>
      </c>
      <c r="Q17" s="88">
        <v>100.06009522967388</v>
      </c>
      <c r="R17" s="88">
        <v>46.903169638909695</v>
      </c>
      <c r="S17" s="144">
        <v>53.156925590764324</v>
      </c>
      <c r="T17" s="87">
        <v>1978.0097091484961</v>
      </c>
      <c r="U17" s="88">
        <v>879.11542628824827</v>
      </c>
      <c r="V17" s="88">
        <v>1098.894282860306</v>
      </c>
      <c r="W17" s="89">
        <v>1874.5843648792973</v>
      </c>
      <c r="X17" s="88">
        <v>830.63479616205791</v>
      </c>
      <c r="Y17" s="90">
        <v>1043.9495687172941</v>
      </c>
      <c r="Z17" s="88">
        <v>103.42534426920498</v>
      </c>
      <c r="AA17" s="88">
        <v>48.480630126189787</v>
      </c>
      <c r="AB17" s="144">
        <v>54.944714143015084</v>
      </c>
    </row>
    <row r="18" spans="1:28" s="160" customFormat="1" ht="12" customHeight="1" x14ac:dyDescent="0.2">
      <c r="A18" s="158" t="s">
        <v>14</v>
      </c>
      <c r="B18" s="89">
        <v>1421.676962679704</v>
      </c>
      <c r="C18" s="88">
        <v>691.17699143045922</v>
      </c>
      <c r="D18" s="88">
        <v>730.49997124925915</v>
      </c>
      <c r="E18" s="89">
        <v>1312.7825570276427</v>
      </c>
      <c r="F18" s="88">
        <v>635.21736630370549</v>
      </c>
      <c r="G18" s="90">
        <v>677.56519072395156</v>
      </c>
      <c r="H18" s="88">
        <v>108.8944056520634</v>
      </c>
      <c r="I18" s="88">
        <v>55.959625126754808</v>
      </c>
      <c r="J18" s="144">
        <v>52.934780525308604</v>
      </c>
      <c r="K18" s="87">
        <v>1469.6326486858638</v>
      </c>
      <c r="L18" s="88">
        <v>714.49161749938844</v>
      </c>
      <c r="M18" s="88">
        <v>755.14103118644334</v>
      </c>
      <c r="N18" s="89">
        <v>1357.0650415524728</v>
      </c>
      <c r="O18" s="88">
        <v>656.64437494473339</v>
      </c>
      <c r="P18" s="90">
        <v>700.42066660771559</v>
      </c>
      <c r="Q18" s="88">
        <v>112.56760713338308</v>
      </c>
      <c r="R18" s="88">
        <v>57.847242554655296</v>
      </c>
      <c r="S18" s="144">
        <v>54.720364578727981</v>
      </c>
      <c r="T18" s="87">
        <v>1519.0597439539263</v>
      </c>
      <c r="U18" s="88">
        <v>738.52159892229622</v>
      </c>
      <c r="V18" s="88">
        <v>780.5381450316612</v>
      </c>
      <c r="W18" s="89">
        <v>1402.7062316510776</v>
      </c>
      <c r="X18" s="88">
        <v>678.72882176666144</v>
      </c>
      <c r="Y18" s="90">
        <v>723.97740988443911</v>
      </c>
      <c r="Z18" s="88">
        <v>116.35351230285563</v>
      </c>
      <c r="AA18" s="88">
        <v>59.792777155634056</v>
      </c>
      <c r="AB18" s="144">
        <v>56.560735147221408</v>
      </c>
    </row>
    <row r="19" spans="1:28" s="160" customFormat="1" ht="12" customHeight="1" x14ac:dyDescent="0.2">
      <c r="A19" s="158" t="s">
        <v>15</v>
      </c>
      <c r="B19" s="89">
        <v>1179.0651499935846</v>
      </c>
      <c r="C19" s="88">
        <v>608.36748154620352</v>
      </c>
      <c r="D19" s="88">
        <v>570.69766844736648</v>
      </c>
      <c r="E19" s="89">
        <v>1075.4731639717827</v>
      </c>
      <c r="F19" s="88">
        <v>563.16370582759907</v>
      </c>
      <c r="G19" s="90">
        <v>512.30945814416907</v>
      </c>
      <c r="H19" s="88">
        <v>103.59198602179933</v>
      </c>
      <c r="I19" s="88">
        <v>45.20377571860331</v>
      </c>
      <c r="J19" s="144">
        <v>58.388210303195926</v>
      </c>
      <c r="K19" s="87">
        <v>1218.8371091644437</v>
      </c>
      <c r="L19" s="88">
        <v>628.88879594267041</v>
      </c>
      <c r="M19" s="88">
        <v>589.94831322176128</v>
      </c>
      <c r="N19" s="89">
        <v>1111.7507816819436</v>
      </c>
      <c r="O19" s="88">
        <v>582.16021667757946</v>
      </c>
      <c r="P19" s="90">
        <v>529.59056500435213</v>
      </c>
      <c r="Q19" s="88">
        <v>107.08632748249778</v>
      </c>
      <c r="R19" s="88">
        <v>46.728579265089941</v>
      </c>
      <c r="S19" s="144">
        <v>60.357748217407838</v>
      </c>
      <c r="T19" s="87">
        <v>1259.8293788753911</v>
      </c>
      <c r="U19" s="88">
        <v>650.03975938778308</v>
      </c>
      <c r="V19" s="88">
        <v>609.78961948761093</v>
      </c>
      <c r="W19" s="89">
        <v>1149.1414941499177</v>
      </c>
      <c r="X19" s="88">
        <v>601.73959150757651</v>
      </c>
      <c r="Y19" s="90">
        <v>547.40190264234411</v>
      </c>
      <c r="Z19" s="88">
        <v>110.68788472547439</v>
      </c>
      <c r="AA19" s="88">
        <v>48.300167880207077</v>
      </c>
      <c r="AB19" s="144">
        <v>62.387716845267477</v>
      </c>
    </row>
    <row r="20" spans="1:28" s="160" customFormat="1" ht="12" customHeight="1" x14ac:dyDescent="0.2">
      <c r="A20" s="158" t="s">
        <v>16</v>
      </c>
      <c r="B20" s="89">
        <v>730.7943741174239</v>
      </c>
      <c r="C20" s="88">
        <v>339.02831788952392</v>
      </c>
      <c r="D20" s="88">
        <v>391.76605622789418</v>
      </c>
      <c r="E20" s="89">
        <v>676.17314512411019</v>
      </c>
      <c r="F20" s="88">
        <v>310.77595806539699</v>
      </c>
      <c r="G20" s="90">
        <v>365.39718705870905</v>
      </c>
      <c r="H20" s="88">
        <v>54.621228993312322</v>
      </c>
      <c r="I20" s="88">
        <v>28.252359824127083</v>
      </c>
      <c r="J20" s="144">
        <v>26.368869169185277</v>
      </c>
      <c r="K20" s="87">
        <v>755.44536478562509</v>
      </c>
      <c r="L20" s="88">
        <v>350.46434448817479</v>
      </c>
      <c r="M20" s="88">
        <v>404.98102029744598</v>
      </c>
      <c r="N20" s="89">
        <v>698.98166484030685</v>
      </c>
      <c r="O20" s="88">
        <v>321.25898244749379</v>
      </c>
      <c r="P20" s="90">
        <v>377.72268239281038</v>
      </c>
      <c r="Q20" s="88">
        <v>56.463699945317011</v>
      </c>
      <c r="R20" s="88">
        <v>29.205362040681212</v>
      </c>
      <c r="S20" s="144">
        <v>27.258337904635798</v>
      </c>
      <c r="T20" s="87">
        <v>780.85271406334255</v>
      </c>
      <c r="U20" s="88">
        <v>362.25125910155225</v>
      </c>
      <c r="V20" s="88">
        <v>418.60145496179325</v>
      </c>
      <c r="W20" s="89">
        <v>722.49001120809294</v>
      </c>
      <c r="X20" s="88">
        <v>332.06365417642314</v>
      </c>
      <c r="Y20" s="90">
        <v>390.42635703167275</v>
      </c>
      <c r="Z20" s="88">
        <v>58.36270285525022</v>
      </c>
      <c r="AA20" s="88">
        <v>30.187604925129424</v>
      </c>
      <c r="AB20" s="144">
        <v>28.175097930120796</v>
      </c>
    </row>
    <row r="21" spans="1:28" s="160" customFormat="1" ht="12" customHeight="1" x14ac:dyDescent="0.2">
      <c r="A21" s="158" t="s">
        <v>17</v>
      </c>
      <c r="B21" s="89">
        <v>376.69813098835982</v>
      </c>
      <c r="C21" s="88">
        <v>173.28114025464592</v>
      </c>
      <c r="D21" s="88">
        <v>203.41699073371464</v>
      </c>
      <c r="E21" s="89">
        <v>346.5622805092911</v>
      </c>
      <c r="F21" s="88">
        <v>156.32972436016976</v>
      </c>
      <c r="G21" s="90">
        <v>190.23255614912208</v>
      </c>
      <c r="H21" s="88">
        <v>30.135850479068889</v>
      </c>
      <c r="I21" s="88">
        <v>16.951415894476249</v>
      </c>
      <c r="J21" s="144">
        <v>13.184434584592639</v>
      </c>
      <c r="K21" s="87">
        <v>389.40482720908278</v>
      </c>
      <c r="L21" s="88">
        <v>179.12622051617848</v>
      </c>
      <c r="M21" s="88">
        <v>210.27860669290533</v>
      </c>
      <c r="N21" s="89">
        <v>358.25244103235639</v>
      </c>
      <c r="O21" s="88">
        <v>161.60300329176962</v>
      </c>
      <c r="P21" s="90">
        <v>196.64943774058733</v>
      </c>
      <c r="Q21" s="88">
        <v>31.152386176726626</v>
      </c>
      <c r="R21" s="88">
        <v>17.523217224408729</v>
      </c>
      <c r="S21" s="144">
        <v>13.629168952317901</v>
      </c>
      <c r="T21" s="87">
        <v>402.50139900172439</v>
      </c>
      <c r="U21" s="88">
        <v>185.15064354079379</v>
      </c>
      <c r="V21" s="88">
        <v>217.35075546093196</v>
      </c>
      <c r="W21" s="89">
        <v>370.30128708158668</v>
      </c>
      <c r="X21" s="88">
        <v>167.03808058571607</v>
      </c>
      <c r="Y21" s="90">
        <v>203.26320649587151</v>
      </c>
      <c r="Z21" s="88">
        <v>32.200111920138049</v>
      </c>
      <c r="AA21" s="88">
        <v>18.112562955077653</v>
      </c>
      <c r="AB21" s="144">
        <v>14.087548965060398</v>
      </c>
    </row>
    <row r="22" spans="1:28" s="160" customFormat="1" ht="12" customHeight="1" x14ac:dyDescent="0.2">
      <c r="A22" s="158" t="s">
        <v>18</v>
      </c>
      <c r="B22" s="89">
        <v>346.5622805092911</v>
      </c>
      <c r="C22" s="88">
        <v>139.37830846569361</v>
      </c>
      <c r="D22" s="88">
        <v>207.18397204359823</v>
      </c>
      <c r="E22" s="89">
        <v>301.35850479068802</v>
      </c>
      <c r="F22" s="88">
        <v>126.19387388110104</v>
      </c>
      <c r="G22" s="90">
        <v>175.16463090958771</v>
      </c>
      <c r="H22" s="88">
        <v>45.20377571860331</v>
      </c>
      <c r="I22" s="88">
        <v>13.184434584592639</v>
      </c>
      <c r="J22" s="144">
        <v>32.019341134010695</v>
      </c>
      <c r="K22" s="87">
        <v>358.25244103235639</v>
      </c>
      <c r="L22" s="88">
        <v>144.07978606736077</v>
      </c>
      <c r="M22" s="88">
        <v>214.17265496499618</v>
      </c>
      <c r="N22" s="89">
        <v>311.52386176726679</v>
      </c>
      <c r="O22" s="88">
        <v>130.45061711504277</v>
      </c>
      <c r="P22" s="90">
        <v>181.07324465222391</v>
      </c>
      <c r="Q22" s="88">
        <v>46.728579265089941</v>
      </c>
      <c r="R22" s="88">
        <v>13.629168952317901</v>
      </c>
      <c r="S22" s="144">
        <v>33.099410312772044</v>
      </c>
      <c r="T22" s="87">
        <v>370.30128708158668</v>
      </c>
      <c r="U22" s="88">
        <v>148.92551763063835</v>
      </c>
      <c r="V22" s="88">
        <v>221.37576945094924</v>
      </c>
      <c r="W22" s="89">
        <v>322.00111920138011</v>
      </c>
      <c r="X22" s="88">
        <v>134.8379686655779</v>
      </c>
      <c r="Y22" s="90">
        <v>187.16315053580243</v>
      </c>
      <c r="Z22" s="88">
        <v>48.300167880207077</v>
      </c>
      <c r="AA22" s="88">
        <v>14.087548965060398</v>
      </c>
      <c r="AB22" s="144">
        <v>34.212618915146678</v>
      </c>
    </row>
    <row r="23" spans="1:28" s="160" customFormat="1" ht="12" customHeight="1" x14ac:dyDescent="0.2">
      <c r="A23" s="158" t="s">
        <v>19</v>
      </c>
      <c r="B23" s="89">
        <v>56.504719648254124</v>
      </c>
      <c r="C23" s="88">
        <v>20.71839720435986</v>
      </c>
      <c r="D23" s="88">
        <v>35.786322443894299</v>
      </c>
      <c r="E23" s="89">
        <v>52.737738338370519</v>
      </c>
      <c r="F23" s="88">
        <v>16.951415894476249</v>
      </c>
      <c r="G23" s="90">
        <v>35.786322443894299</v>
      </c>
      <c r="H23" s="88">
        <v>3.7669813098836111</v>
      </c>
      <c r="I23" s="88">
        <v>3.7669813098836111</v>
      </c>
      <c r="J23" s="168">
        <v>0</v>
      </c>
      <c r="K23" s="87">
        <v>58.410724081362424</v>
      </c>
      <c r="L23" s="88">
        <v>21.417265496499557</v>
      </c>
      <c r="M23" s="88">
        <v>36.993458584862871</v>
      </c>
      <c r="N23" s="89">
        <v>54.516675809271597</v>
      </c>
      <c r="O23" s="88">
        <v>17.523217224408729</v>
      </c>
      <c r="P23" s="90">
        <v>36.993458584862871</v>
      </c>
      <c r="Q23" s="88">
        <v>3.8940482720908292</v>
      </c>
      <c r="R23" s="88">
        <v>3.8940482720908292</v>
      </c>
      <c r="S23" s="168">
        <v>0</v>
      </c>
      <c r="T23" s="87">
        <v>60.375209850258848</v>
      </c>
      <c r="U23" s="88">
        <v>22.13757694509491</v>
      </c>
      <c r="V23" s="88">
        <v>38.237632905163935</v>
      </c>
      <c r="W23" s="89">
        <v>56.350195860241591</v>
      </c>
      <c r="X23" s="88">
        <v>18.112562955077653</v>
      </c>
      <c r="Y23" s="90">
        <v>38.237632905163935</v>
      </c>
      <c r="Z23" s="88">
        <v>4.0250139900172561</v>
      </c>
      <c r="AA23" s="88">
        <v>4.0250139900172561</v>
      </c>
      <c r="AB23" s="168">
        <v>0</v>
      </c>
    </row>
    <row r="24" spans="1:28" s="160" customFormat="1" ht="12" customHeight="1" x14ac:dyDescent="0.2">
      <c r="A24" s="158" t="s">
        <v>20</v>
      </c>
      <c r="B24" s="89">
        <v>47.087266373545113</v>
      </c>
      <c r="C24" s="88">
        <v>3.7669813098836111</v>
      </c>
      <c r="D24" s="88">
        <v>43.320285063661508</v>
      </c>
      <c r="E24" s="89">
        <v>41.436794408719706</v>
      </c>
      <c r="F24" s="88">
        <v>1.8834906549418056</v>
      </c>
      <c r="G24" s="90">
        <v>39.553303753777904</v>
      </c>
      <c r="H24" s="88">
        <v>5.6504719648254165</v>
      </c>
      <c r="I24" s="88">
        <v>1.8834906549418056</v>
      </c>
      <c r="J24" s="144">
        <v>3.7669813098836111</v>
      </c>
      <c r="K24" s="87">
        <v>48.675603401135355</v>
      </c>
      <c r="L24" s="88">
        <v>3.8940482720908292</v>
      </c>
      <c r="M24" s="88">
        <v>44.781555129044527</v>
      </c>
      <c r="N24" s="89">
        <v>42.834530992999113</v>
      </c>
      <c r="O24" s="88">
        <v>1.9470241360454146</v>
      </c>
      <c r="P24" s="90">
        <v>40.887506856953699</v>
      </c>
      <c r="Q24" s="88">
        <v>5.8410724081362435</v>
      </c>
      <c r="R24" s="88">
        <v>1.9470241360454146</v>
      </c>
      <c r="S24" s="144">
        <v>3.8940482720908292</v>
      </c>
      <c r="T24" s="87">
        <v>50.312674875215706</v>
      </c>
      <c r="U24" s="88">
        <v>4.0250139900172561</v>
      </c>
      <c r="V24" s="88">
        <v>46.287660885198449</v>
      </c>
      <c r="W24" s="89">
        <v>44.27515389018982</v>
      </c>
      <c r="X24" s="88">
        <v>2.0125069950086281</v>
      </c>
      <c r="Y24" s="90">
        <v>42.262646895181192</v>
      </c>
      <c r="Z24" s="88">
        <v>6.0375209850258837</v>
      </c>
      <c r="AA24" s="88">
        <v>2.0125069950086281</v>
      </c>
      <c r="AB24" s="144">
        <v>4.0250139900172561</v>
      </c>
    </row>
    <row r="25" spans="1:28" s="160" customFormat="1" ht="12" customHeight="1" thickBot="1" x14ac:dyDescent="0.25">
      <c r="A25" s="161" t="s">
        <v>21</v>
      </c>
      <c r="B25" s="95">
        <v>33.902831788952497</v>
      </c>
      <c r="C25" s="94">
        <v>7.5339626197672223</v>
      </c>
      <c r="D25" s="94">
        <v>26.368869169185277</v>
      </c>
      <c r="E25" s="95">
        <v>30.135850479068889</v>
      </c>
      <c r="F25" s="94">
        <v>5.6504719648254165</v>
      </c>
      <c r="G25" s="96">
        <v>24.485378514243472</v>
      </c>
      <c r="H25" s="94">
        <v>3.7669813098836111</v>
      </c>
      <c r="I25" s="94">
        <v>1.8834906549418056</v>
      </c>
      <c r="J25" s="162">
        <v>1.8834906549418056</v>
      </c>
      <c r="K25" s="93">
        <v>35.046434448817458</v>
      </c>
      <c r="L25" s="94">
        <v>7.7880965441816583</v>
      </c>
      <c r="M25" s="94">
        <v>27.258337904635798</v>
      </c>
      <c r="N25" s="95">
        <v>31.152386176726626</v>
      </c>
      <c r="O25" s="94">
        <v>5.8410724081362435</v>
      </c>
      <c r="P25" s="96">
        <v>25.311313768590384</v>
      </c>
      <c r="Q25" s="94">
        <v>3.8940482720908292</v>
      </c>
      <c r="R25" s="94">
        <v>1.9470241360454146</v>
      </c>
      <c r="S25" s="162">
        <v>1.9470241360454146</v>
      </c>
      <c r="T25" s="93">
        <v>36.225125910155306</v>
      </c>
      <c r="U25" s="94">
        <v>8.0500279800345123</v>
      </c>
      <c r="V25" s="94">
        <v>28.175097930120796</v>
      </c>
      <c r="W25" s="95">
        <v>32.200111920138049</v>
      </c>
      <c r="X25" s="94">
        <v>6.0375209850258837</v>
      </c>
      <c r="Y25" s="96">
        <v>26.162590935112167</v>
      </c>
      <c r="Z25" s="94">
        <v>4.0250139900172561</v>
      </c>
      <c r="AA25" s="94">
        <v>2.0125069950086281</v>
      </c>
      <c r="AB25" s="162">
        <v>2.0125069950086281</v>
      </c>
    </row>
    <row r="26" spans="1:28" s="160" customFormat="1" ht="12" customHeight="1" x14ac:dyDescent="0.2">
      <c r="A26" s="169" t="s">
        <v>69</v>
      </c>
      <c r="B26" s="132">
        <v>64859.951504111836</v>
      </c>
      <c r="C26" s="130">
        <v>32290.691076162184</v>
      </c>
      <c r="D26" s="165">
        <v>32569.260427929268</v>
      </c>
      <c r="E26" s="130">
        <v>60988.129639248124</v>
      </c>
      <c r="F26" s="130">
        <v>30252.420129520069</v>
      </c>
      <c r="G26" s="165">
        <v>30735.709509711392</v>
      </c>
      <c r="H26" s="130">
        <v>3871.8218648611501</v>
      </c>
      <c r="I26" s="130">
        <v>2038.2709466427498</v>
      </c>
      <c r="J26" s="163">
        <v>1833.5509182184601</v>
      </c>
      <c r="K26" s="164">
        <v>67047.792729887806</v>
      </c>
      <c r="L26" s="130">
        <v>33379.913369857473</v>
      </c>
      <c r="M26" s="130">
        <v>33667.879360041858</v>
      </c>
      <c r="N26" s="166">
        <v>63045.36744491331</v>
      </c>
      <c r="O26" s="130">
        <v>31272.887928291166</v>
      </c>
      <c r="P26" s="130">
        <v>31772.479516632106</v>
      </c>
      <c r="Q26" s="166">
        <v>4002.4252849749605</v>
      </c>
      <c r="R26" s="130">
        <v>2107.0254415656345</v>
      </c>
      <c r="S26" s="163">
        <v>1895.3998434092694</v>
      </c>
      <c r="T26" s="164">
        <v>69302.762801341785</v>
      </c>
      <c r="U26" s="130">
        <v>34502.55592929574</v>
      </c>
      <c r="V26" s="130">
        <v>34800.206872004885</v>
      </c>
      <c r="W26" s="166">
        <v>65165.726832506662</v>
      </c>
      <c r="X26" s="130">
        <v>32324.666420218116</v>
      </c>
      <c r="Y26" s="165">
        <v>32841.060412243554</v>
      </c>
      <c r="Z26" s="130">
        <v>4137.0359688359449</v>
      </c>
      <c r="AA26" s="130">
        <v>2177.8895090765473</v>
      </c>
      <c r="AB26" s="163">
        <v>1959.1464597594397</v>
      </c>
    </row>
    <row r="27" spans="1:28" s="160" customFormat="1" ht="12" customHeight="1" x14ac:dyDescent="0.2">
      <c r="A27" s="159" t="s">
        <v>22</v>
      </c>
      <c r="B27" s="89">
        <v>3208.3614251452864</v>
      </c>
      <c r="C27" s="88">
        <v>1601.0041171022847</v>
      </c>
      <c r="D27" s="88">
        <v>1607.3573080431668</v>
      </c>
      <c r="E27" s="129">
        <v>2877.9954962194652</v>
      </c>
      <c r="F27" s="88">
        <v>1421.5264730223657</v>
      </c>
      <c r="G27" s="90">
        <v>1456.4690231972172</v>
      </c>
      <c r="H27" s="88">
        <v>330.36592892586737</v>
      </c>
      <c r="I27" s="88">
        <v>179.47764407991781</v>
      </c>
      <c r="J27" s="144">
        <v>150.88828484594842</v>
      </c>
      <c r="K27" s="87">
        <v>3316.5851476486419</v>
      </c>
      <c r="L27" s="88">
        <v>1655.0088261534104</v>
      </c>
      <c r="M27" s="128">
        <v>1661.5763214952888</v>
      </c>
      <c r="N27" s="129">
        <v>2975.0753898709659</v>
      </c>
      <c r="O27" s="88">
        <v>1469.477082745346</v>
      </c>
      <c r="P27" s="128">
        <v>1505.5983071256771</v>
      </c>
      <c r="Q27" s="88">
        <v>341.50975777769213</v>
      </c>
      <c r="R27" s="88">
        <v>185.53174340807391</v>
      </c>
      <c r="S27" s="144">
        <v>155.97801436961964</v>
      </c>
      <c r="T27" s="87">
        <v>3428.1294646617421</v>
      </c>
      <c r="U27" s="88">
        <v>1710.6705447420968</v>
      </c>
      <c r="V27" s="88">
        <v>1717.4589199196448</v>
      </c>
      <c r="W27" s="129">
        <v>3075.1339554292458</v>
      </c>
      <c r="X27" s="88">
        <v>1518.8989459763657</v>
      </c>
      <c r="Y27" s="128">
        <v>1556.2350094528797</v>
      </c>
      <c r="Z27" s="88">
        <v>352.99550923249598</v>
      </c>
      <c r="AA27" s="88">
        <v>191.77159876573089</v>
      </c>
      <c r="AB27" s="144">
        <v>161.22391046676486</v>
      </c>
    </row>
    <row r="28" spans="1:28" s="160" customFormat="1" ht="12" customHeight="1" thickBot="1" x14ac:dyDescent="0.25">
      <c r="A28" s="170" t="s">
        <v>23</v>
      </c>
      <c r="B28" s="139">
        <v>61828.001552997383</v>
      </c>
      <c r="C28" s="138">
        <v>31228.650288015306</v>
      </c>
      <c r="D28" s="138">
        <v>30599.351264975943</v>
      </c>
      <c r="E28" s="139">
        <v>58315.029728005793</v>
      </c>
      <c r="F28" s="138">
        <v>29360.829231738833</v>
      </c>
      <c r="G28" s="140">
        <v>28954.200496261783</v>
      </c>
      <c r="H28" s="138">
        <v>3512.9718249905704</v>
      </c>
      <c r="I28" s="138">
        <v>1867.8210562764345</v>
      </c>
      <c r="J28" s="145">
        <v>1645.1507687141313</v>
      </c>
      <c r="K28" s="152">
        <v>63913.56972820888</v>
      </c>
      <c r="L28" s="138">
        <v>32282.048061852853</v>
      </c>
      <c r="M28" s="138">
        <v>31631.521666390276</v>
      </c>
      <c r="N28" s="139">
        <v>60282.099131552815</v>
      </c>
      <c r="O28" s="138">
        <v>30351.222087833721</v>
      </c>
      <c r="P28" s="138">
        <v>29930.877043750046</v>
      </c>
      <c r="Q28" s="139">
        <v>3631.4705966594488</v>
      </c>
      <c r="R28" s="138">
        <v>1930.8259740191438</v>
      </c>
      <c r="S28" s="145">
        <v>1700.6446226402952</v>
      </c>
      <c r="T28" s="152">
        <v>66063.128737194624</v>
      </c>
      <c r="U28" s="138">
        <v>33367.766908957994</v>
      </c>
      <c r="V28" s="140">
        <v>32695.361828267374</v>
      </c>
      <c r="W28" s="138">
        <v>62309.523508251666</v>
      </c>
      <c r="X28" s="138">
        <v>31372.00285708097</v>
      </c>
      <c r="Y28" s="140">
        <v>30937.520651198618</v>
      </c>
      <c r="Z28" s="138">
        <v>3753.6052289465456</v>
      </c>
      <c r="AA28" s="138">
        <v>1995.7640518777905</v>
      </c>
      <c r="AB28" s="145">
        <v>1757.8411770687694</v>
      </c>
    </row>
    <row r="29" spans="1:28" x14ac:dyDescent="0.2">
      <c r="A29" s="281" t="s">
        <v>91</v>
      </c>
    </row>
    <row r="33" spans="15:15" x14ac:dyDescent="0.2">
      <c r="O33" s="167"/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9"/>
  <sheetViews>
    <sheetView workbookViewId="0">
      <selection activeCell="A29" sqref="A29"/>
    </sheetView>
  </sheetViews>
  <sheetFormatPr defaultRowHeight="12" x14ac:dyDescent="0.2"/>
  <cols>
    <col min="1" max="1" width="16.140625" style="22" customWidth="1"/>
    <col min="2" max="2" width="9.5703125" style="22" bestFit="1" customWidth="1"/>
    <col min="3" max="10" width="9.28515625" style="22" bestFit="1" customWidth="1"/>
    <col min="11" max="11" width="9.5703125" style="22" bestFit="1" customWidth="1"/>
    <col min="12" max="19" width="9.28515625" style="22" bestFit="1" customWidth="1"/>
    <col min="20" max="20" width="9.5703125" style="22" bestFit="1" customWidth="1"/>
    <col min="21" max="28" width="9.28515625" style="22" bestFit="1" customWidth="1"/>
    <col min="29" max="16384" width="9.140625" style="22"/>
  </cols>
  <sheetData>
    <row r="1" spans="1:28" ht="15.75" customHeight="1" thickBot="1" x14ac:dyDescent="0.25">
      <c r="A1" s="283" t="s">
        <v>80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</row>
    <row r="2" spans="1:28" ht="15.75" customHeight="1" x14ac:dyDescent="0.2">
      <c r="A2" s="284" t="s">
        <v>62</v>
      </c>
      <c r="B2" s="285"/>
      <c r="C2" s="285"/>
      <c r="D2" s="285"/>
      <c r="E2" s="285"/>
      <c r="F2" s="285"/>
      <c r="G2" s="285"/>
      <c r="H2" s="285"/>
      <c r="I2" s="285"/>
      <c r="J2" s="286"/>
      <c r="K2" s="284" t="s">
        <v>63</v>
      </c>
      <c r="L2" s="285"/>
      <c r="M2" s="285"/>
      <c r="N2" s="285"/>
      <c r="O2" s="285"/>
      <c r="P2" s="285"/>
      <c r="Q2" s="285"/>
      <c r="R2" s="285"/>
      <c r="S2" s="286"/>
      <c r="T2" s="284" t="s">
        <v>77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25">
      <c r="A3" s="294" t="s">
        <v>64</v>
      </c>
      <c r="B3" s="186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46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46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8" ht="15.75" customHeight="1" thickBot="1" x14ac:dyDescent="0.25">
      <c r="A4" s="288"/>
      <c r="B4" s="194" t="s">
        <v>1</v>
      </c>
      <c r="C4" s="5" t="s">
        <v>34</v>
      </c>
      <c r="D4" s="6" t="s">
        <v>35</v>
      </c>
      <c r="E4" s="81" t="s">
        <v>1</v>
      </c>
      <c r="F4" s="5" t="s">
        <v>34</v>
      </c>
      <c r="G4" s="6" t="s">
        <v>35</v>
      </c>
      <c r="H4" s="81" t="s">
        <v>1</v>
      </c>
      <c r="I4" s="5" t="s">
        <v>34</v>
      </c>
      <c r="J4" s="82" t="s">
        <v>35</v>
      </c>
      <c r="K4" s="80" t="s">
        <v>1</v>
      </c>
      <c r="L4" s="5" t="s">
        <v>34</v>
      </c>
      <c r="M4" s="5" t="s">
        <v>35</v>
      </c>
      <c r="N4" s="4" t="s">
        <v>1</v>
      </c>
      <c r="O4" s="5" t="s">
        <v>34</v>
      </c>
      <c r="P4" s="6" t="s">
        <v>35</v>
      </c>
      <c r="Q4" s="81" t="s">
        <v>1</v>
      </c>
      <c r="R4" s="5" t="s">
        <v>34</v>
      </c>
      <c r="S4" s="82" t="s">
        <v>35</v>
      </c>
      <c r="T4" s="80" t="s">
        <v>1</v>
      </c>
      <c r="U4" s="5" t="s">
        <v>34</v>
      </c>
      <c r="V4" s="5" t="s">
        <v>35</v>
      </c>
      <c r="W4" s="4" t="s">
        <v>1</v>
      </c>
      <c r="X4" s="5" t="s">
        <v>34</v>
      </c>
      <c r="Y4" s="6" t="s">
        <v>35</v>
      </c>
      <c r="Z4" s="81" t="s">
        <v>1</v>
      </c>
      <c r="AA4" s="5" t="s">
        <v>34</v>
      </c>
      <c r="AB4" s="82" t="s">
        <v>35</v>
      </c>
    </row>
    <row r="5" spans="1:28" ht="15.75" customHeight="1" thickBot="1" x14ac:dyDescent="0.25">
      <c r="A5" s="275" t="s">
        <v>60</v>
      </c>
      <c r="B5" s="183">
        <f t="shared" ref="B5:AB5" si="0">+SUM(B6:B25)</f>
        <v>122255.31013290618</v>
      </c>
      <c r="C5" s="85">
        <f t="shared" si="0"/>
        <v>58758.913120608835</v>
      </c>
      <c r="D5" s="85">
        <f t="shared" si="0"/>
        <v>63496.397012293113</v>
      </c>
      <c r="E5" s="183">
        <f t="shared" si="0"/>
        <v>28928.382585135412</v>
      </c>
      <c r="F5" s="85">
        <f t="shared" si="0"/>
        <v>13577.348015833806</v>
      </c>
      <c r="G5" s="85">
        <f t="shared" si="0"/>
        <v>15351.034569301659</v>
      </c>
      <c r="H5" s="183">
        <f t="shared" si="0"/>
        <v>93326.927547768704</v>
      </c>
      <c r="I5" s="85">
        <f t="shared" si="0"/>
        <v>45181.565104775422</v>
      </c>
      <c r="J5" s="86">
        <f t="shared" si="0"/>
        <v>48145.362442992155</v>
      </c>
      <c r="K5" s="85">
        <f t="shared" si="0"/>
        <v>126379.19862460975</v>
      </c>
      <c r="L5" s="85">
        <f t="shared" si="0"/>
        <v>60740.955498478637</v>
      </c>
      <c r="M5" s="182">
        <f t="shared" si="0"/>
        <v>65638.243126126297</v>
      </c>
      <c r="N5" s="85">
        <f t="shared" si="0"/>
        <v>29904.188248683095</v>
      </c>
      <c r="O5" s="85">
        <f t="shared" si="0"/>
        <v>14035.336050623175</v>
      </c>
      <c r="P5" s="85">
        <f t="shared" si="0"/>
        <v>15868.852198059465</v>
      </c>
      <c r="Q5" s="183">
        <f t="shared" si="0"/>
        <v>96475.010375918762</v>
      </c>
      <c r="R5" s="85">
        <f t="shared" si="0"/>
        <v>46705.619447857498</v>
      </c>
      <c r="S5" s="86">
        <f t="shared" si="0"/>
        <v>49769.390928068853</v>
      </c>
      <c r="T5" s="85">
        <f t="shared" si="0"/>
        <v>130629.61909253457</v>
      </c>
      <c r="U5" s="85">
        <f t="shared" si="0"/>
        <v>62783.812260529798</v>
      </c>
      <c r="V5" s="85">
        <f t="shared" si="0"/>
        <v>67845.806832013928</v>
      </c>
      <c r="W5" s="183">
        <f t="shared" si="0"/>
        <v>30909.934251130875</v>
      </c>
      <c r="X5" s="85">
        <f t="shared" si="0"/>
        <v>14507.376388536786</v>
      </c>
      <c r="Y5" s="182">
        <f t="shared" si="0"/>
        <v>16402.557862594615</v>
      </c>
      <c r="Z5" s="85">
        <f t="shared" si="0"/>
        <v>99719.684841411276</v>
      </c>
      <c r="AA5" s="85">
        <f t="shared" si="0"/>
        <v>48276.435871993621</v>
      </c>
      <c r="AB5" s="86">
        <f t="shared" si="0"/>
        <v>51443.248969419787</v>
      </c>
    </row>
    <row r="6" spans="1:28" s="167" customFormat="1" ht="12" customHeight="1" x14ac:dyDescent="0.2">
      <c r="A6" s="171" t="s">
        <v>2</v>
      </c>
      <c r="B6" s="102">
        <v>21752.771684322008</v>
      </c>
      <c r="C6" s="103">
        <v>10801.421240910335</v>
      </c>
      <c r="D6" s="103">
        <v>10951.350443409341</v>
      </c>
      <c r="E6" s="102">
        <v>4765.1411750788629</v>
      </c>
      <c r="F6" s="103">
        <v>2363.0146046047957</v>
      </c>
      <c r="G6" s="104">
        <v>2402.1265704741127</v>
      </c>
      <c r="H6" s="103">
        <v>16987.630509239574</v>
      </c>
      <c r="I6" s="103">
        <v>8438.4066363064303</v>
      </c>
      <c r="J6" s="168">
        <v>8549.2238729361306</v>
      </c>
      <c r="K6" s="180">
        <v>22486.531262652556</v>
      </c>
      <c r="L6" s="103">
        <v>11165.772341087813</v>
      </c>
      <c r="M6" s="103">
        <v>11320.758921561526</v>
      </c>
      <c r="N6" s="102">
        <v>4925.8778402748303</v>
      </c>
      <c r="O6" s="103">
        <v>2442.7232792059717</v>
      </c>
      <c r="P6" s="104">
        <v>2483.1545610686903</v>
      </c>
      <c r="Q6" s="103">
        <v>17560.653422374016</v>
      </c>
      <c r="R6" s="103">
        <v>8723.049061882557</v>
      </c>
      <c r="S6" s="168">
        <v>8837.6043604935621</v>
      </c>
      <c r="T6" s="180">
        <v>23242.804555813746</v>
      </c>
      <c r="U6" s="103">
        <v>11541.302711715249</v>
      </c>
      <c r="V6" s="103">
        <v>11701.501844104791</v>
      </c>
      <c r="W6" s="102">
        <v>5091.5463381189156</v>
      </c>
      <c r="X6" s="103">
        <v>2524.8776300521026</v>
      </c>
      <c r="Y6" s="104">
        <v>2566.6687080667548</v>
      </c>
      <c r="Z6" s="103">
        <v>18151.25821769928</v>
      </c>
      <c r="AA6" s="103">
        <v>9016.4250816626882</v>
      </c>
      <c r="AB6" s="168">
        <v>9134.8331360375669</v>
      </c>
    </row>
    <row r="7" spans="1:28" s="167" customFormat="1" ht="12" customHeight="1" x14ac:dyDescent="0.2">
      <c r="A7" s="171" t="s">
        <v>3</v>
      </c>
      <c r="B7" s="102">
        <v>21129.146549563033</v>
      </c>
      <c r="C7" s="103">
        <v>10645.182317673753</v>
      </c>
      <c r="D7" s="103">
        <v>10483.964231890963</v>
      </c>
      <c r="E7" s="102">
        <v>4660.9585196591415</v>
      </c>
      <c r="F7" s="103">
        <v>2239.4947955759117</v>
      </c>
      <c r="G7" s="104">
        <v>2421.4637240831671</v>
      </c>
      <c r="H7" s="103">
        <v>16468.188029907491</v>
      </c>
      <c r="I7" s="103">
        <v>8405.6875220969796</v>
      </c>
      <c r="J7" s="168">
        <v>8062.5005078069562</v>
      </c>
      <c r="K7" s="180">
        <v>21841.870145787332</v>
      </c>
      <c r="L7" s="103">
        <v>11004.263201801297</v>
      </c>
      <c r="M7" s="103">
        <v>10837.606943984309</v>
      </c>
      <c r="N7" s="102">
        <v>4818.1809190678468</v>
      </c>
      <c r="O7" s="103">
        <v>2315.0369278944686</v>
      </c>
      <c r="P7" s="104">
        <v>2503.1439911731536</v>
      </c>
      <c r="Q7" s="103">
        <v>17023.689226716604</v>
      </c>
      <c r="R7" s="103">
        <v>8689.2262739078797</v>
      </c>
      <c r="S7" s="168">
        <v>8334.4629528123096</v>
      </c>
      <c r="T7" s="180">
        <v>22576.462016407761</v>
      </c>
      <c r="U7" s="103">
        <v>11374.361651992929</v>
      </c>
      <c r="V7" s="103">
        <v>11202.100364415905</v>
      </c>
      <c r="W7" s="102">
        <v>4980.227324010104</v>
      </c>
      <c r="X7" s="103">
        <v>2392.896895748795</v>
      </c>
      <c r="Y7" s="104">
        <v>2587.3304282615281</v>
      </c>
      <c r="Z7" s="103">
        <v>17596.234692398732</v>
      </c>
      <c r="AA7" s="103">
        <v>8981.4647562447553</v>
      </c>
      <c r="AB7" s="168">
        <v>8614.7699361550494</v>
      </c>
    </row>
    <row r="8" spans="1:28" s="167" customFormat="1" ht="12" customHeight="1" x14ac:dyDescent="0.2">
      <c r="A8" s="171" t="s">
        <v>4</v>
      </c>
      <c r="B8" s="102">
        <v>17462.632262012081</v>
      </c>
      <c r="C8" s="103">
        <v>8755.2594110715436</v>
      </c>
      <c r="D8" s="103">
        <v>8707.3728509380417</v>
      </c>
      <c r="E8" s="102">
        <v>4576.358930090003</v>
      </c>
      <c r="F8" s="103">
        <v>2178.8384860734932</v>
      </c>
      <c r="G8" s="104">
        <v>2397.520444016423</v>
      </c>
      <c r="H8" s="103">
        <v>12886.273331921642</v>
      </c>
      <c r="I8" s="103">
        <v>6576.4209249981268</v>
      </c>
      <c r="J8" s="168">
        <v>6309.8524069217847</v>
      </c>
      <c r="K8" s="180">
        <v>18051.677826915598</v>
      </c>
      <c r="L8" s="103">
        <v>9050.5898428377859</v>
      </c>
      <c r="M8" s="103">
        <v>9001.0879840802645</v>
      </c>
      <c r="N8" s="102">
        <v>4730.7276352628442</v>
      </c>
      <c r="O8" s="103">
        <v>2252.3345734682403</v>
      </c>
      <c r="P8" s="104">
        <v>2478.3930617943793</v>
      </c>
      <c r="Q8" s="103">
        <v>13320.950191653299</v>
      </c>
      <c r="R8" s="103">
        <v>6798.2552693697944</v>
      </c>
      <c r="S8" s="168">
        <v>6522.6949222861067</v>
      </c>
      <c r="T8" s="180">
        <v>18658.796892007507</v>
      </c>
      <c r="U8" s="103">
        <v>9354.9818055454325</v>
      </c>
      <c r="V8" s="103">
        <v>9303.815086463148</v>
      </c>
      <c r="W8" s="102">
        <v>4889.8327869647346</v>
      </c>
      <c r="X8" s="103">
        <v>2328.0857182445507</v>
      </c>
      <c r="Y8" s="104">
        <v>2561.747068720379</v>
      </c>
      <c r="Z8" s="103">
        <v>13768.964105043846</v>
      </c>
      <c r="AA8" s="103">
        <v>7026.8960873014857</v>
      </c>
      <c r="AB8" s="168">
        <v>6742.0680177434351</v>
      </c>
    </row>
    <row r="9" spans="1:28" s="167" customFormat="1" ht="12" customHeight="1" x14ac:dyDescent="0.2">
      <c r="A9" s="171" t="s">
        <v>5</v>
      </c>
      <c r="B9" s="102">
        <v>12936.685053372306</v>
      </c>
      <c r="C9" s="103">
        <v>6548.5515623135652</v>
      </c>
      <c r="D9" s="103">
        <v>6388.1334910563155</v>
      </c>
      <c r="E9" s="102">
        <v>4019.9815678428567</v>
      </c>
      <c r="F9" s="103">
        <v>2007.6083373187382</v>
      </c>
      <c r="G9" s="104">
        <v>2012.3732305243998</v>
      </c>
      <c r="H9" s="103">
        <v>8916.7034855274396</v>
      </c>
      <c r="I9" s="103">
        <v>4540.9432249951133</v>
      </c>
      <c r="J9" s="168">
        <v>4375.7602605322027</v>
      </c>
      <c r="K9" s="180">
        <v>13373.062389899918</v>
      </c>
      <c r="L9" s="103">
        <v>6769.4458236412029</v>
      </c>
      <c r="M9" s="103">
        <v>6603.6165662587737</v>
      </c>
      <c r="N9" s="102">
        <v>4155.5826775736059</v>
      </c>
      <c r="O9" s="103">
        <v>2075.3285280336272</v>
      </c>
      <c r="P9" s="104">
        <v>2080.254149540036</v>
      </c>
      <c r="Q9" s="103">
        <v>9217.4797123263706</v>
      </c>
      <c r="R9" s="103">
        <v>4694.1172956076334</v>
      </c>
      <c r="S9" s="168">
        <v>4523.3624167187954</v>
      </c>
      <c r="T9" s="180">
        <v>13822.828955279107</v>
      </c>
      <c r="U9" s="103">
        <v>6997.1177142576053</v>
      </c>
      <c r="V9" s="103">
        <v>6825.7112410245181</v>
      </c>
      <c r="W9" s="102">
        <v>4295.3443935934993</v>
      </c>
      <c r="X9" s="103">
        <v>2145.1265561051691</v>
      </c>
      <c r="Y9" s="104">
        <v>2150.2178374883301</v>
      </c>
      <c r="Z9" s="103">
        <v>9527.4845616879084</v>
      </c>
      <c r="AA9" s="103">
        <v>4851.9911581524357</v>
      </c>
      <c r="AB9" s="168">
        <v>4675.4934035361875</v>
      </c>
    </row>
    <row r="10" spans="1:28" s="167" customFormat="1" ht="12" customHeight="1" x14ac:dyDescent="0.2">
      <c r="A10" s="171" t="s">
        <v>6</v>
      </c>
      <c r="B10" s="102">
        <v>10431.638292277932</v>
      </c>
      <c r="C10" s="103">
        <v>4719.5865734724557</v>
      </c>
      <c r="D10" s="103">
        <v>5712.0517188052909</v>
      </c>
      <c r="E10" s="102">
        <v>2594.8508211572885</v>
      </c>
      <c r="F10" s="103">
        <v>1245.9585648066891</v>
      </c>
      <c r="G10" s="104">
        <v>1348.8922563505275</v>
      </c>
      <c r="H10" s="103">
        <v>7836.7874711200138</v>
      </c>
      <c r="I10" s="103">
        <v>3473.6280086658794</v>
      </c>
      <c r="J10" s="168">
        <v>4363.1594624550908</v>
      </c>
      <c r="K10" s="180">
        <v>10783.515957603871</v>
      </c>
      <c r="L10" s="103">
        <v>4878.7866011420829</v>
      </c>
      <c r="M10" s="103">
        <v>5904.7293564603606</v>
      </c>
      <c r="N10" s="102">
        <v>2682.3797426201349</v>
      </c>
      <c r="O10" s="103">
        <v>1287.9869575281105</v>
      </c>
      <c r="P10" s="104">
        <v>1394.3927850920804</v>
      </c>
      <c r="Q10" s="103">
        <v>8101.136214982308</v>
      </c>
      <c r="R10" s="103">
        <v>3590.7996436140279</v>
      </c>
      <c r="S10" s="168">
        <v>4510.3365713683361</v>
      </c>
      <c r="T10" s="180">
        <v>11146.19017489117</v>
      </c>
      <c r="U10" s="103">
        <v>5042.8713132933308</v>
      </c>
      <c r="V10" s="103">
        <v>6103.3188615967747</v>
      </c>
      <c r="W10" s="102">
        <v>2772.5942865078418</v>
      </c>
      <c r="X10" s="103">
        <v>1331.3048942320431</v>
      </c>
      <c r="Y10" s="104">
        <v>1441.2893922758683</v>
      </c>
      <c r="Z10" s="103">
        <v>8373.5958883826297</v>
      </c>
      <c r="AA10" s="103">
        <v>3711.5664190610955</v>
      </c>
      <c r="AB10" s="168">
        <v>4662.0294693205769</v>
      </c>
    </row>
    <row r="11" spans="1:28" s="167" customFormat="1" ht="12" customHeight="1" x14ac:dyDescent="0.2">
      <c r="A11" s="172" t="s">
        <v>7</v>
      </c>
      <c r="B11" s="102">
        <v>7165.4139904536842</v>
      </c>
      <c r="C11" s="103">
        <v>3126.4188401747228</v>
      </c>
      <c r="D11" s="103">
        <v>4038.9951502797981</v>
      </c>
      <c r="E11" s="102">
        <v>1732.9731949469397</v>
      </c>
      <c r="F11" s="103">
        <v>746.65334463137378</v>
      </c>
      <c r="G11" s="104">
        <v>986.31985031551721</v>
      </c>
      <c r="H11" s="103">
        <v>5432.4407955071856</v>
      </c>
      <c r="I11" s="103">
        <v>2379.7654955432977</v>
      </c>
      <c r="J11" s="168">
        <v>3052.6752999642117</v>
      </c>
      <c r="K11" s="180">
        <v>7407.1161157964143</v>
      </c>
      <c r="L11" s="103">
        <v>3231.8784939206366</v>
      </c>
      <c r="M11" s="103">
        <v>4175.2376218758336</v>
      </c>
      <c r="N11" s="102">
        <v>1791.4294551068938</v>
      </c>
      <c r="O11" s="103">
        <v>771.83928650883502</v>
      </c>
      <c r="P11" s="104">
        <v>1019.5901685980963</v>
      </c>
      <c r="Q11" s="103">
        <v>5615.6866606895765</v>
      </c>
      <c r="R11" s="103">
        <v>2460.0392074118395</v>
      </c>
      <c r="S11" s="168">
        <v>3155.6474532777925</v>
      </c>
      <c r="T11" s="180">
        <v>7656.2343115891244</v>
      </c>
      <c r="U11" s="103">
        <v>3340.5739331222226</v>
      </c>
      <c r="V11" s="103">
        <v>4315.6603784660465</v>
      </c>
      <c r="W11" s="102">
        <v>1851.6793103498428</v>
      </c>
      <c r="X11" s="103">
        <v>797.79800073586057</v>
      </c>
      <c r="Y11" s="104">
        <v>1053.8813096140364</v>
      </c>
      <c r="Z11" s="103">
        <v>5804.5550012388385</v>
      </c>
      <c r="AA11" s="103">
        <v>2542.7759323864161</v>
      </c>
      <c r="AB11" s="168">
        <v>3261.7790688520195</v>
      </c>
    </row>
    <row r="12" spans="1:28" s="167" customFormat="1" ht="12" customHeight="1" x14ac:dyDescent="0.2">
      <c r="A12" s="172" t="s">
        <v>8</v>
      </c>
      <c r="B12" s="102">
        <v>6545.3666814785765</v>
      </c>
      <c r="C12" s="103">
        <v>2936.1684256658837</v>
      </c>
      <c r="D12" s="103">
        <v>3609.1982558133686</v>
      </c>
      <c r="E12" s="102">
        <v>1417.3038089816946</v>
      </c>
      <c r="F12" s="103">
        <v>604.81734736223962</v>
      </c>
      <c r="G12" s="104">
        <v>812.4864616194435</v>
      </c>
      <c r="H12" s="103">
        <v>5128.0628724972485</v>
      </c>
      <c r="I12" s="103">
        <v>2331.3510783036168</v>
      </c>
      <c r="J12" s="168">
        <v>2796.7117941938823</v>
      </c>
      <c r="K12" s="180">
        <v>6766.1535111262965</v>
      </c>
      <c r="L12" s="103">
        <v>3035.2105954263698</v>
      </c>
      <c r="M12" s="103">
        <v>3730.9429156996866</v>
      </c>
      <c r="N12" s="102">
        <v>1465.1119807555904</v>
      </c>
      <c r="O12" s="103">
        <v>625.21890943474227</v>
      </c>
      <c r="P12" s="104">
        <v>839.89307132086276</v>
      </c>
      <c r="Q12" s="103">
        <v>5301.0415303705504</v>
      </c>
      <c r="R12" s="103">
        <v>2409.9916859915647</v>
      </c>
      <c r="S12" s="168">
        <v>2891.0498443787455</v>
      </c>
      <c r="T12" s="180">
        <v>6993.7146737692046</v>
      </c>
      <c r="U12" s="103">
        <v>3137.2916449954687</v>
      </c>
      <c r="V12" s="103">
        <v>3856.4230287735195</v>
      </c>
      <c r="W12" s="102">
        <v>1514.3870356585912</v>
      </c>
      <c r="X12" s="103">
        <v>646.24644623293159</v>
      </c>
      <c r="Y12" s="104">
        <v>868.14058942569295</v>
      </c>
      <c r="Z12" s="103">
        <v>5479.3276381104715</v>
      </c>
      <c r="AA12" s="103">
        <v>2491.0451987624906</v>
      </c>
      <c r="AB12" s="168">
        <v>2988.2824393477645</v>
      </c>
    </row>
    <row r="13" spans="1:28" s="167" customFormat="1" ht="12" customHeight="1" x14ac:dyDescent="0.2">
      <c r="A13" s="172" t="s">
        <v>9</v>
      </c>
      <c r="B13" s="102">
        <v>5372.1119775731777</v>
      </c>
      <c r="C13" s="103">
        <v>2381.3735656794433</v>
      </c>
      <c r="D13" s="103">
        <v>2990.7384118940581</v>
      </c>
      <c r="E13" s="102">
        <v>1285.4263422636063</v>
      </c>
      <c r="F13" s="103">
        <v>536.60486457702666</v>
      </c>
      <c r="G13" s="104">
        <v>748.82147768657808</v>
      </c>
      <c r="H13" s="103">
        <v>4086.6856353098951</v>
      </c>
      <c r="I13" s="103">
        <v>1844.7687011023945</v>
      </c>
      <c r="J13" s="168">
        <v>2241.916934207442</v>
      </c>
      <c r="K13" s="180">
        <v>5553.3228447038928</v>
      </c>
      <c r="L13" s="103">
        <v>2461.7015206064734</v>
      </c>
      <c r="M13" s="103">
        <v>3091.6213240971792</v>
      </c>
      <c r="N13" s="102">
        <v>1328.7860531344872</v>
      </c>
      <c r="O13" s="103">
        <v>554.70549859623554</v>
      </c>
      <c r="P13" s="104">
        <v>774.08055453825648</v>
      </c>
      <c r="Q13" s="103">
        <v>4224.5367915692696</v>
      </c>
      <c r="R13" s="103">
        <v>1906.9960220102005</v>
      </c>
      <c r="S13" s="168">
        <v>2317.5407695588492</v>
      </c>
      <c r="T13" s="180">
        <v>5740.0937479939539</v>
      </c>
      <c r="U13" s="103">
        <v>2544.4941529622106</v>
      </c>
      <c r="V13" s="103">
        <v>3195.5995950315269</v>
      </c>
      <c r="W13" s="102">
        <v>1373.4761564048038</v>
      </c>
      <c r="X13" s="103">
        <v>573.36150868786399</v>
      </c>
      <c r="Y13" s="104">
        <v>800.11464771696319</v>
      </c>
      <c r="Z13" s="103">
        <v>4366.6175915890281</v>
      </c>
      <c r="AA13" s="103">
        <v>1971.1326442743161</v>
      </c>
      <c r="AB13" s="168">
        <v>2395.4849473145064</v>
      </c>
    </row>
    <row r="14" spans="1:28" s="167" customFormat="1" ht="12" customHeight="1" x14ac:dyDescent="0.2">
      <c r="A14" s="172" t="s">
        <v>10</v>
      </c>
      <c r="B14" s="102">
        <v>4233.7214315357687</v>
      </c>
      <c r="C14" s="103">
        <v>1932.6870122477867</v>
      </c>
      <c r="D14" s="103">
        <v>2301.0344192879643</v>
      </c>
      <c r="E14" s="102">
        <v>864.02478194604885</v>
      </c>
      <c r="F14" s="103">
        <v>369.8632399909452</v>
      </c>
      <c r="G14" s="104">
        <v>494.16154195511569</v>
      </c>
      <c r="H14" s="103">
        <v>3369.6966495897141</v>
      </c>
      <c r="I14" s="103">
        <v>1562.8237722568265</v>
      </c>
      <c r="J14" s="168">
        <v>1806.8728773328289</v>
      </c>
      <c r="K14" s="180">
        <v>4376.5323660433951</v>
      </c>
      <c r="L14" s="103">
        <v>1997.8799737576026</v>
      </c>
      <c r="M14" s="103">
        <v>2378.6523922855595</v>
      </c>
      <c r="N14" s="102">
        <v>893.16987062106784</v>
      </c>
      <c r="O14" s="103">
        <v>382.33938321322375</v>
      </c>
      <c r="P14" s="104">
        <v>510.83048740783136</v>
      </c>
      <c r="Q14" s="103">
        <v>3483.362495422245</v>
      </c>
      <c r="R14" s="103">
        <v>1615.5405905443938</v>
      </c>
      <c r="S14" s="168">
        <v>1867.8219048776996</v>
      </c>
      <c r="T14" s="180">
        <v>4523.7251236306292</v>
      </c>
      <c r="U14" s="103">
        <v>2065.0732304435101</v>
      </c>
      <c r="V14" s="103">
        <v>2458.6518931869027</v>
      </c>
      <c r="W14" s="102">
        <v>923.20920890418847</v>
      </c>
      <c r="X14" s="103">
        <v>395.19832802214319</v>
      </c>
      <c r="Y14" s="104">
        <v>528.01088088204415</v>
      </c>
      <c r="Z14" s="103">
        <v>3600.5159147263753</v>
      </c>
      <c r="AA14" s="103">
        <v>1669.8749024213912</v>
      </c>
      <c r="AB14" s="168">
        <v>1930.641012304837</v>
      </c>
    </row>
    <row r="15" spans="1:28" s="167" customFormat="1" ht="12" customHeight="1" x14ac:dyDescent="0.2">
      <c r="A15" s="172" t="s">
        <v>11</v>
      </c>
      <c r="B15" s="102">
        <v>3439.2483118444939</v>
      </c>
      <c r="C15" s="103">
        <v>1569.8943481505653</v>
      </c>
      <c r="D15" s="103">
        <v>1869.3539636937339</v>
      </c>
      <c r="E15" s="102">
        <v>760.74841726372063</v>
      </c>
      <c r="F15" s="103">
        <v>287.36023713739007</v>
      </c>
      <c r="G15" s="104">
        <v>473.38818012633516</v>
      </c>
      <c r="H15" s="103">
        <v>2678.4998945806733</v>
      </c>
      <c r="I15" s="103">
        <v>1282.5341110131812</v>
      </c>
      <c r="J15" s="168">
        <v>1395.9657835674118</v>
      </c>
      <c r="K15" s="180">
        <v>3555.2602586295247</v>
      </c>
      <c r="L15" s="103">
        <v>1622.8496695063127</v>
      </c>
      <c r="M15" s="103">
        <v>1932.4105891231379</v>
      </c>
      <c r="N15" s="102">
        <v>786.40981094571634</v>
      </c>
      <c r="O15" s="103">
        <v>297.0534077130938</v>
      </c>
      <c r="P15" s="104">
        <v>489.35640323262277</v>
      </c>
      <c r="Q15" s="103">
        <v>2768.8504476837516</v>
      </c>
      <c r="R15" s="103">
        <v>1325.7962617931976</v>
      </c>
      <c r="S15" s="168">
        <v>1443.0541858904799</v>
      </c>
      <c r="T15" s="180">
        <v>3674.8317635650396</v>
      </c>
      <c r="U15" s="103">
        <v>1677.429802366137</v>
      </c>
      <c r="V15" s="103">
        <v>1997.4019611989709</v>
      </c>
      <c r="W15" s="102">
        <v>812.85856511578811</v>
      </c>
      <c r="X15" s="103">
        <v>307.04399079920205</v>
      </c>
      <c r="Y15" s="104">
        <v>505.81457431658254</v>
      </c>
      <c r="Z15" s="103">
        <v>2861.9731984493051</v>
      </c>
      <c r="AA15" s="103">
        <v>1370.385811566953</v>
      </c>
      <c r="AB15" s="168">
        <v>1491.5873868824203</v>
      </c>
    </row>
    <row r="16" spans="1:28" s="167" customFormat="1" ht="12" customHeight="1" x14ac:dyDescent="0.2">
      <c r="A16" s="172" t="s">
        <v>12</v>
      </c>
      <c r="B16" s="102">
        <v>2595.3166680408917</v>
      </c>
      <c r="C16" s="103">
        <v>1135.8291478430431</v>
      </c>
      <c r="D16" s="103">
        <v>1459.4875201977809</v>
      </c>
      <c r="E16" s="102">
        <v>505.1490484415209</v>
      </c>
      <c r="F16" s="103">
        <v>201.15216599617264</v>
      </c>
      <c r="G16" s="104">
        <v>303.99688244534451</v>
      </c>
      <c r="H16" s="103">
        <v>2090.1676195993091</v>
      </c>
      <c r="I16" s="103">
        <v>934.67698184687413</v>
      </c>
      <c r="J16" s="168">
        <v>1155.490637752443</v>
      </c>
      <c r="K16" s="180">
        <v>2682.8613033457445</v>
      </c>
      <c r="L16" s="103">
        <v>1174.1426799607125</v>
      </c>
      <c r="M16" s="103">
        <v>1508.7186233849579</v>
      </c>
      <c r="N16" s="102">
        <v>522.18862197985948</v>
      </c>
      <c r="O16" s="103">
        <v>207.93738539916575</v>
      </c>
      <c r="P16" s="104">
        <v>314.25123658069396</v>
      </c>
      <c r="Q16" s="103">
        <v>2160.6726813658474</v>
      </c>
      <c r="R16" s="103">
        <v>966.20529456153611</v>
      </c>
      <c r="S16" s="168">
        <v>1194.4673868042414</v>
      </c>
      <c r="T16" s="180">
        <v>2773.0920432179623</v>
      </c>
      <c r="U16" s="103">
        <v>1213.6317741589485</v>
      </c>
      <c r="V16" s="103">
        <v>1559.4602690590821</v>
      </c>
      <c r="W16" s="102">
        <v>539.75101540491573</v>
      </c>
      <c r="X16" s="103">
        <v>214.93079355944107</v>
      </c>
      <c r="Y16" s="104">
        <v>324.82022184547185</v>
      </c>
      <c r="Z16" s="103">
        <v>2233.3410278130809</v>
      </c>
      <c r="AA16" s="103">
        <v>998.70098059951783</v>
      </c>
      <c r="AB16" s="168">
        <v>1234.6400472136295</v>
      </c>
    </row>
    <row r="17" spans="1:28" s="167" customFormat="1" ht="12" customHeight="1" x14ac:dyDescent="0.2">
      <c r="A17" s="172" t="s">
        <v>13</v>
      </c>
      <c r="B17" s="102">
        <v>2076.5558188927994</v>
      </c>
      <c r="C17" s="103">
        <v>904.42853583241265</v>
      </c>
      <c r="D17" s="103">
        <v>1172.1272830603968</v>
      </c>
      <c r="E17" s="102">
        <v>491.53724773501273</v>
      </c>
      <c r="F17" s="103">
        <v>222.32607820629607</v>
      </c>
      <c r="G17" s="104">
        <v>269.2111695287125</v>
      </c>
      <c r="H17" s="103">
        <v>1585.018571157796</v>
      </c>
      <c r="I17" s="103">
        <v>682.10245762612078</v>
      </c>
      <c r="J17" s="168">
        <v>902.91611353168958</v>
      </c>
      <c r="K17" s="180">
        <v>2146.6017304741736</v>
      </c>
      <c r="L17" s="103">
        <v>934.9365148022631</v>
      </c>
      <c r="M17" s="103">
        <v>1211.6652156718428</v>
      </c>
      <c r="N17" s="102">
        <v>508.11767108818657</v>
      </c>
      <c r="O17" s="103">
        <v>229.82553123065685</v>
      </c>
      <c r="P17" s="104">
        <v>278.29213985753</v>
      </c>
      <c r="Q17" s="103">
        <v>1638.4840593859503</v>
      </c>
      <c r="R17" s="103">
        <v>705.11098357160654</v>
      </c>
      <c r="S17" s="168">
        <v>933.37307581429945</v>
      </c>
      <c r="T17" s="180">
        <v>2218.7968387752248</v>
      </c>
      <c r="U17" s="103">
        <v>966.38056051539093</v>
      </c>
      <c r="V17" s="103">
        <v>1252.416278259898</v>
      </c>
      <c r="W17" s="102">
        <v>525.20682636705862</v>
      </c>
      <c r="X17" s="103">
        <v>237.55508761832951</v>
      </c>
      <c r="Y17" s="104">
        <v>287.6517387487259</v>
      </c>
      <c r="Z17" s="103">
        <v>1693.5900124081993</v>
      </c>
      <c r="AA17" s="103">
        <v>728.82547289705815</v>
      </c>
      <c r="AB17" s="168">
        <v>964.76453951118458</v>
      </c>
    </row>
    <row r="18" spans="1:28" s="167" customFormat="1" ht="12" customHeight="1" x14ac:dyDescent="0.2">
      <c r="A18" s="172" t="s">
        <v>14</v>
      </c>
      <c r="B18" s="102">
        <v>1923.8011665197646</v>
      </c>
      <c r="C18" s="103">
        <v>904.42853583241265</v>
      </c>
      <c r="D18" s="103">
        <v>1019.3726306873663</v>
      </c>
      <c r="E18" s="102">
        <v>378.10557518077792</v>
      </c>
      <c r="F18" s="103">
        <v>187.54036528966472</v>
      </c>
      <c r="G18" s="104">
        <v>190.56520989111092</v>
      </c>
      <c r="H18" s="103">
        <v>1545.6955913389961</v>
      </c>
      <c r="I18" s="103">
        <v>716.88817054275148</v>
      </c>
      <c r="J18" s="168">
        <v>828.80742079625895</v>
      </c>
      <c r="K18" s="180">
        <v>1988.6943926898334</v>
      </c>
      <c r="L18" s="103">
        <v>934.9365148022631</v>
      </c>
      <c r="M18" s="103">
        <v>1053.7578778875027</v>
      </c>
      <c r="N18" s="102">
        <v>390.85974699091281</v>
      </c>
      <c r="O18" s="103">
        <v>193.8664345074929</v>
      </c>
      <c r="P18" s="104">
        <v>196.9933124834202</v>
      </c>
      <c r="Q18" s="103">
        <v>1597.8346456988925</v>
      </c>
      <c r="R18" s="103">
        <v>741.07008029477049</v>
      </c>
      <c r="S18" s="168">
        <v>856.7645654040806</v>
      </c>
      <c r="T18" s="180">
        <v>2055.5787173503954</v>
      </c>
      <c r="U18" s="103">
        <v>966.38056051539093</v>
      </c>
      <c r="V18" s="103">
        <v>1089.1981568350686</v>
      </c>
      <c r="W18" s="102">
        <v>404.00525105158277</v>
      </c>
      <c r="X18" s="103">
        <v>200.38660452158422</v>
      </c>
      <c r="Y18" s="104">
        <v>203.61864652999685</v>
      </c>
      <c r="Z18" s="103">
        <v>1651.5734662988373</v>
      </c>
      <c r="AA18" s="103">
        <v>765.99395599380409</v>
      </c>
      <c r="AB18" s="168">
        <v>885.57951030507365</v>
      </c>
    </row>
    <row r="19" spans="1:28" s="167" customFormat="1" ht="12" customHeight="1" x14ac:dyDescent="0.2">
      <c r="A19" s="172" t="s">
        <v>15</v>
      </c>
      <c r="B19" s="102">
        <v>1580.248659496199</v>
      </c>
      <c r="C19" s="103">
        <v>762.81371525143538</v>
      </c>
      <c r="D19" s="103">
        <v>817.43494424474909</v>
      </c>
      <c r="E19" s="102">
        <v>276.87312627644468</v>
      </c>
      <c r="F19" s="103">
        <v>128.07736453604284</v>
      </c>
      <c r="G19" s="104">
        <v>148.79576174040258</v>
      </c>
      <c r="H19" s="103">
        <v>1303.3755332197468</v>
      </c>
      <c r="I19" s="103">
        <v>634.73635071538945</v>
      </c>
      <c r="J19" s="168">
        <v>668.63918250434278</v>
      </c>
      <c r="K19" s="180">
        <v>1633.553250142126</v>
      </c>
      <c r="L19" s="103">
        <v>788.54477509839785</v>
      </c>
      <c r="M19" s="103">
        <v>845.00847504371609</v>
      </c>
      <c r="N19" s="102">
        <v>286.2125479986766</v>
      </c>
      <c r="O19" s="103">
        <v>132.3976412510882</v>
      </c>
      <c r="P19" s="104">
        <v>153.81490674758791</v>
      </c>
      <c r="Q19" s="103">
        <v>1347.3407021434439</v>
      </c>
      <c r="R19" s="103">
        <v>656.1471338473068</v>
      </c>
      <c r="S19" s="168">
        <v>691.19356829612502</v>
      </c>
      <c r="T19" s="180">
        <v>1688.4933688122244</v>
      </c>
      <c r="U19" s="103">
        <v>815.06533297848887</v>
      </c>
      <c r="V19" s="103">
        <v>873.42803583373848</v>
      </c>
      <c r="W19" s="102">
        <v>295.83852826626821</v>
      </c>
      <c r="X19" s="103">
        <v>136.85047566058654</v>
      </c>
      <c r="Y19" s="104">
        <v>158.98805260568153</v>
      </c>
      <c r="Z19" s="103">
        <v>1392.6548405459591</v>
      </c>
      <c r="AA19" s="103">
        <v>678.21485731790358</v>
      </c>
      <c r="AB19" s="168">
        <v>714.43998322805851</v>
      </c>
    </row>
    <row r="20" spans="1:28" s="167" customFormat="1" ht="12" customHeight="1" x14ac:dyDescent="0.2">
      <c r="A20" s="172" t="s">
        <v>16</v>
      </c>
      <c r="B20" s="102">
        <v>1344.8123276284675</v>
      </c>
      <c r="C20" s="103">
        <v>625.31889744068019</v>
      </c>
      <c r="D20" s="103">
        <v>719.49343018777279</v>
      </c>
      <c r="E20" s="102">
        <v>235.43633186772516</v>
      </c>
      <c r="F20" s="103">
        <v>107.35896733168295</v>
      </c>
      <c r="G20" s="104">
        <v>128.07736453604284</v>
      </c>
      <c r="H20" s="103">
        <v>1109.375995760736</v>
      </c>
      <c r="I20" s="103">
        <v>517.95993010899463</v>
      </c>
      <c r="J20" s="168">
        <v>591.41606565172685</v>
      </c>
      <c r="K20" s="180">
        <v>1390.1752331364439</v>
      </c>
      <c r="L20" s="103">
        <v>646.41201316707952</v>
      </c>
      <c r="M20" s="103">
        <v>743.76321996935235</v>
      </c>
      <c r="N20" s="102">
        <v>243.37801700567761</v>
      </c>
      <c r="O20" s="103">
        <v>110.98037575458861</v>
      </c>
      <c r="P20" s="104">
        <v>132.3976412510882</v>
      </c>
      <c r="Q20" s="103">
        <v>1146.7972161307619</v>
      </c>
      <c r="R20" s="103">
        <v>535.4316374124885</v>
      </c>
      <c r="S20" s="168">
        <v>611.3655787182613</v>
      </c>
      <c r="T20" s="180">
        <v>1436.9299944361485</v>
      </c>
      <c r="U20" s="103">
        <v>668.15232234286054</v>
      </c>
      <c r="V20" s="103">
        <v>768.7776720932909</v>
      </c>
      <c r="W20" s="102">
        <v>251.56337437607877</v>
      </c>
      <c r="X20" s="103">
        <v>114.71289871549163</v>
      </c>
      <c r="Y20" s="104">
        <v>136.85047566058654</v>
      </c>
      <c r="Z20" s="103">
        <v>1185.3666200600726</v>
      </c>
      <c r="AA20" s="103">
        <v>553.43942362736993</v>
      </c>
      <c r="AB20" s="168">
        <v>631.92719643270561</v>
      </c>
    </row>
    <row r="21" spans="1:28" s="167" customFormat="1" ht="12" customHeight="1" x14ac:dyDescent="0.2">
      <c r="A21" s="172" t="s">
        <v>17</v>
      </c>
      <c r="B21" s="102">
        <v>936.09485550608576</v>
      </c>
      <c r="C21" s="103">
        <v>408.71747212237034</v>
      </c>
      <c r="D21" s="103">
        <v>527.37738338370389</v>
      </c>
      <c r="E21" s="102">
        <v>150.67925239534438</v>
      </c>
      <c r="F21" s="103">
        <v>64.038682268021333</v>
      </c>
      <c r="G21" s="104">
        <v>86.640570127323045</v>
      </c>
      <c r="H21" s="103">
        <v>785.41560311073761</v>
      </c>
      <c r="I21" s="103">
        <v>344.6787898543493</v>
      </c>
      <c r="J21" s="168">
        <v>440.73681325638086</v>
      </c>
      <c r="K21" s="180">
        <v>967.67099561457985</v>
      </c>
      <c r="L21" s="103">
        <v>422.50423752185458</v>
      </c>
      <c r="M21" s="103">
        <v>545.16675809271578</v>
      </c>
      <c r="N21" s="102">
        <v>155.76193088363334</v>
      </c>
      <c r="O21" s="103">
        <v>66.198820625544087</v>
      </c>
      <c r="P21" s="104">
        <v>89.563110258089054</v>
      </c>
      <c r="Q21" s="103">
        <v>811.90906473094333</v>
      </c>
      <c r="R21" s="103">
        <v>356.30541689631099</v>
      </c>
      <c r="S21" s="168">
        <v>455.60364783462637</v>
      </c>
      <c r="T21" s="180">
        <v>1000.2159765192807</v>
      </c>
      <c r="U21" s="103">
        <v>436.71401791687072</v>
      </c>
      <c r="V21" s="103">
        <v>563.50195860241297</v>
      </c>
      <c r="W21" s="102">
        <v>161.00055960069017</v>
      </c>
      <c r="X21" s="103">
        <v>68.425237830293341</v>
      </c>
      <c r="Y21" s="104">
        <v>92.575321770396798</v>
      </c>
      <c r="Z21" s="103">
        <v>839.21541691859215</v>
      </c>
      <c r="AA21" s="103">
        <v>368.28878008657807</v>
      </c>
      <c r="AB21" s="168">
        <v>470.92663683201704</v>
      </c>
    </row>
    <row r="22" spans="1:28" s="167" customFormat="1" ht="12" customHeight="1" x14ac:dyDescent="0.2">
      <c r="A22" s="172" t="s">
        <v>18</v>
      </c>
      <c r="B22" s="102">
        <v>792.94956573050501</v>
      </c>
      <c r="C22" s="103">
        <v>389.88256557295239</v>
      </c>
      <c r="D22" s="103">
        <v>403.06700015754495</v>
      </c>
      <c r="E22" s="102">
        <v>120.54340191627561</v>
      </c>
      <c r="F22" s="103">
        <v>48.970757028486915</v>
      </c>
      <c r="G22" s="104">
        <v>71.57264488778857</v>
      </c>
      <c r="H22" s="103">
        <v>672.40616381422649</v>
      </c>
      <c r="I22" s="103">
        <v>340.91180854446571</v>
      </c>
      <c r="J22" s="168">
        <v>331.49435526975674</v>
      </c>
      <c r="K22" s="180">
        <v>819.69716127512515</v>
      </c>
      <c r="L22" s="103">
        <v>403.03399616140058</v>
      </c>
      <c r="M22" s="103">
        <v>416.66316511371838</v>
      </c>
      <c r="N22" s="102">
        <v>124.6095447069065</v>
      </c>
      <c r="O22" s="103">
        <v>50.622627537180769</v>
      </c>
      <c r="P22" s="104">
        <v>73.986917169725743</v>
      </c>
      <c r="Q22" s="103">
        <v>695.08761656821594</v>
      </c>
      <c r="R22" s="103">
        <v>352.41136862422019</v>
      </c>
      <c r="S22" s="168">
        <v>342.67624794399319</v>
      </c>
      <c r="T22" s="180">
        <v>847.26544489862658</v>
      </c>
      <c r="U22" s="103">
        <v>416.58894796678464</v>
      </c>
      <c r="V22" s="103">
        <v>430.67649693184489</v>
      </c>
      <c r="W22" s="102">
        <v>128.800447680552</v>
      </c>
      <c r="X22" s="103">
        <v>52.325181870224334</v>
      </c>
      <c r="Y22" s="104">
        <v>76.475265810327826</v>
      </c>
      <c r="Z22" s="103">
        <v>718.46499721807572</v>
      </c>
      <c r="AA22" s="103">
        <v>364.26376609656086</v>
      </c>
      <c r="AB22" s="168">
        <v>354.20123112151782</v>
      </c>
    </row>
    <row r="23" spans="1:28" s="167" customFormat="1" ht="12" customHeight="1" x14ac:dyDescent="0.2">
      <c r="A23" s="172" t="s">
        <v>19</v>
      </c>
      <c r="B23" s="102">
        <v>271.22265431161929</v>
      </c>
      <c r="C23" s="103">
        <v>114.89292995145018</v>
      </c>
      <c r="D23" s="103">
        <v>156.32972436016976</v>
      </c>
      <c r="E23" s="102">
        <v>45.20377571860331</v>
      </c>
      <c r="F23" s="103">
        <v>18.834906549418054</v>
      </c>
      <c r="G23" s="104">
        <v>26.368869169185277</v>
      </c>
      <c r="H23" s="103">
        <v>226.01887859301618</v>
      </c>
      <c r="I23" s="103">
        <v>96.058023402032092</v>
      </c>
      <c r="J23" s="168">
        <v>129.96085519098463</v>
      </c>
      <c r="K23" s="180">
        <v>280.3714755905404</v>
      </c>
      <c r="L23" s="103">
        <v>118.76847229877026</v>
      </c>
      <c r="M23" s="103">
        <v>161.60300329176962</v>
      </c>
      <c r="N23" s="102">
        <v>46.728579265089941</v>
      </c>
      <c r="O23" s="103">
        <v>19.470241360454143</v>
      </c>
      <c r="P23" s="104">
        <v>27.258337904635798</v>
      </c>
      <c r="Q23" s="103">
        <v>233.64289632545047</v>
      </c>
      <c r="R23" s="103">
        <v>99.298230938316124</v>
      </c>
      <c r="S23" s="168">
        <v>134.34466538713363</v>
      </c>
      <c r="T23" s="180">
        <v>289.80100728124239</v>
      </c>
      <c r="U23" s="103">
        <v>122.76292669552612</v>
      </c>
      <c r="V23" s="103">
        <v>167.03808058571607</v>
      </c>
      <c r="W23" s="102">
        <v>48.300167880207077</v>
      </c>
      <c r="X23" s="103">
        <v>20.125069950086282</v>
      </c>
      <c r="Y23" s="104">
        <v>28.175097930120796</v>
      </c>
      <c r="Z23" s="103">
        <v>241.50083940103559</v>
      </c>
      <c r="AA23" s="103">
        <v>102.6378567454399</v>
      </c>
      <c r="AB23" s="168">
        <v>138.86298265559518</v>
      </c>
    </row>
    <row r="24" spans="1:28" s="167" customFormat="1" ht="12" customHeight="1" x14ac:dyDescent="0.2">
      <c r="A24" s="172" t="s">
        <v>20</v>
      </c>
      <c r="B24" s="102">
        <v>160.09670567005335</v>
      </c>
      <c r="C24" s="103">
        <v>60.271700958137728</v>
      </c>
      <c r="D24" s="103">
        <v>99.82500471191571</v>
      </c>
      <c r="E24" s="102">
        <v>22.601887859301666</v>
      </c>
      <c r="F24" s="103">
        <v>9.4174532747090272</v>
      </c>
      <c r="G24" s="104">
        <v>13.184434584592639</v>
      </c>
      <c r="H24" s="103">
        <v>137.49481781075181</v>
      </c>
      <c r="I24" s="103">
        <v>50.854247683428717</v>
      </c>
      <c r="J24" s="168">
        <v>86.640570127323045</v>
      </c>
      <c r="K24" s="180">
        <v>165.49705156386048</v>
      </c>
      <c r="L24" s="103">
        <v>62.304772353453252</v>
      </c>
      <c r="M24" s="103">
        <v>103.19227921040695</v>
      </c>
      <c r="N24" s="102">
        <v>23.36428963254497</v>
      </c>
      <c r="O24" s="103">
        <v>9.7351206802270731</v>
      </c>
      <c r="P24" s="104">
        <v>13.629168952317901</v>
      </c>
      <c r="Q24" s="103">
        <v>142.13276193131534</v>
      </c>
      <c r="R24" s="103">
        <v>52.569651673226183</v>
      </c>
      <c r="S24" s="168">
        <v>89.563110258089054</v>
      </c>
      <c r="T24" s="180">
        <v>171.06309457573334</v>
      </c>
      <c r="U24" s="103">
        <v>64.400223840276098</v>
      </c>
      <c r="V24" s="103">
        <v>106.66287073545715</v>
      </c>
      <c r="W24" s="102">
        <v>24.150083940103539</v>
      </c>
      <c r="X24" s="103">
        <v>10.062534975043141</v>
      </c>
      <c r="Y24" s="104">
        <v>14.087548965060398</v>
      </c>
      <c r="Z24" s="103">
        <v>146.91301063562972</v>
      </c>
      <c r="AA24" s="103">
        <v>54.337688865232963</v>
      </c>
      <c r="AB24" s="168">
        <v>92.575321770396798</v>
      </c>
    </row>
    <row r="25" spans="1:28" s="167" customFormat="1" ht="12" customHeight="1" thickBot="1" x14ac:dyDescent="0.25">
      <c r="A25" s="191" t="s">
        <v>21</v>
      </c>
      <c r="B25" s="107">
        <v>105.47547667674114</v>
      </c>
      <c r="C25" s="106">
        <v>35.786322443894299</v>
      </c>
      <c r="D25" s="106">
        <v>69.689154232846761</v>
      </c>
      <c r="E25" s="107">
        <v>24.485378514243472</v>
      </c>
      <c r="F25" s="106">
        <v>9.4174532747090272</v>
      </c>
      <c r="G25" s="105">
        <v>15.067925239534445</v>
      </c>
      <c r="H25" s="106">
        <v>80.990098162497617</v>
      </c>
      <c r="I25" s="106">
        <v>26.368869169185277</v>
      </c>
      <c r="J25" s="192">
        <v>54.621228993312322</v>
      </c>
      <c r="K25" s="193">
        <v>109.03335161854319</v>
      </c>
      <c r="L25" s="106">
        <v>36.993458584862871</v>
      </c>
      <c r="M25" s="106">
        <v>72.039893033680329</v>
      </c>
      <c r="N25" s="107">
        <v>25.311313768590384</v>
      </c>
      <c r="O25" s="106">
        <v>9.7351206802270731</v>
      </c>
      <c r="P25" s="105">
        <v>15.576193088363315</v>
      </c>
      <c r="Q25" s="106">
        <v>83.722037849952812</v>
      </c>
      <c r="R25" s="106">
        <v>27.258337904635798</v>
      </c>
      <c r="S25" s="192">
        <v>56.463699945317011</v>
      </c>
      <c r="T25" s="193">
        <v>112.70039172048301</v>
      </c>
      <c r="U25" s="106">
        <v>38.237632905163935</v>
      </c>
      <c r="V25" s="106">
        <v>74.462758815319205</v>
      </c>
      <c r="W25" s="107">
        <v>26.162590935112167</v>
      </c>
      <c r="X25" s="106">
        <v>10.062534975043141</v>
      </c>
      <c r="Y25" s="105">
        <v>16.100055960069025</v>
      </c>
      <c r="Z25" s="106">
        <v>86.537800785370933</v>
      </c>
      <c r="AA25" s="106">
        <v>28.175097930120796</v>
      </c>
      <c r="AB25" s="192">
        <v>58.36270285525022</v>
      </c>
    </row>
    <row r="26" spans="1:28" s="167" customFormat="1" ht="12" customHeight="1" x14ac:dyDescent="0.2">
      <c r="A26" s="167" t="s">
        <v>69</v>
      </c>
      <c r="B26" s="187">
        <v>68700.584880900671</v>
      </c>
      <c r="C26" s="176">
        <v>34458.500900044673</v>
      </c>
      <c r="D26" s="188">
        <v>34242.083980840594</v>
      </c>
      <c r="E26" s="176">
        <v>16667.622224528968</v>
      </c>
      <c r="F26" s="176">
        <v>8117.1062815743717</v>
      </c>
      <c r="G26" s="176">
        <v>8550.5159429530104</v>
      </c>
      <c r="H26" s="187">
        <v>52032.962656368843</v>
      </c>
      <c r="I26" s="176">
        <v>26341.394618470604</v>
      </c>
      <c r="J26" s="189">
        <v>25691.568037888512</v>
      </c>
      <c r="K26" s="190">
        <v>71017.977483763578</v>
      </c>
      <c r="L26" s="176">
        <v>35620.847264793789</v>
      </c>
      <c r="M26" s="176">
        <v>35397.1302189813</v>
      </c>
      <c r="N26" s="187">
        <v>17229.85069052126</v>
      </c>
      <c r="O26" s="176">
        <v>8390.910676199137</v>
      </c>
      <c r="P26" s="188">
        <v>8838.9400143246257</v>
      </c>
      <c r="Q26" s="187">
        <v>53788.126793242591</v>
      </c>
      <c r="R26" s="176">
        <v>27229.936588591667</v>
      </c>
      <c r="S26" s="189">
        <v>26558.19020465334</v>
      </c>
      <c r="T26" s="190">
        <v>73406.473916546223</v>
      </c>
      <c r="U26" s="176">
        <v>36818.857538210003</v>
      </c>
      <c r="V26" s="176">
        <v>36587.61637829549</v>
      </c>
      <c r="W26" s="187">
        <v>17809.329836073048</v>
      </c>
      <c r="X26" s="176">
        <v>8673.1161251244521</v>
      </c>
      <c r="Y26" s="176">
        <v>9136.2137109500545</v>
      </c>
      <c r="Z26" s="187">
        <v>55597.144080457125</v>
      </c>
      <c r="AA26" s="176">
        <v>28145.741413082054</v>
      </c>
      <c r="AB26" s="189">
        <v>27451.402667342325</v>
      </c>
    </row>
    <row r="27" spans="1:28" s="167" customFormat="1" ht="12" customHeight="1" x14ac:dyDescent="0.2">
      <c r="A27" s="173" t="s">
        <v>22</v>
      </c>
      <c r="B27" s="102">
        <v>2436.4487258282234</v>
      </c>
      <c r="C27" s="103">
        <v>1224.5775538550211</v>
      </c>
      <c r="D27" s="103">
        <v>1211.8711719732569</v>
      </c>
      <c r="E27" s="174">
        <v>756.02972196496717</v>
      </c>
      <c r="F27" s="103">
        <v>366.89677683593936</v>
      </c>
      <c r="G27" s="104">
        <v>389.13294512902667</v>
      </c>
      <c r="H27" s="103">
        <v>1680.4190038633108</v>
      </c>
      <c r="I27" s="103">
        <v>857.68077701908055</v>
      </c>
      <c r="J27" s="168">
        <v>822.73822684422908</v>
      </c>
      <c r="K27" s="180">
        <v>2518.6344636104182</v>
      </c>
      <c r="L27" s="103">
        <v>1265.8847271471161</v>
      </c>
      <c r="M27" s="103">
        <v>1252.7497364633593</v>
      </c>
      <c r="N27" s="102">
        <v>781.53194568356844</v>
      </c>
      <c r="O27" s="103">
        <v>379.27285599349415</v>
      </c>
      <c r="P27" s="104">
        <v>402.25908969006929</v>
      </c>
      <c r="Q27" s="103">
        <v>1737.1025179268902</v>
      </c>
      <c r="R27" s="103">
        <v>886.61187115362986</v>
      </c>
      <c r="S27" s="168">
        <v>850.49064677329625</v>
      </c>
      <c r="T27" s="180">
        <v>2603.3418805896595</v>
      </c>
      <c r="U27" s="103">
        <v>1308.4593154723775</v>
      </c>
      <c r="V27" s="103">
        <v>1294.8825651172815</v>
      </c>
      <c r="W27" s="174">
        <v>807.81664612821226</v>
      </c>
      <c r="X27" s="103">
        <v>392.02866650339701</v>
      </c>
      <c r="Y27" s="175">
        <v>415.78797962481502</v>
      </c>
      <c r="Z27" s="103">
        <v>1795.5252344614469</v>
      </c>
      <c r="AA27" s="103">
        <v>916.43064896898034</v>
      </c>
      <c r="AB27" s="168">
        <v>879.09458549246631</v>
      </c>
    </row>
    <row r="28" spans="1:28" s="167" customFormat="1" ht="12" customHeight="1" thickBot="1" x14ac:dyDescent="0.25">
      <c r="A28" s="177" t="s">
        <v>23</v>
      </c>
      <c r="B28" s="184">
        <v>53554.725252016869</v>
      </c>
      <c r="C28" s="178">
        <v>24300.412220564071</v>
      </c>
      <c r="D28" s="178">
        <v>29254.313031453155</v>
      </c>
      <c r="E28" s="184">
        <v>12260.760360607777</v>
      </c>
      <c r="F28" s="178">
        <v>5460.241734259067</v>
      </c>
      <c r="G28" s="185">
        <v>6800.5186263481073</v>
      </c>
      <c r="H28" s="178">
        <v>41293.964891408155</v>
      </c>
      <c r="I28" s="178">
        <v>18840.170486304512</v>
      </c>
      <c r="J28" s="179">
        <v>22453.794405104247</v>
      </c>
      <c r="K28" s="181">
        <v>55361.221140826172</v>
      </c>
      <c r="L28" s="178">
        <v>25120.108233693252</v>
      </c>
      <c r="M28" s="185">
        <v>30241.112907152481</v>
      </c>
      <c r="N28" s="178">
        <v>12674.337558160183</v>
      </c>
      <c r="O28" s="178">
        <v>5644.4253744244807</v>
      </c>
      <c r="P28" s="178">
        <v>7029.9121837350403</v>
      </c>
      <c r="Q28" s="184">
        <v>42686.883582676943</v>
      </c>
      <c r="R28" s="178">
        <v>19475.682859269491</v>
      </c>
      <c r="S28" s="179">
        <v>23211.200723418373</v>
      </c>
      <c r="T28" s="181">
        <v>57223.145176016187</v>
      </c>
      <c r="U28" s="178">
        <v>25964.954722319249</v>
      </c>
      <c r="V28" s="178">
        <v>31258.190453717394</v>
      </c>
      <c r="W28" s="184">
        <v>13100.604415055972</v>
      </c>
      <c r="X28" s="178">
        <v>5834.2602634119767</v>
      </c>
      <c r="Y28" s="178">
        <v>7266.3441516443072</v>
      </c>
      <c r="Z28" s="184">
        <v>44122.540760972028</v>
      </c>
      <c r="AA28" s="178">
        <v>20130.694458907306</v>
      </c>
      <c r="AB28" s="179">
        <v>23991.846302072914</v>
      </c>
    </row>
    <row r="29" spans="1:28" x14ac:dyDescent="0.2">
      <c r="A29" s="281" t="s">
        <v>91</v>
      </c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3"/>
  <sheetViews>
    <sheetView workbookViewId="0">
      <selection activeCell="A29" sqref="A29"/>
    </sheetView>
  </sheetViews>
  <sheetFormatPr defaultRowHeight="12" x14ac:dyDescent="0.2"/>
  <cols>
    <col min="1" max="1" width="14.7109375" style="22" customWidth="1"/>
    <col min="2" max="4" width="10.42578125" style="22" bestFit="1" customWidth="1"/>
    <col min="5" max="5" width="9.42578125" style="22" bestFit="1" customWidth="1"/>
    <col min="6" max="7" width="9.28515625" style="22" bestFit="1" customWidth="1"/>
    <col min="8" max="13" width="10.42578125" style="22" bestFit="1" customWidth="1"/>
    <col min="14" max="14" width="9.42578125" style="22" bestFit="1" customWidth="1"/>
    <col min="15" max="16" width="9.28515625" style="22" bestFit="1" customWidth="1"/>
    <col min="17" max="22" width="10.42578125" style="22" bestFit="1" customWidth="1"/>
    <col min="23" max="23" width="9.42578125" style="22" bestFit="1" customWidth="1"/>
    <col min="24" max="25" width="9.28515625" style="22" bestFit="1" customWidth="1"/>
    <col min="26" max="28" width="10.42578125" style="22" bestFit="1" customWidth="1"/>
    <col min="29" max="16384" width="9.140625" style="22"/>
  </cols>
  <sheetData>
    <row r="1" spans="1:28" ht="15.75" customHeight="1" thickBot="1" x14ac:dyDescent="0.25">
      <c r="A1" s="283" t="s">
        <v>81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</row>
    <row r="2" spans="1:28" ht="15.75" customHeight="1" x14ac:dyDescent="0.2">
      <c r="A2" s="284" t="s">
        <v>57</v>
      </c>
      <c r="B2" s="285"/>
      <c r="C2" s="285"/>
      <c r="D2" s="285"/>
      <c r="E2" s="285"/>
      <c r="F2" s="285"/>
      <c r="G2" s="285"/>
      <c r="H2" s="285"/>
      <c r="I2" s="285"/>
      <c r="J2" s="286"/>
      <c r="K2" s="285" t="s">
        <v>58</v>
      </c>
      <c r="L2" s="285"/>
      <c r="M2" s="285"/>
      <c r="N2" s="285"/>
      <c r="O2" s="285"/>
      <c r="P2" s="285"/>
      <c r="Q2" s="285"/>
      <c r="R2" s="285"/>
      <c r="S2" s="286"/>
      <c r="T2" s="285" t="s">
        <v>59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25">
      <c r="A3" s="294" t="s">
        <v>65</v>
      </c>
      <c r="B3" s="186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7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7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8" ht="15.75" customHeight="1" thickBot="1" x14ac:dyDescent="0.25">
      <c r="A4" s="288"/>
      <c r="B4" s="194" t="s">
        <v>1</v>
      </c>
      <c r="C4" s="5" t="s">
        <v>34</v>
      </c>
      <c r="D4" s="6" t="s">
        <v>35</v>
      </c>
      <c r="E4" s="81" t="s">
        <v>1</v>
      </c>
      <c r="F4" s="5" t="s">
        <v>34</v>
      </c>
      <c r="G4" s="6" t="s">
        <v>35</v>
      </c>
      <c r="H4" s="81" t="s">
        <v>1</v>
      </c>
      <c r="I4" s="5" t="s">
        <v>34</v>
      </c>
      <c r="J4" s="82" t="s">
        <v>35</v>
      </c>
      <c r="K4" s="83" t="s">
        <v>1</v>
      </c>
      <c r="L4" s="5" t="s">
        <v>34</v>
      </c>
      <c r="M4" s="5" t="s">
        <v>35</v>
      </c>
      <c r="N4" s="4" t="s">
        <v>1</v>
      </c>
      <c r="O4" s="5" t="s">
        <v>34</v>
      </c>
      <c r="P4" s="6" t="s">
        <v>35</v>
      </c>
      <c r="Q4" s="81" t="s">
        <v>1</v>
      </c>
      <c r="R4" s="5" t="s">
        <v>34</v>
      </c>
      <c r="S4" s="82" t="s">
        <v>35</v>
      </c>
      <c r="T4" s="83" t="s">
        <v>1</v>
      </c>
      <c r="U4" s="5" t="s">
        <v>34</v>
      </c>
      <c r="V4" s="5" t="s">
        <v>35</v>
      </c>
      <c r="W4" s="4" t="s">
        <v>1</v>
      </c>
      <c r="X4" s="5" t="s">
        <v>34</v>
      </c>
      <c r="Y4" s="6" t="s">
        <v>35</v>
      </c>
      <c r="Z4" s="81" t="s">
        <v>1</v>
      </c>
      <c r="AA4" s="5" t="s">
        <v>34</v>
      </c>
      <c r="AB4" s="82" t="s">
        <v>35</v>
      </c>
    </row>
    <row r="5" spans="1:28" ht="15.75" customHeight="1" thickBot="1" x14ac:dyDescent="0.25">
      <c r="A5" s="14" t="s">
        <v>61</v>
      </c>
      <c r="B5" s="8">
        <f>+SUM(B6:B25)</f>
        <v>55374.622090836456</v>
      </c>
      <c r="C5" s="8">
        <f t="shared" ref="C5:AB5" si="0">+SUM(C6:C25)</f>
        <v>27931.917371577467</v>
      </c>
      <c r="D5" s="9">
        <f t="shared" si="0"/>
        <v>27442.704719260881</v>
      </c>
      <c r="E5" s="8">
        <f t="shared" si="0"/>
        <v>2606.1322181619207</v>
      </c>
      <c r="F5" s="8">
        <f t="shared" si="0"/>
        <v>1259.1411398940011</v>
      </c>
      <c r="G5" s="9">
        <f t="shared" si="0"/>
        <v>1346.9910782679131</v>
      </c>
      <c r="H5" s="8">
        <f t="shared" si="0"/>
        <v>52768.489872674705</v>
      </c>
      <c r="I5" s="8">
        <f t="shared" si="0"/>
        <v>26672.776231683456</v>
      </c>
      <c r="J5" s="274">
        <f t="shared" si="0"/>
        <v>26095.713640992952</v>
      </c>
      <c r="K5" s="8">
        <f t="shared" si="0"/>
        <v>57242.506328541815</v>
      </c>
      <c r="L5" s="8">
        <f t="shared" si="0"/>
        <v>28874.110495742087</v>
      </c>
      <c r="M5" s="9">
        <f t="shared" si="0"/>
        <v>28368.395832799582</v>
      </c>
      <c r="N5" s="8">
        <f t="shared" si="0"/>
        <v>2694.041681159068</v>
      </c>
      <c r="O5" s="8">
        <f t="shared" si="0"/>
        <v>1301.61420425901</v>
      </c>
      <c r="P5" s="9">
        <f t="shared" si="0"/>
        <v>1392.4274769000642</v>
      </c>
      <c r="Q5" s="8">
        <f t="shared" si="0"/>
        <v>54548.464647382927</v>
      </c>
      <c r="R5" s="8">
        <f t="shared" si="0"/>
        <v>27572.496291483039</v>
      </c>
      <c r="S5" s="274">
        <f t="shared" si="0"/>
        <v>26975.968355899458</v>
      </c>
      <c r="T5" s="8">
        <f t="shared" si="0"/>
        <v>59167.702272041606</v>
      </c>
      <c r="U5" s="8">
        <f t="shared" si="0"/>
        <v>29845.212635811429</v>
      </c>
      <c r="V5" s="9">
        <f t="shared" si="0"/>
        <v>29322.489636230508</v>
      </c>
      <c r="W5" s="8">
        <f t="shared" si="0"/>
        <v>2784.6484426174452</v>
      </c>
      <c r="X5" s="8">
        <f t="shared" si="0"/>
        <v>1345.3904563270107</v>
      </c>
      <c r="Y5" s="9">
        <f t="shared" si="0"/>
        <v>1439.2579862904317</v>
      </c>
      <c r="Z5" s="8">
        <f t="shared" si="0"/>
        <v>56383.053829424127</v>
      </c>
      <c r="AA5" s="8">
        <f t="shared" si="0"/>
        <v>28499.822179484505</v>
      </c>
      <c r="AB5" s="274">
        <f t="shared" si="0"/>
        <v>27883.231649940102</v>
      </c>
    </row>
    <row r="6" spans="1:28" s="160" customFormat="1" ht="12" customHeight="1" x14ac:dyDescent="0.2">
      <c r="A6" s="157" t="s">
        <v>2</v>
      </c>
      <c r="B6" s="89">
        <v>9747.027827683627</v>
      </c>
      <c r="C6" s="88">
        <v>4712.9918872530925</v>
      </c>
      <c r="D6" s="88">
        <v>5034.0359404304918</v>
      </c>
      <c r="E6" s="89">
        <v>314.52539219912285</v>
      </c>
      <c r="F6" s="88">
        <v>153.18853298817368</v>
      </c>
      <c r="G6" s="88">
        <v>161.33685921094889</v>
      </c>
      <c r="H6" s="89">
        <v>9432.5024354846246</v>
      </c>
      <c r="I6" s="88">
        <v>4559.8033542648918</v>
      </c>
      <c r="J6" s="144">
        <v>4872.6990812195145</v>
      </c>
      <c r="K6" s="88">
        <v>10075.812367538985</v>
      </c>
      <c r="L6" s="88">
        <v>4871.9694644578576</v>
      </c>
      <c r="M6" s="88">
        <v>5203.8429030810958</v>
      </c>
      <c r="N6" s="89">
        <v>325.1348916460438</v>
      </c>
      <c r="O6" s="88">
        <v>158.3558539623223</v>
      </c>
      <c r="P6" s="88">
        <v>166.77903768372244</v>
      </c>
      <c r="Q6" s="89">
        <v>9750.6774758930442</v>
      </c>
      <c r="R6" s="88">
        <v>4713.6136104955003</v>
      </c>
      <c r="S6" s="144">
        <v>5037.0638653973365</v>
      </c>
      <c r="T6" s="88">
        <v>10414.684900236623</v>
      </c>
      <c r="U6" s="88">
        <v>5035.8249007660315</v>
      </c>
      <c r="V6" s="88">
        <v>5378.8599994697242</v>
      </c>
      <c r="W6" s="89">
        <v>336.0699190345174</v>
      </c>
      <c r="X6" s="88">
        <v>163.68172222406596</v>
      </c>
      <c r="Y6" s="88">
        <v>172.3881968104524</v>
      </c>
      <c r="Z6" s="89">
        <v>10078.614981202041</v>
      </c>
      <c r="AA6" s="88">
        <v>4872.1431785419345</v>
      </c>
      <c r="AB6" s="144">
        <v>5206.4718026592391</v>
      </c>
    </row>
    <row r="7" spans="1:28" s="160" customFormat="1" ht="12" customHeight="1" x14ac:dyDescent="0.2">
      <c r="A7" s="157" t="s">
        <v>3</v>
      </c>
      <c r="B7" s="89">
        <v>8771.2215977827109</v>
      </c>
      <c r="C7" s="88">
        <v>4343.3110041070931</v>
      </c>
      <c r="D7" s="88">
        <v>4427.9105936762317</v>
      </c>
      <c r="E7" s="89">
        <v>352.76432631666756</v>
      </c>
      <c r="F7" s="88">
        <v>166.00674179607819</v>
      </c>
      <c r="G7" s="88">
        <v>186.75758452058793</v>
      </c>
      <c r="H7" s="89">
        <v>8418.4572714659134</v>
      </c>
      <c r="I7" s="88">
        <v>4177.3042623110478</v>
      </c>
      <c r="J7" s="144">
        <v>4241.1530091556806</v>
      </c>
      <c r="K7" s="88">
        <v>9067.0904624236264</v>
      </c>
      <c r="L7" s="88">
        <v>4489.8185893094405</v>
      </c>
      <c r="M7" s="88">
        <v>4577.2718731144432</v>
      </c>
      <c r="N7" s="89">
        <v>364.66369284724186</v>
      </c>
      <c r="O7" s="88">
        <v>171.60644369282045</v>
      </c>
      <c r="P7" s="88">
        <v>193.05724915442303</v>
      </c>
      <c r="Q7" s="89">
        <v>8702.426769576552</v>
      </c>
      <c r="R7" s="88">
        <v>4318.2121456166051</v>
      </c>
      <c r="S7" s="144">
        <v>4384.2146239600033</v>
      </c>
      <c r="T7" s="88">
        <v>9372.0373785728607</v>
      </c>
      <c r="U7" s="88">
        <v>4640.8214207642832</v>
      </c>
      <c r="V7" s="88">
        <v>4731.2159578096525</v>
      </c>
      <c r="W7" s="89">
        <v>376.92816390625097</v>
      </c>
      <c r="X7" s="88">
        <v>177.3779594852947</v>
      </c>
      <c r="Y7" s="88">
        <v>199.5502044209565</v>
      </c>
      <c r="Z7" s="89">
        <v>8995.1092146666979</v>
      </c>
      <c r="AA7" s="88">
        <v>4463.4434612790301</v>
      </c>
      <c r="AB7" s="144">
        <v>4531.6657533887428</v>
      </c>
    </row>
    <row r="8" spans="1:28" s="160" customFormat="1" ht="12" customHeight="1" x14ac:dyDescent="0.2">
      <c r="A8" s="157" t="s">
        <v>4</v>
      </c>
      <c r="B8" s="89">
        <v>7511.8050662719979</v>
      </c>
      <c r="C8" s="88">
        <v>4145.3798888887313</v>
      </c>
      <c r="D8" s="88">
        <v>3366.4251773840024</v>
      </c>
      <c r="E8" s="89">
        <v>332.01348359215746</v>
      </c>
      <c r="F8" s="88">
        <v>186.75758452058793</v>
      </c>
      <c r="G8" s="88">
        <v>145.25589907156845</v>
      </c>
      <c r="H8" s="89">
        <v>7179.7915826799072</v>
      </c>
      <c r="I8" s="88">
        <v>3958.6223043681407</v>
      </c>
      <c r="J8" s="144">
        <v>3221.1692783124213</v>
      </c>
      <c r="K8" s="88">
        <v>7765.1915771005788</v>
      </c>
      <c r="L8" s="88">
        <v>4285.210906444906</v>
      </c>
      <c r="M8" s="88">
        <v>3479.9806706554477</v>
      </c>
      <c r="N8" s="89">
        <v>343.21288738563965</v>
      </c>
      <c r="O8" s="88">
        <v>193.05724915442303</v>
      </c>
      <c r="P8" s="88">
        <v>150.15563823121786</v>
      </c>
      <c r="Q8" s="89">
        <v>7421.9786897149079</v>
      </c>
      <c r="R8" s="88">
        <v>4092.1536572904665</v>
      </c>
      <c r="S8" s="144">
        <v>3329.8250324242167</v>
      </c>
      <c r="T8" s="88">
        <v>8026.3526667087772</v>
      </c>
      <c r="U8" s="88">
        <v>4429.3323152241737</v>
      </c>
      <c r="V8" s="88">
        <v>3597.0203514855457</v>
      </c>
      <c r="W8" s="89">
        <v>354.75591897058916</v>
      </c>
      <c r="X8" s="88">
        <v>199.5502044209565</v>
      </c>
      <c r="Y8" s="88">
        <v>155.20571454963289</v>
      </c>
      <c r="Z8" s="89">
        <v>7671.596747738271</v>
      </c>
      <c r="AA8" s="88">
        <v>4229.782110803264</v>
      </c>
      <c r="AB8" s="144">
        <v>3441.8146369359079</v>
      </c>
    </row>
    <row r="9" spans="1:28" s="160" customFormat="1" ht="12" customHeight="1" x14ac:dyDescent="0.2">
      <c r="A9" s="157" t="s">
        <v>5</v>
      </c>
      <c r="B9" s="89">
        <v>4995.1963772681174</v>
      </c>
      <c r="C9" s="88">
        <v>2609.5731789672354</v>
      </c>
      <c r="D9" s="88">
        <v>2385.6231983011739</v>
      </c>
      <c r="E9" s="89">
        <v>233.47976707741554</v>
      </c>
      <c r="F9" s="88">
        <v>106.41594825977401</v>
      </c>
      <c r="G9" s="88">
        <v>127.06381881764061</v>
      </c>
      <c r="H9" s="89">
        <v>4761.7166101907342</v>
      </c>
      <c r="I9" s="88">
        <v>2503.1572307074757</v>
      </c>
      <c r="J9" s="144">
        <v>2258.5593794835504</v>
      </c>
      <c r="K9" s="88">
        <v>5163.6932125519379</v>
      </c>
      <c r="L9" s="88">
        <v>2697.5987116766041</v>
      </c>
      <c r="M9" s="88">
        <v>2466.0945008753911</v>
      </c>
      <c r="N9" s="89">
        <v>241.35545381404307</v>
      </c>
      <c r="O9" s="88">
        <v>110.00554697646858</v>
      </c>
      <c r="P9" s="88">
        <v>131.34990683757442</v>
      </c>
      <c r="Q9" s="89">
        <v>4922.3377587379073</v>
      </c>
      <c r="R9" s="88">
        <v>2587.5931647001412</v>
      </c>
      <c r="S9" s="144">
        <v>2334.7445940378234</v>
      </c>
      <c r="T9" s="88">
        <v>5337.359983347118</v>
      </c>
      <c r="U9" s="88">
        <v>2788.3251041778426</v>
      </c>
      <c r="V9" s="88">
        <v>2549.0348791692754</v>
      </c>
      <c r="W9" s="89">
        <v>249.47278777488893</v>
      </c>
      <c r="X9" s="88">
        <v>113.70528422392883</v>
      </c>
      <c r="Y9" s="88">
        <v>135.76750355095984</v>
      </c>
      <c r="Z9" s="89">
        <v>5087.8871955722288</v>
      </c>
      <c r="AA9" s="88">
        <v>2674.6198199539135</v>
      </c>
      <c r="AB9" s="144">
        <v>2413.2673756183153</v>
      </c>
    </row>
    <row r="10" spans="1:28" s="160" customFormat="1" ht="12" customHeight="1" x14ac:dyDescent="0.2">
      <c r="A10" s="157" t="s">
        <v>6</v>
      </c>
      <c r="B10" s="89">
        <v>5564.5646383843123</v>
      </c>
      <c r="C10" s="88">
        <v>2607.1414111923737</v>
      </c>
      <c r="D10" s="88">
        <v>2957.4232271923015</v>
      </c>
      <c r="E10" s="89">
        <v>202.79473557889344</v>
      </c>
      <c r="F10" s="88">
        <v>98.324720280675407</v>
      </c>
      <c r="G10" s="88">
        <v>104.4700152982176</v>
      </c>
      <c r="H10" s="89">
        <v>5361.7699028054667</v>
      </c>
      <c r="I10" s="88">
        <v>2508.8166909116921</v>
      </c>
      <c r="J10" s="144">
        <v>2852.9532118940774</v>
      </c>
      <c r="K10" s="88">
        <v>5752.2672751746722</v>
      </c>
      <c r="L10" s="88">
        <v>2695.084916060609</v>
      </c>
      <c r="M10" s="88">
        <v>3057.1823591141188</v>
      </c>
      <c r="N10" s="89">
        <v>209.63536176782986</v>
      </c>
      <c r="O10" s="88">
        <v>101.64138752379654</v>
      </c>
      <c r="P10" s="88">
        <v>107.99397424403384</v>
      </c>
      <c r="Q10" s="89">
        <v>5542.6319134068508</v>
      </c>
      <c r="R10" s="88">
        <v>2593.4435285368168</v>
      </c>
      <c r="S10" s="144">
        <v>2949.1883848700895</v>
      </c>
      <c r="T10" s="88">
        <v>5945.7291330563248</v>
      </c>
      <c r="U10" s="88">
        <v>2785.726763886209</v>
      </c>
      <c r="V10" s="88">
        <v>3160.0023691696738</v>
      </c>
      <c r="W10" s="89">
        <v>216.68587674307247</v>
      </c>
      <c r="X10" s="88">
        <v>105.05981902694386</v>
      </c>
      <c r="Y10" s="88">
        <v>111.62605771612785</v>
      </c>
      <c r="Z10" s="89">
        <v>5729.0432563132063</v>
      </c>
      <c r="AA10" s="88">
        <v>2680.6669448592716</v>
      </c>
      <c r="AB10" s="144">
        <v>3048.3763114535527</v>
      </c>
    </row>
    <row r="11" spans="1:28" s="160" customFormat="1" ht="12" customHeight="1" x14ac:dyDescent="0.2">
      <c r="A11" s="158" t="s">
        <v>7</v>
      </c>
      <c r="B11" s="89">
        <v>4619.7255294374181</v>
      </c>
      <c r="C11" s="88">
        <v>2195.4066450170199</v>
      </c>
      <c r="D11" s="88">
        <v>2424.3188844204815</v>
      </c>
      <c r="E11" s="89">
        <v>233.5212106666047</v>
      </c>
      <c r="F11" s="88">
        <v>70.670892701735525</v>
      </c>
      <c r="G11" s="88">
        <v>162.85031796486879</v>
      </c>
      <c r="H11" s="89">
        <v>4386.2043187708687</v>
      </c>
      <c r="I11" s="88">
        <v>2124.73575231528</v>
      </c>
      <c r="J11" s="144">
        <v>2261.4685664556027</v>
      </c>
      <c r="K11" s="88">
        <v>4775.5570669382314</v>
      </c>
      <c r="L11" s="88">
        <v>2269.4616058047291</v>
      </c>
      <c r="M11" s="88">
        <v>2506.0954611335578</v>
      </c>
      <c r="N11" s="89">
        <v>241.39829536901607</v>
      </c>
      <c r="O11" s="88">
        <v>73.054747282728698</v>
      </c>
      <c r="P11" s="88">
        <v>168.3435480862878</v>
      </c>
      <c r="Q11" s="89">
        <v>4534.1587715692249</v>
      </c>
      <c r="R11" s="88">
        <v>2196.4068585220034</v>
      </c>
      <c r="S11" s="144">
        <v>2337.751913047277</v>
      </c>
      <c r="T11" s="88">
        <v>4936.1699345940679</v>
      </c>
      <c r="U11" s="88">
        <v>2345.7887717109083</v>
      </c>
      <c r="V11" s="88">
        <v>2590.3811628829972</v>
      </c>
      <c r="W11" s="89">
        <v>249.5170701889927</v>
      </c>
      <c r="X11" s="88">
        <v>75.511744925615901</v>
      </c>
      <c r="Y11" s="88">
        <v>174.00532526337616</v>
      </c>
      <c r="Z11" s="89">
        <v>4686.6528644050222</v>
      </c>
      <c r="AA11" s="88">
        <v>2270.277026785297</v>
      </c>
      <c r="AB11" s="144">
        <v>2416.375837619632</v>
      </c>
    </row>
    <row r="12" spans="1:28" s="160" customFormat="1" ht="12" customHeight="1" x14ac:dyDescent="0.2">
      <c r="A12" s="158" t="s">
        <v>8</v>
      </c>
      <c r="B12" s="89">
        <v>3983.6089946566767</v>
      </c>
      <c r="C12" s="88">
        <v>1873.5695271672644</v>
      </c>
      <c r="D12" s="88">
        <v>2110.0394674893537</v>
      </c>
      <c r="E12" s="89">
        <v>260.72326753460038</v>
      </c>
      <c r="F12" s="88">
        <v>118.23497016103919</v>
      </c>
      <c r="G12" s="88">
        <v>142.48829737356016</v>
      </c>
      <c r="H12" s="89">
        <v>3722.8857271220654</v>
      </c>
      <c r="I12" s="88">
        <v>1755.3345570062197</v>
      </c>
      <c r="J12" s="144">
        <v>1967.551170115787</v>
      </c>
      <c r="K12" s="88">
        <v>4117.9831929688517</v>
      </c>
      <c r="L12" s="88">
        <v>1936.7683510309012</v>
      </c>
      <c r="M12" s="88">
        <v>2181.2148419377263</v>
      </c>
      <c r="N12" s="89">
        <v>269.51792587161708</v>
      </c>
      <c r="O12" s="88">
        <v>122.22324545340832</v>
      </c>
      <c r="P12" s="88">
        <v>147.29468041820985</v>
      </c>
      <c r="Q12" s="89">
        <v>3848.4652670972064</v>
      </c>
      <c r="R12" s="88">
        <v>1814.5451055774984</v>
      </c>
      <c r="S12" s="144">
        <v>2033.9201615195034</v>
      </c>
      <c r="T12" s="88">
        <v>4256.4803526320293</v>
      </c>
      <c r="U12" s="88">
        <v>2001.9062845711203</v>
      </c>
      <c r="V12" s="88">
        <v>2254.5740680606991</v>
      </c>
      <c r="W12" s="89">
        <v>278.58242795003503</v>
      </c>
      <c r="X12" s="88">
        <v>126.33389174478275</v>
      </c>
      <c r="Y12" s="88">
        <v>152.24853620525121</v>
      </c>
      <c r="Z12" s="89">
        <v>3977.897924681974</v>
      </c>
      <c r="AA12" s="88">
        <v>1875.5723928263453</v>
      </c>
      <c r="AB12" s="144">
        <v>2102.3255318554361</v>
      </c>
    </row>
    <row r="13" spans="1:28" s="160" customFormat="1" ht="12" customHeight="1" x14ac:dyDescent="0.2">
      <c r="A13" s="158" t="s">
        <v>9</v>
      </c>
      <c r="B13" s="89">
        <v>2914.9467643549269</v>
      </c>
      <c r="C13" s="88">
        <v>1511.2854519302173</v>
      </c>
      <c r="D13" s="88">
        <v>1403.661312424651</v>
      </c>
      <c r="E13" s="89">
        <v>242.53327212520958</v>
      </c>
      <c r="F13" s="88">
        <v>137.94079852121246</v>
      </c>
      <c r="G13" s="88">
        <v>104.59247360399621</v>
      </c>
      <c r="H13" s="89">
        <v>2672.4134922297071</v>
      </c>
      <c r="I13" s="88">
        <v>1373.3446534089985</v>
      </c>
      <c r="J13" s="144">
        <v>1299.0688388206499</v>
      </c>
      <c r="K13" s="88">
        <v>3013.2730898321661</v>
      </c>
      <c r="L13" s="88">
        <v>1562.2637912441926</v>
      </c>
      <c r="M13" s="88">
        <v>1451.00929858789</v>
      </c>
      <c r="N13" s="89">
        <v>250.71434964801597</v>
      </c>
      <c r="O13" s="88">
        <v>142.59378636230957</v>
      </c>
      <c r="P13" s="88">
        <v>108.12056328570736</v>
      </c>
      <c r="Q13" s="89">
        <v>2762.558740184124</v>
      </c>
      <c r="R13" s="88">
        <v>1419.6700048818893</v>
      </c>
      <c r="S13" s="144">
        <v>1342.8887353021876</v>
      </c>
      <c r="T13" s="88">
        <v>3114.6163310925572</v>
      </c>
      <c r="U13" s="88">
        <v>1614.8062829428995</v>
      </c>
      <c r="V13" s="88">
        <v>1499.8100481495787</v>
      </c>
      <c r="W13" s="89">
        <v>259.14644460468367</v>
      </c>
      <c r="X13" s="88">
        <v>147.38954036891337</v>
      </c>
      <c r="Y13" s="88">
        <v>111.75690423576935</v>
      </c>
      <c r="Z13" s="89">
        <v>2855.4698864878542</v>
      </c>
      <c r="AA13" s="88">
        <v>1467.4167425739954</v>
      </c>
      <c r="AB13" s="144">
        <v>1388.0531439138163</v>
      </c>
    </row>
    <row r="14" spans="1:28" s="160" customFormat="1" ht="12" customHeight="1" x14ac:dyDescent="0.2">
      <c r="A14" s="158" t="s">
        <v>10</v>
      </c>
      <c r="B14" s="89">
        <v>2161.5777878159629</v>
      </c>
      <c r="C14" s="88">
        <v>1108.0738870220393</v>
      </c>
      <c r="D14" s="88">
        <v>1053.5039007938649</v>
      </c>
      <c r="E14" s="89">
        <v>124.2983019641694</v>
      </c>
      <c r="F14" s="88">
        <v>57.601652129737076</v>
      </c>
      <c r="G14" s="88">
        <v>66.696649834432392</v>
      </c>
      <c r="H14" s="89">
        <v>2037.2794858517877</v>
      </c>
      <c r="I14" s="88">
        <v>1050.4722348922996</v>
      </c>
      <c r="J14" s="144">
        <v>986.80725095943217</v>
      </c>
      <c r="K14" s="88">
        <v>2234.4916412379353</v>
      </c>
      <c r="L14" s="88">
        <v>1145.4511849543831</v>
      </c>
      <c r="M14" s="88">
        <v>1089.0404562835818</v>
      </c>
      <c r="N14" s="89">
        <v>128.49110419460874</v>
      </c>
      <c r="O14" s="88">
        <v>59.544658041404055</v>
      </c>
      <c r="P14" s="88">
        <v>68.94644615320469</v>
      </c>
      <c r="Q14" s="89">
        <v>2106.0005370433137</v>
      </c>
      <c r="R14" s="88">
        <v>1085.9065269129817</v>
      </c>
      <c r="S14" s="144">
        <v>1020.09401013038</v>
      </c>
      <c r="T14" s="88">
        <v>2309.6426875391985</v>
      </c>
      <c r="U14" s="88">
        <v>1183.9753187876413</v>
      </c>
      <c r="V14" s="88">
        <v>1125.6673687515913</v>
      </c>
      <c r="W14" s="89">
        <v>132.81255285989985</v>
      </c>
      <c r="X14" s="88">
        <v>61.547280593612115</v>
      </c>
      <c r="Y14" s="88">
        <v>71.26527226628771</v>
      </c>
      <c r="Z14" s="89">
        <v>2176.8301346792882</v>
      </c>
      <c r="AA14" s="88">
        <v>1122.428038194033</v>
      </c>
      <c r="AB14" s="144">
        <v>1054.402096485308</v>
      </c>
    </row>
    <row r="15" spans="1:28" s="160" customFormat="1" ht="12" customHeight="1" x14ac:dyDescent="0.2">
      <c r="A15" s="158" t="s">
        <v>11</v>
      </c>
      <c r="B15" s="89">
        <v>1459.4875201977809</v>
      </c>
      <c r="C15" s="88">
        <v>804.60866398468977</v>
      </c>
      <c r="D15" s="88">
        <v>654.87885621310545</v>
      </c>
      <c r="E15" s="89">
        <v>111.9192502535096</v>
      </c>
      <c r="F15" s="88">
        <v>57.472047427477911</v>
      </c>
      <c r="G15" s="88">
        <v>54.447202826031706</v>
      </c>
      <c r="H15" s="89">
        <v>1347.5682699442734</v>
      </c>
      <c r="I15" s="88">
        <v>747.13661655721296</v>
      </c>
      <c r="J15" s="144">
        <v>600.43165338707479</v>
      </c>
      <c r="K15" s="88">
        <v>1508.7186233849579</v>
      </c>
      <c r="L15" s="88">
        <v>831.7495415966622</v>
      </c>
      <c r="M15" s="88">
        <v>676.96908178826084</v>
      </c>
      <c r="N15" s="89">
        <v>115.69448510931038</v>
      </c>
      <c r="O15" s="88">
        <v>59.410681542618953</v>
      </c>
      <c r="P15" s="88">
        <v>56.283803566691638</v>
      </c>
      <c r="Q15" s="89">
        <v>1393.0241382756394</v>
      </c>
      <c r="R15" s="88">
        <v>772.33886005404349</v>
      </c>
      <c r="S15" s="144">
        <v>620.68527822156943</v>
      </c>
      <c r="T15" s="88">
        <v>1559.4602690590821</v>
      </c>
      <c r="U15" s="88">
        <v>859.72317423777213</v>
      </c>
      <c r="V15" s="88">
        <v>699.73709482134393</v>
      </c>
      <c r="W15" s="89">
        <v>119.5855543112683</v>
      </c>
      <c r="X15" s="88">
        <v>61.40879815984038</v>
      </c>
      <c r="Y15" s="88">
        <v>58.176756151427732</v>
      </c>
      <c r="Z15" s="89">
        <v>1439.8747147478209</v>
      </c>
      <c r="AA15" s="88">
        <v>798.314376077931</v>
      </c>
      <c r="AB15" s="144">
        <v>641.5603386699155</v>
      </c>
    </row>
    <row r="16" spans="1:28" s="160" customFormat="1" ht="12" customHeight="1" x14ac:dyDescent="0.2">
      <c r="A16" s="158" t="s">
        <v>12</v>
      </c>
      <c r="B16" s="89">
        <v>1008.7856745823048</v>
      </c>
      <c r="C16" s="88">
        <v>530.86022755381339</v>
      </c>
      <c r="D16" s="88">
        <v>477.92544702850455</v>
      </c>
      <c r="E16" s="89">
        <v>66.546581231816532</v>
      </c>
      <c r="F16" s="88">
        <v>34.785712916631375</v>
      </c>
      <c r="G16" s="88">
        <v>31.760868315185171</v>
      </c>
      <c r="H16" s="89">
        <v>942.2390933504895</v>
      </c>
      <c r="I16" s="88">
        <v>496.07451463718212</v>
      </c>
      <c r="J16" s="144">
        <v>446.1645787133188</v>
      </c>
      <c r="K16" s="88">
        <v>1042.8138049717563</v>
      </c>
      <c r="L16" s="88">
        <v>548.76708477524153</v>
      </c>
      <c r="M16" s="88">
        <v>494.04672019651372</v>
      </c>
      <c r="N16" s="89">
        <v>68.791315470400875</v>
      </c>
      <c r="O16" s="88">
        <v>35.959096723164095</v>
      </c>
      <c r="P16" s="88">
        <v>32.83221874723678</v>
      </c>
      <c r="Q16" s="89">
        <v>974.02248950135436</v>
      </c>
      <c r="R16" s="88">
        <v>512.80798805207758</v>
      </c>
      <c r="S16" s="144">
        <v>461.21450144927707</v>
      </c>
      <c r="T16" s="88">
        <v>1077.886009805625</v>
      </c>
      <c r="U16" s="88">
        <v>567.22337247642361</v>
      </c>
      <c r="V16" s="88">
        <v>510.66263732920157</v>
      </c>
      <c r="W16" s="89">
        <v>71.10492418507836</v>
      </c>
      <c r="X16" s="88">
        <v>37.168483096745518</v>
      </c>
      <c r="Y16" s="88">
        <v>33.93644108833287</v>
      </c>
      <c r="Z16" s="89">
        <v>1006.7810856205496</v>
      </c>
      <c r="AA16" s="88">
        <v>530.05488937967766</v>
      </c>
      <c r="AB16" s="144">
        <v>476.72619624086832</v>
      </c>
    </row>
    <row r="17" spans="1:28" s="160" customFormat="1" ht="12" customHeight="1" x14ac:dyDescent="0.2">
      <c r="A17" s="158" t="s">
        <v>13</v>
      </c>
      <c r="B17" s="89">
        <v>676.05276842322849</v>
      </c>
      <c r="C17" s="88">
        <v>370.54346367716226</v>
      </c>
      <c r="D17" s="88">
        <v>305.50930474606764</v>
      </c>
      <c r="E17" s="89">
        <v>30.248446014462068</v>
      </c>
      <c r="F17" s="88">
        <v>18.14906760867725</v>
      </c>
      <c r="G17" s="88">
        <v>12.099378405784833</v>
      </c>
      <c r="H17" s="89">
        <v>645.80432240876701</v>
      </c>
      <c r="I17" s="88">
        <v>352.3943960684847</v>
      </c>
      <c r="J17" s="144">
        <v>293.4099263402826</v>
      </c>
      <c r="K17" s="88">
        <v>698.85722761975194</v>
      </c>
      <c r="L17" s="88">
        <v>383.04255205109456</v>
      </c>
      <c r="M17" s="88">
        <v>315.81467556865761</v>
      </c>
      <c r="N17" s="89">
        <v>31.268779759273126</v>
      </c>
      <c r="O17" s="88">
        <v>18.761267855563869</v>
      </c>
      <c r="P17" s="88">
        <v>12.507511903709245</v>
      </c>
      <c r="Q17" s="89">
        <v>667.58844786047894</v>
      </c>
      <c r="R17" s="88">
        <v>364.28128419553076</v>
      </c>
      <c r="S17" s="144">
        <v>303.3071636649484</v>
      </c>
      <c r="T17" s="88">
        <v>722.36138888023277</v>
      </c>
      <c r="U17" s="88">
        <v>395.92514603055105</v>
      </c>
      <c r="V17" s="88">
        <v>326.43624284967819</v>
      </c>
      <c r="W17" s="89">
        <v>32.320420084126546</v>
      </c>
      <c r="X17" s="88">
        <v>19.392252050475928</v>
      </c>
      <c r="Y17" s="88">
        <v>12.92816803365062</v>
      </c>
      <c r="Z17" s="89">
        <v>690.04096879610586</v>
      </c>
      <c r="AA17" s="88">
        <v>376.5328939800749</v>
      </c>
      <c r="AB17" s="144">
        <v>313.50807481602743</v>
      </c>
    </row>
    <row r="18" spans="1:28" s="160" customFormat="1" ht="12" customHeight="1" x14ac:dyDescent="0.2">
      <c r="A18" s="158" t="s">
        <v>14</v>
      </c>
      <c r="B18" s="89">
        <v>683.61487992684386</v>
      </c>
      <c r="C18" s="88">
        <v>405.32917659379427</v>
      </c>
      <c r="D18" s="88">
        <v>278.28570333305129</v>
      </c>
      <c r="E18" s="89">
        <v>49.909935923862399</v>
      </c>
      <c r="F18" s="88">
        <v>27.223601413015864</v>
      </c>
      <c r="G18" s="88">
        <v>22.686334510846557</v>
      </c>
      <c r="H18" s="89">
        <v>633.70494400298242</v>
      </c>
      <c r="I18" s="88">
        <v>378.10557518077792</v>
      </c>
      <c r="J18" s="144">
        <v>255.59936882220433</v>
      </c>
      <c r="K18" s="88">
        <v>706.67442255957019</v>
      </c>
      <c r="L18" s="88">
        <v>419.00164877425851</v>
      </c>
      <c r="M18" s="88">
        <v>287.6727737853119</v>
      </c>
      <c r="N18" s="89">
        <v>51.593486602800667</v>
      </c>
      <c r="O18" s="88">
        <v>28.141901783345812</v>
      </c>
      <c r="P18" s="88">
        <v>23.45158481945484</v>
      </c>
      <c r="Q18" s="89">
        <v>655.08093595676974</v>
      </c>
      <c r="R18" s="88">
        <v>390.85974699091281</v>
      </c>
      <c r="S18" s="144">
        <v>264.22118896585715</v>
      </c>
      <c r="T18" s="88">
        <v>730.44149390126449</v>
      </c>
      <c r="U18" s="88">
        <v>433.09362912729699</v>
      </c>
      <c r="V18" s="88">
        <v>297.34786477396398</v>
      </c>
      <c r="W18" s="89">
        <v>53.328693138808759</v>
      </c>
      <c r="X18" s="88">
        <v>29.088378075713894</v>
      </c>
      <c r="Y18" s="88">
        <v>24.240315063094911</v>
      </c>
      <c r="Z18" s="89">
        <v>677.11280076245509</v>
      </c>
      <c r="AA18" s="88">
        <v>404.00525105158277</v>
      </c>
      <c r="AB18" s="144">
        <v>273.1075497108688</v>
      </c>
    </row>
    <row r="19" spans="1:28" s="160" customFormat="1" ht="12" customHeight="1" x14ac:dyDescent="0.2">
      <c r="A19" s="158" t="s">
        <v>15</v>
      </c>
      <c r="B19" s="89">
        <v>427.55237867178829</v>
      </c>
      <c r="C19" s="88">
        <v>256.15472907208493</v>
      </c>
      <c r="D19" s="88">
        <v>171.39764959970412</v>
      </c>
      <c r="E19" s="89">
        <v>22.601887859301666</v>
      </c>
      <c r="F19" s="88">
        <v>13.184434584592639</v>
      </c>
      <c r="G19" s="88">
        <v>9.4174532747090272</v>
      </c>
      <c r="H19" s="89">
        <v>404.95049081248675</v>
      </c>
      <c r="I19" s="88">
        <v>242.97029448749234</v>
      </c>
      <c r="J19" s="144">
        <v>161.98019632499515</v>
      </c>
      <c r="K19" s="88">
        <v>441.97447888230857</v>
      </c>
      <c r="L19" s="88">
        <v>264.7952825021772</v>
      </c>
      <c r="M19" s="88">
        <v>177.17919638013305</v>
      </c>
      <c r="N19" s="89">
        <v>23.36428963254497</v>
      </c>
      <c r="O19" s="88">
        <v>13.629168952317901</v>
      </c>
      <c r="P19" s="88">
        <v>9.7351206802270731</v>
      </c>
      <c r="Q19" s="89">
        <v>418.61018924976378</v>
      </c>
      <c r="R19" s="88">
        <v>251.16611354985932</v>
      </c>
      <c r="S19" s="144">
        <v>167.44407569990591</v>
      </c>
      <c r="T19" s="88">
        <v>456.83908786695679</v>
      </c>
      <c r="U19" s="88">
        <v>273.70095132117353</v>
      </c>
      <c r="V19" s="88">
        <v>183.13813654578516</v>
      </c>
      <c r="W19" s="89">
        <v>24.150083940103539</v>
      </c>
      <c r="X19" s="88">
        <v>14.087548965060398</v>
      </c>
      <c r="Y19" s="88">
        <v>10.062534975043141</v>
      </c>
      <c r="Z19" s="89">
        <v>432.6890039268535</v>
      </c>
      <c r="AA19" s="88">
        <v>259.61340235611328</v>
      </c>
      <c r="AB19" s="144">
        <v>173.07560157074198</v>
      </c>
    </row>
    <row r="20" spans="1:28" s="160" customFormat="1" ht="12" customHeight="1" x14ac:dyDescent="0.2">
      <c r="A20" s="158" t="s">
        <v>16</v>
      </c>
      <c r="B20" s="89">
        <v>384.232093608127</v>
      </c>
      <c r="C20" s="88">
        <v>229.78585990289977</v>
      </c>
      <c r="D20" s="88">
        <v>154.44623370522797</v>
      </c>
      <c r="E20" s="89">
        <v>13.184434584592639</v>
      </c>
      <c r="F20" s="88">
        <v>5.6504719648254165</v>
      </c>
      <c r="G20" s="88">
        <v>7.5339626197672223</v>
      </c>
      <c r="H20" s="89">
        <v>371.04765902353444</v>
      </c>
      <c r="I20" s="88">
        <v>224.13538793807439</v>
      </c>
      <c r="J20" s="144">
        <v>146.91227108546079</v>
      </c>
      <c r="K20" s="88">
        <v>397.19292375326438</v>
      </c>
      <c r="L20" s="88">
        <v>237.53694459754132</v>
      </c>
      <c r="M20" s="88">
        <v>159.6559791557242</v>
      </c>
      <c r="N20" s="89">
        <v>13.629168952317901</v>
      </c>
      <c r="O20" s="88">
        <v>5.8410724081362435</v>
      </c>
      <c r="P20" s="88">
        <v>7.7880965441816583</v>
      </c>
      <c r="Q20" s="89">
        <v>383.56375480094658</v>
      </c>
      <c r="R20" s="88">
        <v>231.69587218940504</v>
      </c>
      <c r="S20" s="144">
        <v>151.86788261154248</v>
      </c>
      <c r="T20" s="88">
        <v>410.55142698175882</v>
      </c>
      <c r="U20" s="88">
        <v>245.52585339105286</v>
      </c>
      <c r="V20" s="88">
        <v>165.02557359070744</v>
      </c>
      <c r="W20" s="89">
        <v>14.087548965060398</v>
      </c>
      <c r="X20" s="88">
        <v>6.0375209850258837</v>
      </c>
      <c r="Y20" s="88">
        <v>8.0500279800345123</v>
      </c>
      <c r="Z20" s="89">
        <v>396.46387801669857</v>
      </c>
      <c r="AA20" s="88">
        <v>239.48833240602696</v>
      </c>
      <c r="AB20" s="144">
        <v>156.9755456106729</v>
      </c>
    </row>
    <row r="21" spans="1:28" s="160" customFormat="1" ht="12" customHeight="1" x14ac:dyDescent="0.2">
      <c r="A21" s="158" t="s">
        <v>17</v>
      </c>
      <c r="B21" s="89">
        <v>182.69859352935489</v>
      </c>
      <c r="C21" s="88">
        <v>82.873588817439426</v>
      </c>
      <c r="D21" s="88">
        <v>99.82500471191571</v>
      </c>
      <c r="E21" s="89">
        <v>7.5339626197672223</v>
      </c>
      <c r="F21" s="88">
        <v>1.8834906549418056</v>
      </c>
      <c r="G21" s="88">
        <v>5.6504719648254165</v>
      </c>
      <c r="H21" s="89">
        <v>175.16463090958771</v>
      </c>
      <c r="I21" s="88">
        <v>80.990098162497617</v>
      </c>
      <c r="J21" s="144">
        <v>94.174532747090282</v>
      </c>
      <c r="K21" s="88">
        <v>188.86134119640562</v>
      </c>
      <c r="L21" s="88">
        <v>85.669061985998226</v>
      </c>
      <c r="M21" s="88">
        <v>103.19227921040695</v>
      </c>
      <c r="N21" s="89">
        <v>7.7880965441816583</v>
      </c>
      <c r="O21" s="88">
        <v>1.9470241360454146</v>
      </c>
      <c r="P21" s="88">
        <v>5.8410724081362435</v>
      </c>
      <c r="Q21" s="89">
        <v>181.07324465222391</v>
      </c>
      <c r="R21" s="88">
        <v>83.722037849952812</v>
      </c>
      <c r="S21" s="144">
        <v>97.35120680227071</v>
      </c>
      <c r="T21" s="88">
        <v>195.21317851583697</v>
      </c>
      <c r="U21" s="88">
        <v>88.550307780379555</v>
      </c>
      <c r="V21" s="88">
        <v>106.66287073545715</v>
      </c>
      <c r="W21" s="89">
        <v>8.0500279800345123</v>
      </c>
      <c r="X21" s="88">
        <v>2.0125069950086281</v>
      </c>
      <c r="Y21" s="88">
        <v>6.0375209850258837</v>
      </c>
      <c r="Z21" s="89">
        <v>187.16315053580243</v>
      </c>
      <c r="AA21" s="88">
        <v>86.537800785370933</v>
      </c>
      <c r="AB21" s="144">
        <v>100.62534975043128</v>
      </c>
    </row>
    <row r="22" spans="1:28" s="160" customFormat="1" ht="12" customHeight="1" x14ac:dyDescent="0.2">
      <c r="A22" s="158" t="s">
        <v>18</v>
      </c>
      <c r="B22" s="89">
        <v>173.28114025464592</v>
      </c>
      <c r="C22" s="88">
        <v>96.058023402032092</v>
      </c>
      <c r="D22" s="88">
        <v>77.223116852613998</v>
      </c>
      <c r="E22" s="89">
        <v>5.6504719648254165</v>
      </c>
      <c r="F22" s="88">
        <v>5.6504719648254165</v>
      </c>
      <c r="G22" s="103">
        <v>0</v>
      </c>
      <c r="H22" s="89">
        <v>167.63066828982053</v>
      </c>
      <c r="I22" s="88">
        <v>90.407551437206664</v>
      </c>
      <c r="J22" s="144">
        <v>77.223116852613998</v>
      </c>
      <c r="K22" s="88">
        <v>179.12622051617848</v>
      </c>
      <c r="L22" s="88">
        <v>99.298230938316124</v>
      </c>
      <c r="M22" s="88">
        <v>79.827989577861985</v>
      </c>
      <c r="N22" s="89">
        <v>5.8410724081362435</v>
      </c>
      <c r="O22" s="88">
        <v>5.8410724081362435</v>
      </c>
      <c r="P22" s="103">
        <v>0</v>
      </c>
      <c r="Q22" s="89">
        <v>173.28514810804219</v>
      </c>
      <c r="R22" s="88">
        <v>93.457158530179882</v>
      </c>
      <c r="S22" s="144">
        <v>79.827989577861985</v>
      </c>
      <c r="T22" s="88">
        <v>185.15064354079379</v>
      </c>
      <c r="U22" s="88">
        <v>102.6378567454399</v>
      </c>
      <c r="V22" s="88">
        <v>82.512786795353691</v>
      </c>
      <c r="W22" s="89">
        <v>6.0375209850258837</v>
      </c>
      <c r="X22" s="88">
        <v>6.0375209850258837</v>
      </c>
      <c r="Y22" s="103">
        <v>0</v>
      </c>
      <c r="Z22" s="89">
        <v>179.11312255576789</v>
      </c>
      <c r="AA22" s="88">
        <v>96.60033576041404</v>
      </c>
      <c r="AB22" s="144">
        <v>82.512786795353691</v>
      </c>
    </row>
    <row r="23" spans="1:28" s="160" customFormat="1" ht="12" customHeight="1" x14ac:dyDescent="0.2">
      <c r="A23" s="158" t="s">
        <v>19</v>
      </c>
      <c r="B23" s="89">
        <v>48.970757028486915</v>
      </c>
      <c r="C23" s="88">
        <v>22.601887859301666</v>
      </c>
      <c r="D23" s="88">
        <v>26.368869169185277</v>
      </c>
      <c r="E23" s="102">
        <v>0</v>
      </c>
      <c r="F23" s="103">
        <v>0</v>
      </c>
      <c r="G23" s="103">
        <v>0</v>
      </c>
      <c r="H23" s="89">
        <v>48.970757028486915</v>
      </c>
      <c r="I23" s="88">
        <v>22.601887859301666</v>
      </c>
      <c r="J23" s="144">
        <v>26.368869169185277</v>
      </c>
      <c r="K23" s="88">
        <v>50.622627537180769</v>
      </c>
      <c r="L23" s="88">
        <v>23.36428963254497</v>
      </c>
      <c r="M23" s="88">
        <v>27.258337904635798</v>
      </c>
      <c r="N23" s="102">
        <v>0</v>
      </c>
      <c r="O23" s="103">
        <v>0</v>
      </c>
      <c r="P23" s="103">
        <v>0</v>
      </c>
      <c r="Q23" s="89">
        <v>50.622627537180769</v>
      </c>
      <c r="R23" s="88">
        <v>23.36428963254497</v>
      </c>
      <c r="S23" s="144">
        <v>27.258337904635798</v>
      </c>
      <c r="T23" s="88">
        <v>52.325181870224334</v>
      </c>
      <c r="U23" s="88">
        <v>24.150083940103539</v>
      </c>
      <c r="V23" s="88">
        <v>28.175097930120796</v>
      </c>
      <c r="W23" s="102">
        <v>0</v>
      </c>
      <c r="X23" s="103">
        <v>0</v>
      </c>
      <c r="Y23" s="103">
        <v>0</v>
      </c>
      <c r="Z23" s="89">
        <v>52.325181870224334</v>
      </c>
      <c r="AA23" s="88">
        <v>24.150083940103539</v>
      </c>
      <c r="AB23" s="144">
        <v>28.175097930120796</v>
      </c>
    </row>
    <row r="24" spans="1:28" s="160" customFormat="1" ht="12" customHeight="1" x14ac:dyDescent="0.2">
      <c r="A24" s="158" t="s">
        <v>20</v>
      </c>
      <c r="B24" s="89">
        <v>47.087266373545113</v>
      </c>
      <c r="C24" s="88">
        <v>22.601887859301666</v>
      </c>
      <c r="D24" s="88">
        <v>24.485378514243472</v>
      </c>
      <c r="E24" s="89">
        <v>1.8834906549418056</v>
      </c>
      <c r="F24" s="103">
        <v>0</v>
      </c>
      <c r="G24" s="88">
        <v>1.8834906549418056</v>
      </c>
      <c r="H24" s="89">
        <v>45.20377571860331</v>
      </c>
      <c r="I24" s="88">
        <v>22.601887859301666</v>
      </c>
      <c r="J24" s="144">
        <v>22.601887859301666</v>
      </c>
      <c r="K24" s="88">
        <v>48.675603401135355</v>
      </c>
      <c r="L24" s="88">
        <v>23.36428963254497</v>
      </c>
      <c r="M24" s="88">
        <v>25.311313768590384</v>
      </c>
      <c r="N24" s="89">
        <v>1.9470241360454146</v>
      </c>
      <c r="O24" s="103">
        <v>0</v>
      </c>
      <c r="P24" s="88">
        <v>1.9470241360454146</v>
      </c>
      <c r="Q24" s="89">
        <v>46.728579265089941</v>
      </c>
      <c r="R24" s="88">
        <v>23.36428963254497</v>
      </c>
      <c r="S24" s="144">
        <v>23.36428963254497</v>
      </c>
      <c r="T24" s="88">
        <v>50.312674875215706</v>
      </c>
      <c r="U24" s="88">
        <v>24.150083940103539</v>
      </c>
      <c r="V24" s="88">
        <v>26.162590935112167</v>
      </c>
      <c r="W24" s="89">
        <v>2.0125069950086281</v>
      </c>
      <c r="X24" s="103">
        <v>0</v>
      </c>
      <c r="Y24" s="88">
        <v>2.0125069950086281</v>
      </c>
      <c r="Z24" s="89">
        <v>48.300167880207077</v>
      </c>
      <c r="AA24" s="88">
        <v>24.150083940103539</v>
      </c>
      <c r="AB24" s="144">
        <v>24.150083940103539</v>
      </c>
    </row>
    <row r="25" spans="1:28" s="160" customFormat="1" ht="12" customHeight="1" thickBot="1" x14ac:dyDescent="0.25">
      <c r="A25" s="161" t="s">
        <v>21</v>
      </c>
      <c r="B25" s="95">
        <v>13.184434584592639</v>
      </c>
      <c r="C25" s="94">
        <v>3.7669813098836111</v>
      </c>
      <c r="D25" s="94">
        <v>9.4174532747090272</v>
      </c>
      <c r="E25" s="107">
        <v>0</v>
      </c>
      <c r="F25" s="106">
        <v>0</v>
      </c>
      <c r="G25" s="106">
        <v>0</v>
      </c>
      <c r="H25" s="95">
        <v>13.184434584592639</v>
      </c>
      <c r="I25" s="94">
        <v>3.7669813098836111</v>
      </c>
      <c r="J25" s="162">
        <v>9.4174532747090272</v>
      </c>
      <c r="K25" s="94">
        <v>13.629168952317901</v>
      </c>
      <c r="L25" s="94">
        <v>3.8940482720908292</v>
      </c>
      <c r="M25" s="94">
        <v>9.7351206802270731</v>
      </c>
      <c r="N25" s="107">
        <v>0</v>
      </c>
      <c r="O25" s="106">
        <v>0</v>
      </c>
      <c r="P25" s="106">
        <v>0</v>
      </c>
      <c r="Q25" s="95">
        <v>13.629168952317901</v>
      </c>
      <c r="R25" s="94">
        <v>3.8940482720908292</v>
      </c>
      <c r="S25" s="162">
        <v>9.7351206802270731</v>
      </c>
      <c r="T25" s="94">
        <v>14.087548965060398</v>
      </c>
      <c r="U25" s="94">
        <v>4.0250139900172561</v>
      </c>
      <c r="V25" s="94">
        <v>10.062534975043141</v>
      </c>
      <c r="W25" s="107">
        <v>0</v>
      </c>
      <c r="X25" s="106">
        <v>0</v>
      </c>
      <c r="Y25" s="106">
        <v>0</v>
      </c>
      <c r="Z25" s="95">
        <v>14.087548965060398</v>
      </c>
      <c r="AA25" s="94">
        <v>4.0250139900172561</v>
      </c>
      <c r="AB25" s="162">
        <v>10.062534975043141</v>
      </c>
    </row>
    <row r="26" spans="1:28" s="160" customFormat="1" ht="12" customHeight="1" x14ac:dyDescent="0.2">
      <c r="A26" s="130" t="s">
        <v>69</v>
      </c>
      <c r="B26" s="132">
        <v>29178.060602943075</v>
      </c>
      <c r="C26" s="130">
        <v>14917.044334287659</v>
      </c>
      <c r="D26" s="130">
        <v>14261.016268660187</v>
      </c>
      <c r="E26" s="132">
        <v>1145.4265937482326</v>
      </c>
      <c r="F26" s="130">
        <v>582.1911505954273</v>
      </c>
      <c r="G26" s="130">
        <v>563.23544315281026</v>
      </c>
      <c r="H26" s="132">
        <v>28032.63400919448</v>
      </c>
      <c r="I26" s="130">
        <v>14334.853183692279</v>
      </c>
      <c r="J26" s="163">
        <v>13697.780825507474</v>
      </c>
      <c r="K26" s="130">
        <v>30162.288348969196</v>
      </c>
      <c r="L26" s="130">
        <v>15420.22270251694</v>
      </c>
      <c r="M26" s="130">
        <v>14742.065646442401</v>
      </c>
      <c r="N26" s="132">
        <v>1184.0638647421372</v>
      </c>
      <c r="O26" s="130">
        <v>601.8294909121081</v>
      </c>
      <c r="P26" s="130">
        <v>582.2343738300267</v>
      </c>
      <c r="Q26" s="132">
        <v>28978.224484226288</v>
      </c>
      <c r="R26" s="130">
        <v>14818.393211605066</v>
      </c>
      <c r="S26" s="163">
        <v>14159.831272612606</v>
      </c>
      <c r="T26" s="130">
        <v>31176.714845987513</v>
      </c>
      <c r="U26" s="130">
        <v>15938.839934691132</v>
      </c>
      <c r="V26" s="130">
        <v>15237.874911300847</v>
      </c>
      <c r="W26" s="132">
        <v>1223.8866309949776</v>
      </c>
      <c r="X26" s="130">
        <v>622.07038826089433</v>
      </c>
      <c r="Y26" s="130">
        <v>601.81624273407056</v>
      </c>
      <c r="Z26" s="132">
        <v>29952.828214993155</v>
      </c>
      <c r="AA26" s="130">
        <v>15316.769546430327</v>
      </c>
      <c r="AB26" s="163">
        <v>14636.058668566851</v>
      </c>
    </row>
    <row r="27" spans="1:28" s="160" customFormat="1" ht="12" customHeight="1" x14ac:dyDescent="0.2">
      <c r="A27" s="159" t="s">
        <v>22</v>
      </c>
      <c r="B27" s="89">
        <v>938.68396151532716</v>
      </c>
      <c r="C27" s="88">
        <v>457.4297477435091</v>
      </c>
      <c r="D27" s="88">
        <v>481.25421377181692</v>
      </c>
      <c r="E27" s="89">
        <v>54.00212299749726</v>
      </c>
      <c r="F27" s="88">
        <v>17.471275087425585</v>
      </c>
      <c r="G27" s="88">
        <v>36.530847910071678</v>
      </c>
      <c r="H27" s="89">
        <v>884.68183851782942</v>
      </c>
      <c r="I27" s="88">
        <v>439.95847265608336</v>
      </c>
      <c r="J27" s="144">
        <v>444.72336586174492</v>
      </c>
      <c r="K27" s="88">
        <v>970.34743676258506</v>
      </c>
      <c r="L27" s="88">
        <v>472.85966461526436</v>
      </c>
      <c r="M27" s="88">
        <v>497.48777214730916</v>
      </c>
      <c r="N27" s="89">
        <v>55.823710405969102</v>
      </c>
      <c r="O27" s="88">
        <v>18.060612190166459</v>
      </c>
      <c r="P27" s="88">
        <v>37.763098215802607</v>
      </c>
      <c r="Q27" s="89">
        <v>914.52372635661493</v>
      </c>
      <c r="R27" s="88">
        <v>454.79905242509818</v>
      </c>
      <c r="S27" s="144">
        <v>459.72467393150714</v>
      </c>
      <c r="T27" s="88">
        <v>1002.9824324827174</v>
      </c>
      <c r="U27" s="88">
        <v>488.76301278345608</v>
      </c>
      <c r="V27" s="88">
        <v>514.21941969926104</v>
      </c>
      <c r="W27" s="89">
        <v>57.701189009157808</v>
      </c>
      <c r="X27" s="88">
        <v>18.668031738256939</v>
      </c>
      <c r="Y27" s="88">
        <v>39.033157270900873</v>
      </c>
      <c r="Z27" s="89">
        <v>945.28124347355936</v>
      </c>
      <c r="AA27" s="88">
        <v>470.09498104519906</v>
      </c>
      <c r="AB27" s="144">
        <v>475.18626242836007</v>
      </c>
    </row>
    <row r="28" spans="1:28" s="160" customFormat="1" ht="12" customHeight="1" thickBot="1" x14ac:dyDescent="0.25">
      <c r="A28" s="138" t="s">
        <v>23</v>
      </c>
      <c r="B28" s="139">
        <v>26196.561487893945</v>
      </c>
      <c r="C28" s="138">
        <v>13014.873037290556</v>
      </c>
      <c r="D28" s="138">
        <v>13181.688450601501</v>
      </c>
      <c r="E28" s="139">
        <v>1460.705624413692</v>
      </c>
      <c r="F28" s="138">
        <v>676.94998929857604</v>
      </c>
      <c r="G28" s="138">
        <v>783.75563511510154</v>
      </c>
      <c r="H28" s="139">
        <v>24735.855863480047</v>
      </c>
      <c r="I28" s="138">
        <v>12337.923047991871</v>
      </c>
      <c r="J28" s="145">
        <v>12397.93281548622</v>
      </c>
      <c r="K28" s="138">
        <v>27080.217979578418</v>
      </c>
      <c r="L28" s="138">
        <v>13453.887793223605</v>
      </c>
      <c r="M28" s="138">
        <v>13626.330186356192</v>
      </c>
      <c r="N28" s="139">
        <v>1509.9778164169331</v>
      </c>
      <c r="O28" s="138">
        <v>699.78471334690096</v>
      </c>
      <c r="P28" s="138">
        <v>810.19310307003877</v>
      </c>
      <c r="Q28" s="139">
        <v>25570.240163161798</v>
      </c>
      <c r="R28" s="138">
        <v>12754.103079876608</v>
      </c>
      <c r="S28" s="145">
        <v>12816.137083286008</v>
      </c>
      <c r="T28" s="138">
        <v>27990.987426047621</v>
      </c>
      <c r="U28" s="138">
        <v>13906.372701119373</v>
      </c>
      <c r="V28" s="138">
        <v>14084.614724928964</v>
      </c>
      <c r="W28" s="139">
        <v>1560.7618116224564</v>
      </c>
      <c r="X28" s="138">
        <v>723.32006806612173</v>
      </c>
      <c r="Y28" s="138">
        <v>837.4417435563671</v>
      </c>
      <c r="Z28" s="139">
        <v>26430.225614425017</v>
      </c>
      <c r="AA28" s="138">
        <v>13183.052633053301</v>
      </c>
      <c r="AB28" s="145">
        <v>13247.172981372656</v>
      </c>
    </row>
    <row r="29" spans="1:28" x14ac:dyDescent="0.2">
      <c r="A29" s="281" t="s">
        <v>91</v>
      </c>
      <c r="B29" s="195"/>
    </row>
    <row r="33" spans="5:5" x14ac:dyDescent="0.2">
      <c r="E33" s="167"/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9"/>
  <sheetViews>
    <sheetView workbookViewId="0">
      <selection activeCell="A29" sqref="A29"/>
    </sheetView>
  </sheetViews>
  <sheetFormatPr defaultRowHeight="12" x14ac:dyDescent="0.2"/>
  <cols>
    <col min="1" max="1" width="16.85546875" style="22" customWidth="1"/>
    <col min="2" max="16384" width="9.140625" style="22"/>
  </cols>
  <sheetData>
    <row r="1" spans="1:28" ht="15.75" customHeight="1" thickBot="1" x14ac:dyDescent="0.25">
      <c r="A1" s="283" t="s">
        <v>82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</row>
    <row r="2" spans="1:28" ht="15.75" customHeight="1" x14ac:dyDescent="0.2">
      <c r="A2" s="284" t="s">
        <v>36</v>
      </c>
      <c r="B2" s="285"/>
      <c r="C2" s="285"/>
      <c r="D2" s="285"/>
      <c r="E2" s="285"/>
      <c r="F2" s="285"/>
      <c r="G2" s="285"/>
      <c r="H2" s="285"/>
      <c r="I2" s="285"/>
      <c r="J2" s="286"/>
      <c r="K2" s="285" t="s">
        <v>37</v>
      </c>
      <c r="L2" s="285"/>
      <c r="M2" s="285"/>
      <c r="N2" s="285"/>
      <c r="O2" s="285"/>
      <c r="P2" s="285"/>
      <c r="Q2" s="285"/>
      <c r="R2" s="285"/>
      <c r="S2" s="286"/>
      <c r="T2" s="285" t="s">
        <v>38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25">
      <c r="A3" s="294" t="s">
        <v>64</v>
      </c>
      <c r="B3" s="186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7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7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8" ht="15.75" customHeight="1" thickBot="1" x14ac:dyDescent="0.25">
      <c r="A4" s="288"/>
      <c r="B4" s="194" t="s">
        <v>1</v>
      </c>
      <c r="C4" s="5" t="s">
        <v>34</v>
      </c>
      <c r="D4" s="6" t="s">
        <v>35</v>
      </c>
      <c r="E4" s="81" t="s">
        <v>1</v>
      </c>
      <c r="F4" s="5" t="s">
        <v>34</v>
      </c>
      <c r="G4" s="6" t="s">
        <v>35</v>
      </c>
      <c r="H4" s="81" t="s">
        <v>1</v>
      </c>
      <c r="I4" s="5" t="s">
        <v>34</v>
      </c>
      <c r="J4" s="82" t="s">
        <v>35</v>
      </c>
      <c r="K4" s="83" t="s">
        <v>1</v>
      </c>
      <c r="L4" s="5" t="s">
        <v>34</v>
      </c>
      <c r="M4" s="5" t="s">
        <v>35</v>
      </c>
      <c r="N4" s="4" t="s">
        <v>1</v>
      </c>
      <c r="O4" s="5" t="s">
        <v>34</v>
      </c>
      <c r="P4" s="6" t="s">
        <v>35</v>
      </c>
      <c r="Q4" s="81" t="s">
        <v>1</v>
      </c>
      <c r="R4" s="5" t="s">
        <v>34</v>
      </c>
      <c r="S4" s="82" t="s">
        <v>35</v>
      </c>
      <c r="T4" s="83" t="s">
        <v>1</v>
      </c>
      <c r="U4" s="5" t="s">
        <v>34</v>
      </c>
      <c r="V4" s="5" t="s">
        <v>35</v>
      </c>
      <c r="W4" s="4" t="s">
        <v>1</v>
      </c>
      <c r="X4" s="5" t="s">
        <v>34</v>
      </c>
      <c r="Y4" s="6" t="s">
        <v>35</v>
      </c>
      <c r="Z4" s="81" t="s">
        <v>1</v>
      </c>
      <c r="AA4" s="5" t="s">
        <v>34</v>
      </c>
      <c r="AB4" s="82" t="s">
        <v>35</v>
      </c>
    </row>
    <row r="5" spans="1:28" ht="15.75" customHeight="1" thickBot="1" x14ac:dyDescent="0.25">
      <c r="A5" s="14" t="s">
        <v>27</v>
      </c>
      <c r="B5" s="10">
        <f>+SUM(B6:B25)</f>
        <v>43117.318837379011</v>
      </c>
      <c r="C5" s="15">
        <f t="shared" ref="C5:AB5" si="0">+SUM(C6:C25)</f>
        <v>20970.274227413101</v>
      </c>
      <c r="D5" s="9">
        <f t="shared" si="0"/>
        <v>22147.044609966102</v>
      </c>
      <c r="E5" s="15">
        <f t="shared" si="0"/>
        <v>7577.5038800499924</v>
      </c>
      <c r="F5" s="15">
        <f t="shared" si="0"/>
        <v>3658.4282520065158</v>
      </c>
      <c r="G5" s="9">
        <f t="shared" si="0"/>
        <v>3919.0756280435021</v>
      </c>
      <c r="H5" s="15">
        <f t="shared" si="0"/>
        <v>35539.814957329327</v>
      </c>
      <c r="I5" s="15">
        <f t="shared" si="0"/>
        <v>17311.845975406603</v>
      </c>
      <c r="J5" s="274">
        <f t="shared" si="0"/>
        <v>18227.968981922571</v>
      </c>
      <c r="K5" s="15">
        <f t="shared" si="0"/>
        <v>44571.742491888755</v>
      </c>
      <c r="L5" s="15">
        <f t="shared" si="0"/>
        <v>21677.638778370267</v>
      </c>
      <c r="M5" s="9">
        <f t="shared" si="0"/>
        <v>22894.103713517383</v>
      </c>
      <c r="N5" s="15">
        <f t="shared" si="0"/>
        <v>7833.106528415964</v>
      </c>
      <c r="O5" s="15">
        <f t="shared" si="0"/>
        <v>3781.83352699839</v>
      </c>
      <c r="P5" s="15">
        <f t="shared" si="0"/>
        <v>4051.2730014175518</v>
      </c>
      <c r="Q5" s="10">
        <f t="shared" si="0"/>
        <v>36738.635963472618</v>
      </c>
      <c r="R5" s="15">
        <f t="shared" si="0"/>
        <v>17895.805251371799</v>
      </c>
      <c r="S5" s="274">
        <f t="shared" si="0"/>
        <v>18842.830712099756</v>
      </c>
      <c r="T5" s="15">
        <f t="shared" si="0"/>
        <v>46070.791770890355</v>
      </c>
      <c r="U5" s="15">
        <f t="shared" si="0"/>
        <v>22406.707173825791</v>
      </c>
      <c r="V5" s="15">
        <f t="shared" si="0"/>
        <v>23664.084597065441</v>
      </c>
      <c r="W5" s="10">
        <f t="shared" si="0"/>
        <v>8096.551752616434</v>
      </c>
      <c r="X5" s="15">
        <f t="shared" si="0"/>
        <v>3909.0252073099728</v>
      </c>
      <c r="Y5" s="15">
        <f t="shared" si="0"/>
        <v>4187.5265453064148</v>
      </c>
      <c r="Z5" s="10">
        <f t="shared" si="0"/>
        <v>37974.24001827441</v>
      </c>
      <c r="AA5" s="15">
        <f t="shared" si="0"/>
        <v>18497.681966515793</v>
      </c>
      <c r="AB5" s="274">
        <f t="shared" si="0"/>
        <v>19476.558051759013</v>
      </c>
    </row>
    <row r="6" spans="1:28" ht="12" customHeight="1" x14ac:dyDescent="0.2">
      <c r="A6" s="157" t="s">
        <v>2</v>
      </c>
      <c r="B6" s="89">
        <v>8220.0314935361384</v>
      </c>
      <c r="C6" s="88">
        <v>4075.7927766319658</v>
      </c>
      <c r="D6" s="88">
        <v>4144.2387169032836</v>
      </c>
      <c r="E6" s="89">
        <v>1075.5790614063114</v>
      </c>
      <c r="F6" s="88">
        <v>516.60388252394796</v>
      </c>
      <c r="G6" s="90">
        <v>558.97517888237758</v>
      </c>
      <c r="H6" s="88">
        <v>7144.4524321296394</v>
      </c>
      <c r="I6" s="88">
        <v>3559.1888941080715</v>
      </c>
      <c r="J6" s="144">
        <v>3585.2635380209495</v>
      </c>
      <c r="K6" s="88">
        <v>8497.3077381491057</v>
      </c>
      <c r="L6" s="88">
        <v>4213.2764974442225</v>
      </c>
      <c r="M6" s="88">
        <v>4284.0312407039992</v>
      </c>
      <c r="N6" s="89">
        <v>1111.8602512248176</v>
      </c>
      <c r="O6" s="88">
        <v>534.02984793676444</v>
      </c>
      <c r="P6" s="90">
        <v>577.83040328804589</v>
      </c>
      <c r="Q6" s="88">
        <v>7385.4474869242094</v>
      </c>
      <c r="R6" s="88">
        <v>3679.2466495074491</v>
      </c>
      <c r="S6" s="144">
        <v>3706.2008374159282</v>
      </c>
      <c r="T6" s="88">
        <v>8783.091562747486</v>
      </c>
      <c r="U6" s="88">
        <v>4354.978588110479</v>
      </c>
      <c r="V6" s="88">
        <v>4428.1129746361394</v>
      </c>
      <c r="W6" s="89">
        <v>1149.2546454030185</v>
      </c>
      <c r="X6" s="88">
        <v>551.99048877690097</v>
      </c>
      <c r="Y6" s="90">
        <v>597.26415662611043</v>
      </c>
      <c r="Z6" s="88">
        <v>7633.8369173442525</v>
      </c>
      <c r="AA6" s="88">
        <v>3802.9880993335478</v>
      </c>
      <c r="AB6" s="144">
        <v>3830.8488180099826</v>
      </c>
    </row>
    <row r="7" spans="1:28" ht="12" customHeight="1" x14ac:dyDescent="0.2">
      <c r="A7" s="157" t="s">
        <v>3</v>
      </c>
      <c r="B7" s="89">
        <v>6841.3932244033531</v>
      </c>
      <c r="C7" s="88">
        <v>3430.2739242286534</v>
      </c>
      <c r="D7" s="88">
        <v>3411.1193001752581</v>
      </c>
      <c r="E7" s="89">
        <v>1050.3118855944285</v>
      </c>
      <c r="F7" s="88">
        <v>513.98241209939988</v>
      </c>
      <c r="G7" s="90">
        <v>536.32947349502615</v>
      </c>
      <c r="H7" s="88">
        <v>5791.0813388091428</v>
      </c>
      <c r="I7" s="88">
        <v>2916.2915121292126</v>
      </c>
      <c r="J7" s="144">
        <v>2874.7898266801894</v>
      </c>
      <c r="K7" s="88">
        <v>7072.1655544948972</v>
      </c>
      <c r="L7" s="88">
        <v>3545.983148998846</v>
      </c>
      <c r="M7" s="88">
        <v>3526.1824054958265</v>
      </c>
      <c r="N7" s="89">
        <v>1085.7407687488087</v>
      </c>
      <c r="O7" s="88">
        <v>531.31995066430591</v>
      </c>
      <c r="P7" s="90">
        <v>554.4208180844937</v>
      </c>
      <c r="Q7" s="88">
        <v>5986.4247857459959</v>
      </c>
      <c r="R7" s="88">
        <v>3014.6631983344901</v>
      </c>
      <c r="S7" s="144">
        <v>2971.7615874112812</v>
      </c>
      <c r="T7" s="88">
        <v>7310.0185995567936</v>
      </c>
      <c r="U7" s="88">
        <v>3665.2426435952766</v>
      </c>
      <c r="V7" s="88">
        <v>3644.7759559623573</v>
      </c>
      <c r="W7" s="89">
        <v>1122.2567052050567</v>
      </c>
      <c r="X7" s="88">
        <v>549.18945148331704</v>
      </c>
      <c r="Y7" s="90">
        <v>573.06725372172286</v>
      </c>
      <c r="Z7" s="88">
        <v>6187.7618943520192</v>
      </c>
      <c r="AA7" s="88">
        <v>3116.0531921119427</v>
      </c>
      <c r="AB7" s="144">
        <v>3071.7087022406176</v>
      </c>
    </row>
    <row r="8" spans="1:28" ht="12" customHeight="1" x14ac:dyDescent="0.2">
      <c r="A8" s="157" t="s">
        <v>4</v>
      </c>
      <c r="B8" s="89">
        <v>6368.9124977530701</v>
      </c>
      <c r="C8" s="88">
        <v>3104.6453153209332</v>
      </c>
      <c r="D8" s="88">
        <v>3264.2671824325607</v>
      </c>
      <c r="E8" s="89">
        <v>1237.0694701150062</v>
      </c>
      <c r="F8" s="88">
        <v>561.86897223288474</v>
      </c>
      <c r="G8" s="90">
        <v>675.20049788213225</v>
      </c>
      <c r="H8" s="88">
        <v>5131.8430276383087</v>
      </c>
      <c r="I8" s="88">
        <v>2542.7763430880041</v>
      </c>
      <c r="J8" s="144">
        <v>2589.0666845503761</v>
      </c>
      <c r="K8" s="88">
        <v>6583.7472147537501</v>
      </c>
      <c r="L8" s="88">
        <v>3209.3705094475149</v>
      </c>
      <c r="M8" s="88">
        <v>3374.3767053060105</v>
      </c>
      <c r="N8" s="89">
        <v>1278.798017903222</v>
      </c>
      <c r="O8" s="88">
        <v>580.82180942185119</v>
      </c>
      <c r="P8" s="90">
        <v>697.97620848137501</v>
      </c>
      <c r="Q8" s="88">
        <v>5304.949196850409</v>
      </c>
      <c r="R8" s="88">
        <v>2628.5487000256103</v>
      </c>
      <c r="S8" s="144">
        <v>2676.400496824574</v>
      </c>
      <c r="T8" s="88">
        <v>6805.1736379449194</v>
      </c>
      <c r="U8" s="88">
        <v>3317.3089538356489</v>
      </c>
      <c r="V8" s="88">
        <v>3487.8646841099762</v>
      </c>
      <c r="W8" s="89">
        <v>1321.8069096260197</v>
      </c>
      <c r="X8" s="88">
        <v>600.35617056561523</v>
      </c>
      <c r="Y8" s="90">
        <v>721.4507390603876</v>
      </c>
      <c r="Z8" s="88">
        <v>5483.3667283192353</v>
      </c>
      <c r="AA8" s="88">
        <v>2716.9527832700169</v>
      </c>
      <c r="AB8" s="144">
        <v>2766.4139450495718</v>
      </c>
    </row>
    <row r="9" spans="1:28" ht="12" customHeight="1" x14ac:dyDescent="0.2">
      <c r="A9" s="157" t="s">
        <v>5</v>
      </c>
      <c r="B9" s="89">
        <v>5262.0303967851269</v>
      </c>
      <c r="C9" s="88">
        <v>2695.3412566691313</v>
      </c>
      <c r="D9" s="88">
        <v>2566.6891401162875</v>
      </c>
      <c r="E9" s="89">
        <v>1164.2222399166412</v>
      </c>
      <c r="F9" s="88">
        <v>578.14037562026874</v>
      </c>
      <c r="G9" s="90">
        <v>586.08186429637135</v>
      </c>
      <c r="H9" s="88">
        <v>4097.8081568686512</v>
      </c>
      <c r="I9" s="88">
        <v>2117.2008810489442</v>
      </c>
      <c r="J9" s="144">
        <v>1980.6072758199894</v>
      </c>
      <c r="K9" s="88">
        <v>5439.52801691083</v>
      </c>
      <c r="L9" s="88">
        <v>2786.2598987919623</v>
      </c>
      <c r="M9" s="88">
        <v>2653.268118118925</v>
      </c>
      <c r="N9" s="89">
        <v>1203.4935213992715</v>
      </c>
      <c r="O9" s="88">
        <v>597.64207611096094</v>
      </c>
      <c r="P9" s="90">
        <v>605.85144528830949</v>
      </c>
      <c r="Q9" s="88">
        <v>4236.0344955116161</v>
      </c>
      <c r="R9" s="88">
        <v>2188.6178226810293</v>
      </c>
      <c r="S9" s="144">
        <v>2047.4166728306438</v>
      </c>
      <c r="T9" s="88">
        <v>5622.4717408041342</v>
      </c>
      <c r="U9" s="88">
        <v>2879.9681690747407</v>
      </c>
      <c r="V9" s="88">
        <v>2742.5035717293936</v>
      </c>
      <c r="W9" s="89">
        <v>1243.9697512856715</v>
      </c>
      <c r="X9" s="88">
        <v>617.74214115686812</v>
      </c>
      <c r="Y9" s="90">
        <v>626.22761012880312</v>
      </c>
      <c r="Z9" s="88">
        <v>4378.5019895184623</v>
      </c>
      <c r="AA9" s="88">
        <v>2262.2260279178722</v>
      </c>
      <c r="AB9" s="144">
        <v>2116.2759616005901</v>
      </c>
    </row>
    <row r="10" spans="1:28" ht="12" customHeight="1" x14ac:dyDescent="0.2">
      <c r="A10" s="157" t="s">
        <v>6</v>
      </c>
      <c r="B10" s="89">
        <v>3959.1063150517443</v>
      </c>
      <c r="C10" s="88">
        <v>1898.8961604205897</v>
      </c>
      <c r="D10" s="88">
        <v>2060.2101546310828</v>
      </c>
      <c r="E10" s="89">
        <v>777.37981971908448</v>
      </c>
      <c r="F10" s="88">
        <v>391.76255736831519</v>
      </c>
      <c r="G10" s="90">
        <v>385.61726235077305</v>
      </c>
      <c r="H10" s="88">
        <v>3181.7264953326062</v>
      </c>
      <c r="I10" s="88">
        <v>1507.1336030522493</v>
      </c>
      <c r="J10" s="144">
        <v>1674.592892280285</v>
      </c>
      <c r="K10" s="88">
        <v>4092.653994512752</v>
      </c>
      <c r="L10" s="88">
        <v>1962.9492965532932</v>
      </c>
      <c r="M10" s="88">
        <v>2129.7046979595148</v>
      </c>
      <c r="N10" s="89">
        <v>803.60222011002236</v>
      </c>
      <c r="O10" s="88">
        <v>404.97740341512502</v>
      </c>
      <c r="P10" s="90">
        <v>398.62481669488778</v>
      </c>
      <c r="Q10" s="88">
        <v>3289.0517744027698</v>
      </c>
      <c r="R10" s="88">
        <v>1557.9718931381835</v>
      </c>
      <c r="S10" s="144">
        <v>1731.0798812646422</v>
      </c>
      <c r="T10" s="88">
        <v>4230.2992755066361</v>
      </c>
      <c r="U10" s="88">
        <v>2028.9677549577998</v>
      </c>
      <c r="V10" s="88">
        <v>2201.3315205488693</v>
      </c>
      <c r="W10" s="89">
        <v>830.6291941817808</v>
      </c>
      <c r="X10" s="88">
        <v>418.59771643548191</v>
      </c>
      <c r="Y10" s="90">
        <v>412.03147774629787</v>
      </c>
      <c r="Z10" s="88">
        <v>3399.6700813248749</v>
      </c>
      <c r="AA10" s="88">
        <v>1610.3700385223458</v>
      </c>
      <c r="AB10" s="144">
        <v>1789.3000428025987</v>
      </c>
    </row>
    <row r="11" spans="1:28" ht="12" customHeight="1" x14ac:dyDescent="0.2">
      <c r="A11" s="158" t="s">
        <v>7</v>
      </c>
      <c r="B11" s="89">
        <v>2871.3890969467052</v>
      </c>
      <c r="C11" s="88">
        <v>1308.9478387365007</v>
      </c>
      <c r="D11" s="88">
        <v>1562.4412582101327</v>
      </c>
      <c r="E11" s="89">
        <v>589.94832168404923</v>
      </c>
      <c r="F11" s="88">
        <v>265.78400950870133</v>
      </c>
      <c r="G11" s="90">
        <v>324.16431217535165</v>
      </c>
      <c r="H11" s="88">
        <v>2281.4407752626162</v>
      </c>
      <c r="I11" s="88">
        <v>1043.1638292277835</v>
      </c>
      <c r="J11" s="144">
        <v>1238.2769460347608</v>
      </c>
      <c r="K11" s="88">
        <v>2968.2461450308006</v>
      </c>
      <c r="L11" s="88">
        <v>1353.1009714105398</v>
      </c>
      <c r="M11" s="88">
        <v>1615.1451736203167</v>
      </c>
      <c r="N11" s="89">
        <v>609.84832514277957</v>
      </c>
      <c r="O11" s="88">
        <v>274.74937565026158</v>
      </c>
      <c r="P11" s="90">
        <v>335.09894949251537</v>
      </c>
      <c r="Q11" s="88">
        <v>2358.3978198880473</v>
      </c>
      <c r="R11" s="88">
        <v>1078.351595760289</v>
      </c>
      <c r="S11" s="144">
        <v>1280.0462241278142</v>
      </c>
      <c r="T11" s="88">
        <v>3068.0750275211035</v>
      </c>
      <c r="U11" s="88">
        <v>1398.6088407961749</v>
      </c>
      <c r="V11" s="88">
        <v>1669.4661867249981</v>
      </c>
      <c r="W11" s="89">
        <v>630.35891416166737</v>
      </c>
      <c r="X11" s="88">
        <v>283.98982330720895</v>
      </c>
      <c r="Y11" s="90">
        <v>346.3690908544574</v>
      </c>
      <c r="Z11" s="88">
        <v>2437.7161133594786</v>
      </c>
      <c r="AA11" s="88">
        <v>1114.6190174889846</v>
      </c>
      <c r="AB11" s="144">
        <v>1323.0970958705636</v>
      </c>
    </row>
    <row r="12" spans="1:28" ht="12" customHeight="1" x14ac:dyDescent="0.2">
      <c r="A12" s="158" t="s">
        <v>8</v>
      </c>
      <c r="B12" s="89">
        <v>2244.9486001090072</v>
      </c>
      <c r="C12" s="88">
        <v>954.97475899299945</v>
      </c>
      <c r="D12" s="88">
        <v>1289.9738411159542</v>
      </c>
      <c r="E12" s="89">
        <v>518.41486916763654</v>
      </c>
      <c r="F12" s="88">
        <v>227.37494261738391</v>
      </c>
      <c r="G12" s="90">
        <v>291.03992655025172</v>
      </c>
      <c r="H12" s="88">
        <v>1726.5337309413499</v>
      </c>
      <c r="I12" s="88">
        <v>727.59981637562294</v>
      </c>
      <c r="J12" s="144">
        <v>998.93391456569225</v>
      </c>
      <c r="K12" s="88">
        <v>2320.6746989294497</v>
      </c>
      <c r="L12" s="88">
        <v>987.18775173907682</v>
      </c>
      <c r="M12" s="88">
        <v>1333.4869471903874</v>
      </c>
      <c r="N12" s="89">
        <v>535.90192237263375</v>
      </c>
      <c r="O12" s="88">
        <v>235.04470279501504</v>
      </c>
      <c r="P12" s="90">
        <v>300.85721957761893</v>
      </c>
      <c r="Q12" s="88">
        <v>1784.7727765567977</v>
      </c>
      <c r="R12" s="88">
        <v>752.14304894405439</v>
      </c>
      <c r="S12" s="144">
        <v>1032.6297276127805</v>
      </c>
      <c r="T12" s="88">
        <v>2398.7242778720652</v>
      </c>
      <c r="U12" s="88">
        <v>1020.3891256309453</v>
      </c>
      <c r="V12" s="88">
        <v>1378.3351522411413</v>
      </c>
      <c r="W12" s="89">
        <v>553.92552534251263</v>
      </c>
      <c r="X12" s="88">
        <v>242.94979181689089</v>
      </c>
      <c r="Y12" s="90">
        <v>310.97573352562063</v>
      </c>
      <c r="Z12" s="88">
        <v>1844.7987525295412</v>
      </c>
      <c r="AA12" s="88">
        <v>777.43933381405327</v>
      </c>
      <c r="AB12" s="144">
        <v>1067.3594187155413</v>
      </c>
    </row>
    <row r="13" spans="1:28" ht="12" customHeight="1" x14ac:dyDescent="0.2">
      <c r="A13" s="158" t="s">
        <v>9</v>
      </c>
      <c r="B13" s="89">
        <v>1723.5020650397846</v>
      </c>
      <c r="C13" s="88">
        <v>817.03396047179103</v>
      </c>
      <c r="D13" s="88">
        <v>906.46810456795913</v>
      </c>
      <c r="E13" s="89">
        <v>389.56906835111857</v>
      </c>
      <c r="F13" s="88">
        <v>207.66911425721054</v>
      </c>
      <c r="G13" s="90">
        <v>181.8999540939069</v>
      </c>
      <c r="H13" s="88">
        <v>1333.9329966886503</v>
      </c>
      <c r="I13" s="88">
        <v>609.36484621458715</v>
      </c>
      <c r="J13" s="144">
        <v>724.56815047405792</v>
      </c>
      <c r="K13" s="88">
        <v>1781.6388471861976</v>
      </c>
      <c r="L13" s="88">
        <v>844.59396537676321</v>
      </c>
      <c r="M13" s="88">
        <v>937.04488180947203</v>
      </c>
      <c r="N13" s="89">
        <v>402.70992412212496</v>
      </c>
      <c r="O13" s="88">
        <v>214.67416188611384</v>
      </c>
      <c r="P13" s="90">
        <v>188.03576223601226</v>
      </c>
      <c r="Q13" s="88">
        <v>1378.9289230640884</v>
      </c>
      <c r="R13" s="88">
        <v>629.91980349064272</v>
      </c>
      <c r="S13" s="144">
        <v>749.00911957345409</v>
      </c>
      <c r="T13" s="88">
        <v>1841.5594219719828</v>
      </c>
      <c r="U13" s="88">
        <v>872.99958526203079</v>
      </c>
      <c r="V13" s="88">
        <v>968.55983671000831</v>
      </c>
      <c r="W13" s="89">
        <v>416.25397664627383</v>
      </c>
      <c r="X13" s="88">
        <v>221.89414319276025</v>
      </c>
      <c r="Y13" s="90">
        <v>194.35983345351249</v>
      </c>
      <c r="Z13" s="88">
        <v>1425.3054453257371</v>
      </c>
      <c r="AA13" s="88">
        <v>651.10544206926943</v>
      </c>
      <c r="AB13" s="144">
        <v>774.20000325649471</v>
      </c>
    </row>
    <row r="14" spans="1:28" ht="12" customHeight="1" x14ac:dyDescent="0.2">
      <c r="A14" s="158" t="s">
        <v>10</v>
      </c>
      <c r="B14" s="89">
        <v>1323.3221660331719</v>
      </c>
      <c r="C14" s="88">
        <v>615.42817801771719</v>
      </c>
      <c r="D14" s="88">
        <v>707.8939880154503</v>
      </c>
      <c r="E14" s="89">
        <v>248.59660392833985</v>
      </c>
      <c r="F14" s="88">
        <v>119.75080311182174</v>
      </c>
      <c r="G14" s="90">
        <v>128.84580081651706</v>
      </c>
      <c r="H14" s="88">
        <v>1074.7255621048216</v>
      </c>
      <c r="I14" s="88">
        <v>495.67737490589826</v>
      </c>
      <c r="J14" s="144">
        <v>579.04818719893694</v>
      </c>
      <c r="K14" s="88">
        <v>1367.9601702669881</v>
      </c>
      <c r="L14" s="88">
        <v>636.18766223184332</v>
      </c>
      <c r="M14" s="88">
        <v>731.77250803515244</v>
      </c>
      <c r="N14" s="89">
        <v>256.98220838921634</v>
      </c>
      <c r="O14" s="88">
        <v>123.79021013870843</v>
      </c>
      <c r="P14" s="90">
        <v>133.19199825050902</v>
      </c>
      <c r="Q14" s="88">
        <v>1110.9779618777823</v>
      </c>
      <c r="R14" s="88">
        <v>512.39745209313151</v>
      </c>
      <c r="S14" s="144">
        <v>598.58050978463973</v>
      </c>
      <c r="T14" s="88">
        <v>1413.9677883742829</v>
      </c>
      <c r="U14" s="88">
        <v>657.58410318438655</v>
      </c>
      <c r="V14" s="88">
        <v>756.38368518992263</v>
      </c>
      <c r="W14" s="89">
        <v>265.62510571980079</v>
      </c>
      <c r="X14" s="88">
        <v>127.95355702356201</v>
      </c>
      <c r="Y14" s="90">
        <v>137.67154869623769</v>
      </c>
      <c r="Z14" s="88">
        <v>1148.3426826544996</v>
      </c>
      <c r="AA14" s="88">
        <v>529.63054616082343</v>
      </c>
      <c r="AB14" s="144">
        <v>618.71213649368383</v>
      </c>
    </row>
    <row r="15" spans="1:28" ht="12" customHeight="1" x14ac:dyDescent="0.2">
      <c r="A15" s="158" t="s">
        <v>11</v>
      </c>
      <c r="B15" s="89">
        <v>1045.0838097996586</v>
      </c>
      <c r="C15" s="88">
        <v>514.22358224585957</v>
      </c>
      <c r="D15" s="88">
        <v>530.86022755381339</v>
      </c>
      <c r="E15" s="89">
        <v>196.61489909400333</v>
      </c>
      <c r="F15" s="88">
        <v>110.4068279527865</v>
      </c>
      <c r="G15" s="90">
        <v>86.208071141216863</v>
      </c>
      <c r="H15" s="88">
        <v>848.46891070565891</v>
      </c>
      <c r="I15" s="88">
        <v>403.81675429307114</v>
      </c>
      <c r="J15" s="144">
        <v>444.65215641259567</v>
      </c>
      <c r="K15" s="88">
        <v>1080.3363406828867</v>
      </c>
      <c r="L15" s="88">
        <v>531.56925590764138</v>
      </c>
      <c r="M15" s="88">
        <v>548.76708477524153</v>
      </c>
      <c r="N15" s="89">
        <v>203.2470684352748</v>
      </c>
      <c r="O15" s="88">
        <v>114.13104612134673</v>
      </c>
      <c r="P15" s="90">
        <v>89.116022313928326</v>
      </c>
      <c r="Q15" s="88">
        <v>877.08927224760805</v>
      </c>
      <c r="R15" s="88">
        <v>417.43820978629486</v>
      </c>
      <c r="S15" s="144">
        <v>459.65106246131342</v>
      </c>
      <c r="T15" s="88">
        <v>1116.6705139065746</v>
      </c>
      <c r="U15" s="88">
        <v>549.44714143015381</v>
      </c>
      <c r="V15" s="88">
        <v>567.22337247642361</v>
      </c>
      <c r="W15" s="89">
        <v>210.08273054682212</v>
      </c>
      <c r="X15" s="88">
        <v>117.96953330706197</v>
      </c>
      <c r="Y15" s="90">
        <v>92.113197239760666</v>
      </c>
      <c r="Z15" s="88">
        <v>906.58778335975614</v>
      </c>
      <c r="AA15" s="88">
        <v>431.47760812309065</v>
      </c>
      <c r="AB15" s="144">
        <v>475.11017523666197</v>
      </c>
    </row>
    <row r="16" spans="1:28" ht="12" customHeight="1" x14ac:dyDescent="0.2">
      <c r="A16" s="158" t="s">
        <v>12</v>
      </c>
      <c r="B16" s="89">
        <v>845.44406610421277</v>
      </c>
      <c r="C16" s="88">
        <v>403.81675429307114</v>
      </c>
      <c r="D16" s="88">
        <v>441.62731181114941</v>
      </c>
      <c r="E16" s="89">
        <v>117.96893945640201</v>
      </c>
      <c r="F16" s="88">
        <v>57.472047427477911</v>
      </c>
      <c r="G16" s="90">
        <v>60.496892028924115</v>
      </c>
      <c r="H16" s="88">
        <v>727.475126647813</v>
      </c>
      <c r="I16" s="88">
        <v>346.34470686559217</v>
      </c>
      <c r="J16" s="144">
        <v>381.13041978222418</v>
      </c>
      <c r="K16" s="88">
        <v>873.96239427168075</v>
      </c>
      <c r="L16" s="88">
        <v>417.43820978629486</v>
      </c>
      <c r="M16" s="88">
        <v>456.52418448538612</v>
      </c>
      <c r="N16" s="89">
        <v>121.94824106116498</v>
      </c>
      <c r="O16" s="88">
        <v>59.410681542618953</v>
      </c>
      <c r="P16" s="90">
        <v>62.537559518546267</v>
      </c>
      <c r="Q16" s="88">
        <v>752.01415321051604</v>
      </c>
      <c r="R16" s="88">
        <v>358.02752824367616</v>
      </c>
      <c r="S16" s="144">
        <v>393.98662496684011</v>
      </c>
      <c r="T16" s="88">
        <v>903.35574135134345</v>
      </c>
      <c r="U16" s="88">
        <v>431.47760812309065</v>
      </c>
      <c r="V16" s="88">
        <v>471.87813322824928</v>
      </c>
      <c r="W16" s="89">
        <v>126.04963832809362</v>
      </c>
      <c r="X16" s="88">
        <v>61.40879815984038</v>
      </c>
      <c r="Y16" s="90">
        <v>64.640840168253035</v>
      </c>
      <c r="Z16" s="88">
        <v>777.30610302324851</v>
      </c>
      <c r="AA16" s="88">
        <v>370.06880996324952</v>
      </c>
      <c r="AB16" s="144">
        <v>407.23729305999547</v>
      </c>
    </row>
    <row r="17" spans="1:28" ht="12" customHeight="1" x14ac:dyDescent="0.2">
      <c r="A17" s="158" t="s">
        <v>13</v>
      </c>
      <c r="B17" s="89">
        <v>530.86022755381339</v>
      </c>
      <c r="C17" s="88">
        <v>255.59936882220433</v>
      </c>
      <c r="D17" s="88">
        <v>275.26085873160503</v>
      </c>
      <c r="E17" s="89">
        <v>72.596270434708941</v>
      </c>
      <c r="F17" s="88">
        <v>22.686334510846557</v>
      </c>
      <c r="G17" s="90">
        <v>49.909935923862399</v>
      </c>
      <c r="H17" s="88">
        <v>458.26395711910385</v>
      </c>
      <c r="I17" s="88">
        <v>232.91303431135779</v>
      </c>
      <c r="J17" s="144">
        <v>225.35092280774228</v>
      </c>
      <c r="K17" s="88">
        <v>548.76708477524153</v>
      </c>
      <c r="L17" s="88">
        <v>264.22118896585715</v>
      </c>
      <c r="M17" s="88">
        <v>284.5458958093846</v>
      </c>
      <c r="N17" s="89">
        <v>75.045071422255475</v>
      </c>
      <c r="O17" s="88">
        <v>23.45158481945484</v>
      </c>
      <c r="P17" s="90">
        <v>51.593486602800667</v>
      </c>
      <c r="Q17" s="88">
        <v>473.72201335298627</v>
      </c>
      <c r="R17" s="88">
        <v>240.7696041464024</v>
      </c>
      <c r="S17" s="144">
        <v>232.95240920658415</v>
      </c>
      <c r="T17" s="88">
        <v>567.22337247642361</v>
      </c>
      <c r="U17" s="88">
        <v>273.1075497108688</v>
      </c>
      <c r="V17" s="88">
        <v>294.11582276555129</v>
      </c>
      <c r="W17" s="89">
        <v>77.569008201903685</v>
      </c>
      <c r="X17" s="88">
        <v>24.240315063094911</v>
      </c>
      <c r="Y17" s="90">
        <v>53.328693138808759</v>
      </c>
      <c r="Z17" s="88">
        <v>489.65436427451908</v>
      </c>
      <c r="AA17" s="88">
        <v>248.86723464777373</v>
      </c>
      <c r="AB17" s="144">
        <v>240.78712962674214</v>
      </c>
    </row>
    <row r="18" spans="1:28" ht="12" customHeight="1" x14ac:dyDescent="0.2">
      <c r="A18" s="158" t="s">
        <v>14</v>
      </c>
      <c r="B18" s="89">
        <v>523.29811605019802</v>
      </c>
      <c r="C18" s="88">
        <v>273.7484364308819</v>
      </c>
      <c r="D18" s="88">
        <v>249.54967961931192</v>
      </c>
      <c r="E18" s="89">
        <v>62.009314329647218</v>
      </c>
      <c r="F18" s="88">
        <v>45.372669021693092</v>
      </c>
      <c r="G18" s="90">
        <v>16.636645307954147</v>
      </c>
      <c r="H18" s="88">
        <v>461.28880172055011</v>
      </c>
      <c r="I18" s="88">
        <v>228.37576740918848</v>
      </c>
      <c r="J18" s="144">
        <v>232.91303431135779</v>
      </c>
      <c r="K18" s="88">
        <v>540.94988983542328</v>
      </c>
      <c r="L18" s="88">
        <v>282.98245682142095</v>
      </c>
      <c r="M18" s="88">
        <v>257.96743301400255</v>
      </c>
      <c r="N18" s="89">
        <v>64.100998506509924</v>
      </c>
      <c r="O18" s="88">
        <v>46.903169638909695</v>
      </c>
      <c r="P18" s="90">
        <v>17.197828867600212</v>
      </c>
      <c r="Q18" s="88">
        <v>476.84889132891357</v>
      </c>
      <c r="R18" s="88">
        <v>236.07928718251145</v>
      </c>
      <c r="S18" s="144">
        <v>240.7696041464024</v>
      </c>
      <c r="T18" s="88">
        <v>559.14326745539188</v>
      </c>
      <c r="U18" s="88">
        <v>292.49980176134494</v>
      </c>
      <c r="V18" s="88">
        <v>266.64346569404341</v>
      </c>
      <c r="W18" s="89">
        <v>66.256861172459367</v>
      </c>
      <c r="X18" s="88">
        <v>48.480630126189787</v>
      </c>
      <c r="Y18" s="90">
        <v>17.776231046269601</v>
      </c>
      <c r="Z18" s="88">
        <v>492.88640628293177</v>
      </c>
      <c r="AA18" s="88">
        <v>244.01917163515478</v>
      </c>
      <c r="AB18" s="144">
        <v>248.86723464777373</v>
      </c>
    </row>
    <row r="19" spans="1:28" ht="12" customHeight="1" x14ac:dyDescent="0.2">
      <c r="A19" s="158" t="s">
        <v>15</v>
      </c>
      <c r="B19" s="89">
        <v>378.58162164330162</v>
      </c>
      <c r="C19" s="88">
        <v>199.65000942383105</v>
      </c>
      <c r="D19" s="88">
        <v>178.9316122194713</v>
      </c>
      <c r="E19" s="89">
        <v>32.019341134010695</v>
      </c>
      <c r="F19" s="88">
        <v>15.067925239534445</v>
      </c>
      <c r="G19" s="90">
        <v>16.951415894476249</v>
      </c>
      <c r="H19" s="88">
        <v>346.5622805092911</v>
      </c>
      <c r="I19" s="88">
        <v>184.58208418429669</v>
      </c>
      <c r="J19" s="144">
        <v>161.98019632499515</v>
      </c>
      <c r="K19" s="88">
        <v>391.35185134512818</v>
      </c>
      <c r="L19" s="88">
        <v>206.38455842081447</v>
      </c>
      <c r="M19" s="88">
        <v>184.96729292431476</v>
      </c>
      <c r="N19" s="89">
        <v>33.099410312772044</v>
      </c>
      <c r="O19" s="88">
        <v>15.576193088363315</v>
      </c>
      <c r="P19" s="90">
        <v>17.523217224408729</v>
      </c>
      <c r="Q19" s="88">
        <v>358.25244103235639</v>
      </c>
      <c r="R19" s="88">
        <v>190.80836533245105</v>
      </c>
      <c r="S19" s="144">
        <v>167.44407569990591</v>
      </c>
      <c r="T19" s="88">
        <v>404.513905996733</v>
      </c>
      <c r="U19" s="88">
        <v>213.32574147091469</v>
      </c>
      <c r="V19" s="88">
        <v>191.1881645258197</v>
      </c>
      <c r="W19" s="89">
        <v>34.212618915146678</v>
      </c>
      <c r="X19" s="88">
        <v>16.100055960069025</v>
      </c>
      <c r="Y19" s="90">
        <v>18.112562955077653</v>
      </c>
      <c r="Z19" s="88">
        <v>370.30128708158668</v>
      </c>
      <c r="AA19" s="88">
        <v>197.22568551084561</v>
      </c>
      <c r="AB19" s="144">
        <v>173.07560157074198</v>
      </c>
    </row>
    <row r="20" spans="1:28" ht="12" customHeight="1" x14ac:dyDescent="0.2">
      <c r="A20" s="158" t="s">
        <v>16</v>
      </c>
      <c r="B20" s="89">
        <v>352.21275247411648</v>
      </c>
      <c r="C20" s="88">
        <v>160.09670567005335</v>
      </c>
      <c r="D20" s="88">
        <v>192.11604680406387</v>
      </c>
      <c r="E20" s="89">
        <v>22.601887859301666</v>
      </c>
      <c r="F20" s="88">
        <v>13.184434584592639</v>
      </c>
      <c r="G20" s="90">
        <v>9.4174532747090272</v>
      </c>
      <c r="H20" s="88">
        <v>329.61086461481494</v>
      </c>
      <c r="I20" s="88">
        <v>146.91227108546079</v>
      </c>
      <c r="J20" s="144">
        <v>182.69859352935489</v>
      </c>
      <c r="K20" s="88">
        <v>364.09351344049259</v>
      </c>
      <c r="L20" s="88">
        <v>165.49705156386048</v>
      </c>
      <c r="M20" s="88">
        <v>198.59646187663276</v>
      </c>
      <c r="N20" s="89">
        <v>23.36428963254497</v>
      </c>
      <c r="O20" s="88">
        <v>13.629168952317901</v>
      </c>
      <c r="P20" s="90">
        <v>9.7351206802270731</v>
      </c>
      <c r="Q20" s="88">
        <v>340.72922380794779</v>
      </c>
      <c r="R20" s="88">
        <v>151.86788261154248</v>
      </c>
      <c r="S20" s="144">
        <v>188.86134119640562</v>
      </c>
      <c r="T20" s="88">
        <v>376.3388080666125</v>
      </c>
      <c r="U20" s="88">
        <v>171.06309457573334</v>
      </c>
      <c r="V20" s="88">
        <v>205.27571349088015</v>
      </c>
      <c r="W20" s="89">
        <v>24.150083940103539</v>
      </c>
      <c r="X20" s="88">
        <v>14.087548965060398</v>
      </c>
      <c r="Y20" s="90">
        <v>10.062534975043141</v>
      </c>
      <c r="Z20" s="88">
        <v>352.18872412650921</v>
      </c>
      <c r="AA20" s="88">
        <v>156.9755456106729</v>
      </c>
      <c r="AB20" s="144">
        <v>195.21317851583697</v>
      </c>
    </row>
    <row r="21" spans="1:28" ht="12" customHeight="1" x14ac:dyDescent="0.2">
      <c r="A21" s="158" t="s">
        <v>17</v>
      </c>
      <c r="B21" s="89">
        <v>265.57218234679391</v>
      </c>
      <c r="C21" s="88">
        <v>116.77642060639199</v>
      </c>
      <c r="D21" s="88">
        <v>148.79576174040258</v>
      </c>
      <c r="E21" s="89">
        <v>9.4174532747090272</v>
      </c>
      <c r="F21" s="88">
        <v>7.5339626197672223</v>
      </c>
      <c r="G21" s="90">
        <v>1.8834906549418056</v>
      </c>
      <c r="H21" s="88">
        <v>256.15472907208493</v>
      </c>
      <c r="I21" s="88">
        <v>109.24245798662476</v>
      </c>
      <c r="J21" s="144">
        <v>146.91227108546079</v>
      </c>
      <c r="K21" s="88">
        <v>274.5304031824042</v>
      </c>
      <c r="L21" s="88">
        <v>120.71549643481568</v>
      </c>
      <c r="M21" s="88">
        <v>153.81490674758791</v>
      </c>
      <c r="N21" s="89">
        <v>9.7351206802270731</v>
      </c>
      <c r="O21" s="88">
        <v>7.7880965441816583</v>
      </c>
      <c r="P21" s="90">
        <v>1.9470241360454146</v>
      </c>
      <c r="Q21" s="88">
        <v>264.7952825021772</v>
      </c>
      <c r="R21" s="88">
        <v>112.92739989063402</v>
      </c>
      <c r="S21" s="144">
        <v>151.86788261154248</v>
      </c>
      <c r="T21" s="88">
        <v>283.76348629621657</v>
      </c>
      <c r="U21" s="88">
        <v>124.77543369053474</v>
      </c>
      <c r="V21" s="88">
        <v>158.98805260568153</v>
      </c>
      <c r="W21" s="89">
        <v>10.062534975043141</v>
      </c>
      <c r="X21" s="88">
        <v>8.0500279800345123</v>
      </c>
      <c r="Y21" s="90">
        <v>2.0125069950086281</v>
      </c>
      <c r="Z21" s="88">
        <v>273.70095132117353</v>
      </c>
      <c r="AA21" s="88">
        <v>116.72540571050025</v>
      </c>
      <c r="AB21" s="144">
        <v>156.9755456106729</v>
      </c>
    </row>
    <row r="22" spans="1:28" ht="12" customHeight="1" x14ac:dyDescent="0.2">
      <c r="A22" s="158" t="s">
        <v>18</v>
      </c>
      <c r="B22" s="89">
        <v>195.88302811394746</v>
      </c>
      <c r="C22" s="88">
        <v>82.873588817439426</v>
      </c>
      <c r="D22" s="88">
        <v>113.00943929650838</v>
      </c>
      <c r="E22" s="89">
        <v>11.300943929650833</v>
      </c>
      <c r="F22" s="88">
        <v>3.7669813098836111</v>
      </c>
      <c r="G22" s="90">
        <v>7.5339626197672223</v>
      </c>
      <c r="H22" s="88">
        <v>184.58208418429669</v>
      </c>
      <c r="I22" s="88">
        <v>79.106607507555808</v>
      </c>
      <c r="J22" s="144">
        <v>105.47547667674114</v>
      </c>
      <c r="K22" s="88">
        <v>202.49051014872362</v>
      </c>
      <c r="L22" s="88">
        <v>85.669061985998226</v>
      </c>
      <c r="M22" s="88">
        <v>116.82144816272485</v>
      </c>
      <c r="N22" s="89">
        <v>11.682144816272487</v>
      </c>
      <c r="O22" s="88">
        <v>3.8940482720908292</v>
      </c>
      <c r="P22" s="90">
        <v>7.7880965441816583</v>
      </c>
      <c r="Q22" s="88">
        <v>190.80836533245105</v>
      </c>
      <c r="R22" s="88">
        <v>81.775013713907398</v>
      </c>
      <c r="S22" s="144">
        <v>109.03335161854319</v>
      </c>
      <c r="T22" s="88">
        <v>209.30072748089742</v>
      </c>
      <c r="U22" s="88">
        <v>88.550307780379555</v>
      </c>
      <c r="V22" s="88">
        <v>120.7504197005175</v>
      </c>
      <c r="W22" s="89">
        <v>12.075041970051769</v>
      </c>
      <c r="X22" s="88">
        <v>4.0250139900172561</v>
      </c>
      <c r="Y22" s="90">
        <v>8.0500279800345123</v>
      </c>
      <c r="Z22" s="88">
        <v>197.22568551084561</v>
      </c>
      <c r="AA22" s="88">
        <v>84.525293790362312</v>
      </c>
      <c r="AB22" s="144">
        <v>112.70039172048301</v>
      </c>
    </row>
    <row r="23" spans="1:28" ht="12" customHeight="1" x14ac:dyDescent="0.2">
      <c r="A23" s="158" t="s">
        <v>19</v>
      </c>
      <c r="B23" s="89">
        <v>62.155191613079531</v>
      </c>
      <c r="C23" s="88">
        <v>26.368869169185277</v>
      </c>
      <c r="D23" s="88">
        <v>35.786322443894299</v>
      </c>
      <c r="E23" s="196">
        <v>0</v>
      </c>
      <c r="F23" s="197">
        <v>0</v>
      </c>
      <c r="G23" s="198">
        <v>0</v>
      </c>
      <c r="H23" s="88">
        <v>62.155191613079531</v>
      </c>
      <c r="I23" s="88">
        <v>26.368869169185277</v>
      </c>
      <c r="J23" s="144">
        <v>35.786322443894299</v>
      </c>
      <c r="K23" s="88">
        <v>64.251796489498673</v>
      </c>
      <c r="L23" s="88">
        <v>27.258337904635798</v>
      </c>
      <c r="M23" s="88">
        <v>36.993458584862871</v>
      </c>
      <c r="N23" s="196">
        <v>0</v>
      </c>
      <c r="O23" s="197">
        <v>0</v>
      </c>
      <c r="P23" s="198">
        <v>0</v>
      </c>
      <c r="Q23" s="88">
        <v>64.251796489498673</v>
      </c>
      <c r="R23" s="88">
        <v>27.258337904635798</v>
      </c>
      <c r="S23" s="144">
        <v>36.993458584862871</v>
      </c>
      <c r="T23" s="88">
        <v>66.412730835284719</v>
      </c>
      <c r="U23" s="88">
        <v>28.175097930120796</v>
      </c>
      <c r="V23" s="88">
        <v>38.237632905163935</v>
      </c>
      <c r="W23" s="196">
        <v>0</v>
      </c>
      <c r="X23" s="197">
        <v>0</v>
      </c>
      <c r="Y23" s="198">
        <v>0</v>
      </c>
      <c r="Z23" s="88">
        <v>66.412730835284719</v>
      </c>
      <c r="AA23" s="88">
        <v>28.175097930120796</v>
      </c>
      <c r="AB23" s="144">
        <v>38.237632905163935</v>
      </c>
    </row>
    <row r="24" spans="1:28" ht="12" customHeight="1" x14ac:dyDescent="0.2">
      <c r="A24" s="158" t="s">
        <v>20</v>
      </c>
      <c r="B24" s="89">
        <v>64.038682268021333</v>
      </c>
      <c r="C24" s="88">
        <v>22.601887859301666</v>
      </c>
      <c r="D24" s="88">
        <v>41.436794408719706</v>
      </c>
      <c r="E24" s="196">
        <v>0</v>
      </c>
      <c r="F24" s="197">
        <v>0</v>
      </c>
      <c r="G24" s="198">
        <v>0</v>
      </c>
      <c r="H24" s="88">
        <v>64.038682268021333</v>
      </c>
      <c r="I24" s="88">
        <v>22.601887859301666</v>
      </c>
      <c r="J24" s="144">
        <v>41.436794408719706</v>
      </c>
      <c r="K24" s="88">
        <v>66.198820625544087</v>
      </c>
      <c r="L24" s="88">
        <v>23.36428963254497</v>
      </c>
      <c r="M24" s="88">
        <v>42.834530992999113</v>
      </c>
      <c r="N24" s="196">
        <v>0</v>
      </c>
      <c r="O24" s="197">
        <v>0</v>
      </c>
      <c r="P24" s="198">
        <v>0</v>
      </c>
      <c r="Q24" s="88">
        <v>66.198820625544087</v>
      </c>
      <c r="R24" s="88">
        <v>23.36428963254497</v>
      </c>
      <c r="S24" s="144">
        <v>42.834530992999113</v>
      </c>
      <c r="T24" s="88">
        <v>68.425237830293341</v>
      </c>
      <c r="U24" s="88">
        <v>24.150083940103539</v>
      </c>
      <c r="V24" s="88">
        <v>44.27515389018982</v>
      </c>
      <c r="W24" s="196">
        <v>0</v>
      </c>
      <c r="X24" s="197">
        <v>0</v>
      </c>
      <c r="Y24" s="198">
        <v>0</v>
      </c>
      <c r="Z24" s="88">
        <v>68.425237830293341</v>
      </c>
      <c r="AA24" s="88">
        <v>24.150083940103539</v>
      </c>
      <c r="AB24" s="144">
        <v>44.27515389018982</v>
      </c>
    </row>
    <row r="25" spans="1:28" ht="12" customHeight="1" thickBot="1" x14ac:dyDescent="0.25">
      <c r="A25" s="161" t="s">
        <v>21</v>
      </c>
      <c r="B25" s="95">
        <v>39.553303753777904</v>
      </c>
      <c r="C25" s="94">
        <v>13.184434584592639</v>
      </c>
      <c r="D25" s="94">
        <v>26.368869169185277</v>
      </c>
      <c r="E25" s="95">
        <v>1.8834906549418056</v>
      </c>
      <c r="F25" s="199">
        <v>0</v>
      </c>
      <c r="G25" s="96">
        <v>1.8834906549418056</v>
      </c>
      <c r="H25" s="94">
        <v>37.669813098836102</v>
      </c>
      <c r="I25" s="94">
        <v>13.184434584592639</v>
      </c>
      <c r="J25" s="162">
        <v>24.485378514243472</v>
      </c>
      <c r="K25" s="94">
        <v>40.887506856953699</v>
      </c>
      <c r="L25" s="94">
        <v>13.629168952317901</v>
      </c>
      <c r="M25" s="94">
        <v>27.258337904635798</v>
      </c>
      <c r="N25" s="95">
        <v>1.9470241360454146</v>
      </c>
      <c r="O25" s="199">
        <v>0</v>
      </c>
      <c r="P25" s="96">
        <v>1.9470241360454146</v>
      </c>
      <c r="Q25" s="94">
        <v>38.940482720908285</v>
      </c>
      <c r="R25" s="94">
        <v>13.629168952317901</v>
      </c>
      <c r="S25" s="162">
        <v>25.311313768590384</v>
      </c>
      <c r="T25" s="94">
        <v>42.262646895181192</v>
      </c>
      <c r="U25" s="94">
        <v>14.087548965060398</v>
      </c>
      <c r="V25" s="94">
        <v>28.175097930120796</v>
      </c>
      <c r="W25" s="95">
        <v>2.0125069950086281</v>
      </c>
      <c r="X25" s="199">
        <v>0</v>
      </c>
      <c r="Y25" s="96">
        <v>2.0125069950086281</v>
      </c>
      <c r="Z25" s="94">
        <v>40.250139900172563</v>
      </c>
      <c r="AA25" s="94">
        <v>14.087548965060398</v>
      </c>
      <c r="AB25" s="162">
        <v>26.162590935112167</v>
      </c>
    </row>
    <row r="26" spans="1:28" ht="12" customHeight="1" x14ac:dyDescent="0.2">
      <c r="A26" s="130" t="s">
        <v>69</v>
      </c>
      <c r="B26" s="132">
        <v>24840.412453210105</v>
      </c>
      <c r="C26" s="130">
        <v>12383.252288687896</v>
      </c>
      <c r="D26" s="133">
        <v>12457.160164523606</v>
      </c>
      <c r="E26" s="130">
        <v>4182.5220484895008</v>
      </c>
      <c r="F26" s="130">
        <v>2005.4126780135441</v>
      </c>
      <c r="G26" s="133">
        <v>2177.1093704759587</v>
      </c>
      <c r="H26" s="130">
        <v>20657.890404721067</v>
      </c>
      <c r="I26" s="130">
        <v>10377.839610674218</v>
      </c>
      <c r="J26" s="163">
        <v>10280.05079404752</v>
      </c>
      <c r="K26" s="130">
        <v>25678.323632152857</v>
      </c>
      <c r="L26" s="130">
        <v>12800.961356273516</v>
      </c>
      <c r="M26" s="133">
        <v>12877.362275873786</v>
      </c>
      <c r="N26" s="130">
        <v>4323.6059369792429</v>
      </c>
      <c r="O26" s="130">
        <v>2073.0588052450021</v>
      </c>
      <c r="P26" s="133">
        <v>2250.547131734118</v>
      </c>
      <c r="Q26" s="130">
        <v>21354.717695171039</v>
      </c>
      <c r="R26" s="130">
        <v>10727.902551029241</v>
      </c>
      <c r="S26" s="163">
        <v>10626.815144140483</v>
      </c>
      <c r="T26" s="130">
        <v>26541.944176793182</v>
      </c>
      <c r="U26" s="130">
        <v>13231.486860076366</v>
      </c>
      <c r="V26" s="133">
        <v>13310.45731672054</v>
      </c>
      <c r="W26" s="130">
        <v>4469.0186581377566</v>
      </c>
      <c r="X26" s="130">
        <v>2142.7804973664947</v>
      </c>
      <c r="Y26" s="130">
        <v>2326.238160771326</v>
      </c>
      <c r="Z26" s="132">
        <v>22072.925518657416</v>
      </c>
      <c r="AA26" s="130">
        <v>11088.706362710174</v>
      </c>
      <c r="AB26" s="163">
        <v>10984.219155949499</v>
      </c>
    </row>
    <row r="27" spans="1:28" ht="12" customHeight="1" x14ac:dyDescent="0.2">
      <c r="A27" s="159" t="s">
        <v>22</v>
      </c>
      <c r="B27" s="89">
        <v>965.68502301407602</v>
      </c>
      <c r="C27" s="88">
        <v>505.07867980012475</v>
      </c>
      <c r="D27" s="88">
        <v>460.60634321395014</v>
      </c>
      <c r="E27" s="129">
        <v>189.00743049124094</v>
      </c>
      <c r="F27" s="88">
        <v>93.709566378009953</v>
      </c>
      <c r="G27" s="128">
        <v>95.29786411323046</v>
      </c>
      <c r="H27" s="88">
        <v>776.67759252283395</v>
      </c>
      <c r="I27" s="88">
        <v>411.36911342211397</v>
      </c>
      <c r="J27" s="144">
        <v>365.30847910071884</v>
      </c>
      <c r="K27" s="88">
        <v>998.25929196557013</v>
      </c>
      <c r="L27" s="88">
        <v>522.11587967935429</v>
      </c>
      <c r="M27" s="88">
        <v>476.14341228620367</v>
      </c>
      <c r="N27" s="89">
        <v>195.382986420892</v>
      </c>
      <c r="O27" s="88">
        <v>96.870556292711129</v>
      </c>
      <c r="P27" s="90">
        <v>98.51243012818081</v>
      </c>
      <c r="Q27" s="88">
        <v>802.87630554467466</v>
      </c>
      <c r="R27" s="88">
        <v>425.24532338664443</v>
      </c>
      <c r="S27" s="144">
        <v>377.63098215802449</v>
      </c>
      <c r="T27" s="88">
        <v>1031.8330269872963</v>
      </c>
      <c r="U27" s="88">
        <v>539.67582661506606</v>
      </c>
      <c r="V27" s="88">
        <v>492.15720037223008</v>
      </c>
      <c r="W27" s="129">
        <v>201.95416153205289</v>
      </c>
      <c r="X27" s="88">
        <v>100.12853386883282</v>
      </c>
      <c r="Y27" s="128">
        <v>101.82562766321982</v>
      </c>
      <c r="Z27" s="88">
        <v>829.87886545524327</v>
      </c>
      <c r="AA27" s="88">
        <v>439.54729274623304</v>
      </c>
      <c r="AB27" s="144">
        <v>390.33157270901</v>
      </c>
    </row>
    <row r="28" spans="1:28" ht="12" customHeight="1" thickBot="1" x14ac:dyDescent="0.25">
      <c r="A28" s="138" t="s">
        <v>23</v>
      </c>
      <c r="B28" s="139">
        <v>18276.906384169528</v>
      </c>
      <c r="C28" s="138">
        <v>8587.0219387250654</v>
      </c>
      <c r="D28" s="140">
        <v>9689.8844454424907</v>
      </c>
      <c r="E28" s="138">
        <v>3394.9818315605526</v>
      </c>
      <c r="F28" s="138">
        <v>1653.0155739929671</v>
      </c>
      <c r="G28" s="138">
        <v>1741.9662575675325</v>
      </c>
      <c r="H28" s="139">
        <v>14881.924552608716</v>
      </c>
      <c r="I28" s="138">
        <v>6934.0063647322077</v>
      </c>
      <c r="J28" s="145">
        <v>7947.918187874604</v>
      </c>
      <c r="K28" s="138">
        <v>18893.418859739104</v>
      </c>
      <c r="L28" s="138">
        <v>8876.6774220955922</v>
      </c>
      <c r="M28" s="140">
        <v>10016.741437642624</v>
      </c>
      <c r="N28" s="138">
        <v>3509.5005914367616</v>
      </c>
      <c r="O28" s="138">
        <v>1708.7747217533474</v>
      </c>
      <c r="P28" s="138">
        <v>1800.7258696833899</v>
      </c>
      <c r="Q28" s="139">
        <v>15383.918268302443</v>
      </c>
      <c r="R28" s="138">
        <v>7167.9027003421506</v>
      </c>
      <c r="S28" s="145">
        <v>8216.0155679589043</v>
      </c>
      <c r="T28" s="138">
        <v>19528.847594092334</v>
      </c>
      <c r="U28" s="138">
        <v>9175.2203137488614</v>
      </c>
      <c r="V28" s="140">
        <v>10353.627280344319</v>
      </c>
      <c r="W28" s="138">
        <v>3627.5330944785592</v>
      </c>
      <c r="X28" s="138">
        <v>1766.2447099434812</v>
      </c>
      <c r="Y28" s="138">
        <v>1861.2883845350777</v>
      </c>
      <c r="Z28" s="139">
        <v>15901.314499613904</v>
      </c>
      <c r="AA28" s="138">
        <v>7408.975603805322</v>
      </c>
      <c r="AB28" s="145">
        <v>8492.3388958093619</v>
      </c>
    </row>
    <row r="29" spans="1:28" x14ac:dyDescent="0.2">
      <c r="A29" s="281" t="s">
        <v>90</v>
      </c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7"/>
  <sheetViews>
    <sheetView workbookViewId="0">
      <selection activeCell="A29" sqref="A29"/>
    </sheetView>
  </sheetViews>
  <sheetFormatPr defaultRowHeight="12" x14ac:dyDescent="0.2"/>
  <cols>
    <col min="1" max="1" width="17.28515625" style="22" customWidth="1"/>
    <col min="2" max="16384" width="9.140625" style="22"/>
  </cols>
  <sheetData>
    <row r="1" spans="1:29" ht="15.75" customHeight="1" thickBot="1" x14ac:dyDescent="0.25">
      <c r="A1" s="283" t="s">
        <v>83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</row>
    <row r="2" spans="1:29" ht="15.75" customHeight="1" x14ac:dyDescent="0.2">
      <c r="A2" s="284" t="s">
        <v>52</v>
      </c>
      <c r="B2" s="285"/>
      <c r="C2" s="285"/>
      <c r="D2" s="285"/>
      <c r="E2" s="285"/>
      <c r="F2" s="285"/>
      <c r="G2" s="285"/>
      <c r="H2" s="285"/>
      <c r="I2" s="285"/>
      <c r="J2" s="286"/>
      <c r="K2" s="284" t="s">
        <v>39</v>
      </c>
      <c r="L2" s="285"/>
      <c r="M2" s="285"/>
      <c r="N2" s="285"/>
      <c r="O2" s="285"/>
      <c r="P2" s="285"/>
      <c r="Q2" s="285"/>
      <c r="R2" s="285"/>
      <c r="S2" s="286"/>
      <c r="T2" s="284" t="s">
        <v>40</v>
      </c>
      <c r="U2" s="285"/>
      <c r="V2" s="285"/>
      <c r="W2" s="285"/>
      <c r="X2" s="285"/>
      <c r="Y2" s="285"/>
      <c r="Z2" s="285"/>
      <c r="AA2" s="285"/>
      <c r="AB2" s="286"/>
    </row>
    <row r="3" spans="1:29" ht="15.75" customHeight="1" thickBot="1" x14ac:dyDescent="0.25">
      <c r="A3" s="295" t="s">
        <v>64</v>
      </c>
      <c r="B3" s="17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46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46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9" ht="15.75" customHeight="1" thickBot="1" x14ac:dyDescent="0.25">
      <c r="A4" s="296"/>
      <c r="B4" s="194" t="s">
        <v>1</v>
      </c>
      <c r="C4" s="5" t="s">
        <v>34</v>
      </c>
      <c r="D4" s="6" t="s">
        <v>35</v>
      </c>
      <c r="E4" s="4" t="s">
        <v>1</v>
      </c>
      <c r="F4" s="5" t="s">
        <v>34</v>
      </c>
      <c r="G4" s="6" t="s">
        <v>35</v>
      </c>
      <c r="H4" s="4" t="s">
        <v>1</v>
      </c>
      <c r="I4" s="5" t="s">
        <v>34</v>
      </c>
      <c r="J4" s="82" t="s">
        <v>35</v>
      </c>
      <c r="K4" s="80" t="s">
        <v>1</v>
      </c>
      <c r="L4" s="5" t="s">
        <v>34</v>
      </c>
      <c r="M4" s="248" t="s">
        <v>35</v>
      </c>
      <c r="N4" s="255" t="s">
        <v>1</v>
      </c>
      <c r="O4" s="247" t="s">
        <v>34</v>
      </c>
      <c r="P4" s="248" t="s">
        <v>35</v>
      </c>
      <c r="Q4" s="4" t="s">
        <v>1</v>
      </c>
      <c r="R4" s="253" t="s">
        <v>34</v>
      </c>
      <c r="S4" s="82" t="s">
        <v>35</v>
      </c>
      <c r="T4" s="80" t="s">
        <v>1</v>
      </c>
      <c r="U4" s="247" t="s">
        <v>34</v>
      </c>
      <c r="V4" s="253" t="s">
        <v>35</v>
      </c>
      <c r="W4" s="255" t="s">
        <v>1</v>
      </c>
      <c r="X4" s="247" t="s">
        <v>34</v>
      </c>
      <c r="Y4" s="248" t="s">
        <v>35</v>
      </c>
      <c r="Z4" s="255" t="s">
        <v>1</v>
      </c>
      <c r="AA4" s="253" t="s">
        <v>34</v>
      </c>
      <c r="AB4" s="256" t="s">
        <v>35</v>
      </c>
    </row>
    <row r="5" spans="1:29" ht="12" customHeight="1" thickBot="1" x14ac:dyDescent="0.25">
      <c r="A5" s="14" t="s">
        <v>41</v>
      </c>
      <c r="B5" s="8">
        <f>+SUM(B6:B25)</f>
        <v>29057.948143178503</v>
      </c>
      <c r="C5" s="8">
        <f t="shared" ref="C5:AB5" si="0">+SUM(C6:C25)</f>
        <v>15409.768262692131</v>
      </c>
      <c r="D5" s="9">
        <f t="shared" si="0"/>
        <v>13648.17988048649</v>
      </c>
      <c r="E5" s="261">
        <f>+E6+E7+E8+E9+E10+E11+E12+E13+E14+E15+E16+E17+E18+E19+E20+E21+E22+E23+E24+E25</f>
        <v>0</v>
      </c>
      <c r="F5" s="261">
        <f t="shared" si="0"/>
        <v>0</v>
      </c>
      <c r="G5" s="261">
        <f t="shared" si="0"/>
        <v>0</v>
      </c>
      <c r="H5" s="10">
        <f t="shared" si="0"/>
        <v>29057.948143178503</v>
      </c>
      <c r="I5" s="8">
        <f t="shared" si="0"/>
        <v>15409.768262692131</v>
      </c>
      <c r="J5" s="8">
        <f t="shared" si="0"/>
        <v>13648.17988048649</v>
      </c>
      <c r="K5" s="167">
        <f>SUM(K6:K25)</f>
        <v>30038.124282847606</v>
      </c>
      <c r="L5" s="167">
        <f>SUM(L6:L25)</f>
        <v>15929.567083121383</v>
      </c>
      <c r="M5" s="250">
        <f>SUM(M6:M25)</f>
        <v>14108.557199726216</v>
      </c>
      <c r="N5" s="241">
        <f>+N6+N7+N8+N9+N10+N11+N12+N13+N14+N15+N16+N17+N18+N19+N20+N21+N22+N23+N24+N25</f>
        <v>0</v>
      </c>
      <c r="O5" s="240">
        <f t="shared" ref="O5:P5" si="1">+O6+O7+O8+O9+O10+O11+O12+O13+O14+O15+O16+O17+O18+O19+O20+O21+O22+O23+O24+O25</f>
        <v>0</v>
      </c>
      <c r="P5" s="240">
        <f t="shared" si="1"/>
        <v>0</v>
      </c>
      <c r="Q5" s="10">
        <f>+Q6+Q7+Q8+Q9+Q10+Q11+Q12+Q13+Q14+Q15+Q16+Q17+Q18+Q19+Q20+Q21+Q22+Q23+Q24+Q25</f>
        <v>30038.124282847606</v>
      </c>
      <c r="R5" s="8">
        <f t="shared" ref="R5:S5" si="2">+R6+R7+R8+R9+R10+R11+R12+R13+R14+R15+R16+R17+R18+R19+R20+R21+R22+R23+R24+R25</f>
        <v>15929.567083121383</v>
      </c>
      <c r="S5" s="8">
        <f t="shared" si="2"/>
        <v>14108.557199726216</v>
      </c>
      <c r="T5" s="15">
        <f t="shared" si="0"/>
        <v>31048.374859365242</v>
      </c>
      <c r="U5" s="8">
        <f t="shared" si="0"/>
        <v>16465.314727610385</v>
      </c>
      <c r="V5" s="8">
        <f t="shared" si="0"/>
        <v>14583.060131755075</v>
      </c>
      <c r="W5" s="241">
        <v>0</v>
      </c>
      <c r="X5" s="265">
        <v>0</v>
      </c>
      <c r="Y5" s="240">
        <v>0</v>
      </c>
      <c r="Z5" s="273">
        <f t="shared" si="0"/>
        <v>31048.374859365242</v>
      </c>
      <c r="AA5" s="254">
        <f t="shared" si="0"/>
        <v>16465.314727610385</v>
      </c>
      <c r="AB5" s="8">
        <f t="shared" si="0"/>
        <v>14583.060131755075</v>
      </c>
      <c r="AC5" s="244"/>
    </row>
    <row r="6" spans="1:29" ht="12" customHeight="1" x14ac:dyDescent="0.2">
      <c r="A6" s="11" t="s">
        <v>2</v>
      </c>
      <c r="B6" s="124">
        <v>3888.3812735081556</v>
      </c>
      <c r="C6" s="101">
        <v>2068.045195340364</v>
      </c>
      <c r="D6" s="101">
        <v>1820.3360781679917</v>
      </c>
      <c r="E6" s="124">
        <v>0</v>
      </c>
      <c r="F6" s="101">
        <v>0</v>
      </c>
      <c r="G6" s="101">
        <v>0</v>
      </c>
      <c r="H6" s="124">
        <v>3888.3812735081556</v>
      </c>
      <c r="I6" s="101">
        <v>2068.045195340364</v>
      </c>
      <c r="J6" s="142">
        <v>1820.3360781679917</v>
      </c>
      <c r="K6" s="147">
        <v>4019.5432718519974</v>
      </c>
      <c r="L6" s="111">
        <v>2137.8040284913022</v>
      </c>
      <c r="M6" s="272">
        <v>1881.7392433607511</v>
      </c>
      <c r="N6" s="269">
        <f t="shared" ref="N6:N28" si="3">+N7+N8+N9</f>
        <v>0</v>
      </c>
      <c r="O6" s="268">
        <f t="shared" ref="O6:P20" si="4">+O7+O8+O9</f>
        <v>0</v>
      </c>
      <c r="P6" s="268">
        <f t="shared" si="4"/>
        <v>0</v>
      </c>
      <c r="Q6" s="262">
        <v>4019.5432718519974</v>
      </c>
      <c r="R6" s="258">
        <v>2137.8040284913022</v>
      </c>
      <c r="S6" s="260">
        <v>1881.7392433607511</v>
      </c>
      <c r="T6" s="153">
        <v>4154.7296726235518</v>
      </c>
      <c r="U6" s="116">
        <v>2209.7032500249343</v>
      </c>
      <c r="V6" s="116">
        <v>1945.0264225987905</v>
      </c>
      <c r="W6" s="115">
        <v>0</v>
      </c>
      <c r="X6" s="114">
        <v>0</v>
      </c>
      <c r="Y6" s="116">
        <v>0</v>
      </c>
      <c r="Z6" s="257">
        <v>4154.7296726235518</v>
      </c>
      <c r="AA6" s="251">
        <v>2209.7032500249343</v>
      </c>
      <c r="AB6" s="212">
        <v>1945.0264225987905</v>
      </c>
    </row>
    <row r="7" spans="1:29" ht="12" customHeight="1" x14ac:dyDescent="0.2">
      <c r="A7" s="11" t="s">
        <v>3</v>
      </c>
      <c r="B7" s="124">
        <v>3205.2070916012585</v>
      </c>
      <c r="C7" s="101">
        <v>1663.2598553029911</v>
      </c>
      <c r="D7" s="101">
        <v>1541.9472362981714</v>
      </c>
      <c r="E7" s="124">
        <v>0</v>
      </c>
      <c r="F7" s="101">
        <v>0</v>
      </c>
      <c r="G7" s="101">
        <v>0</v>
      </c>
      <c r="H7" s="124">
        <v>3205.2070916012585</v>
      </c>
      <c r="I7" s="101">
        <v>1663.2598553029911</v>
      </c>
      <c r="J7" s="142">
        <v>1541.9472362981714</v>
      </c>
      <c r="K7" s="148">
        <v>3313.3244128383672</v>
      </c>
      <c r="L7" s="101">
        <v>1719.3645608453446</v>
      </c>
      <c r="M7" s="101">
        <v>1593.9598519929052</v>
      </c>
      <c r="N7" s="270">
        <f t="shared" si="3"/>
        <v>0</v>
      </c>
      <c r="O7" s="266">
        <f t="shared" si="4"/>
        <v>0</v>
      </c>
      <c r="P7" s="266">
        <f t="shared" si="4"/>
        <v>0</v>
      </c>
      <c r="Q7" s="262">
        <v>3313.3244128383672</v>
      </c>
      <c r="R7" s="258">
        <v>1719.3645608453446</v>
      </c>
      <c r="S7" s="258">
        <v>1593.9598519929052</v>
      </c>
      <c r="T7" s="153">
        <v>3424.7590639084751</v>
      </c>
      <c r="U7" s="116">
        <v>1777.1907094584735</v>
      </c>
      <c r="V7" s="116">
        <v>1647.5683544499848</v>
      </c>
      <c r="W7" s="117">
        <v>0</v>
      </c>
      <c r="X7" s="116">
        <v>0</v>
      </c>
      <c r="Y7" s="116">
        <v>0</v>
      </c>
      <c r="Z7" s="210">
        <v>3424.7590639084751</v>
      </c>
      <c r="AA7" s="167">
        <v>1777.1907094584735</v>
      </c>
      <c r="AB7" s="212">
        <v>1647.5683544499848</v>
      </c>
    </row>
    <row r="8" spans="1:29" ht="12" customHeight="1" x14ac:dyDescent="0.2">
      <c r="A8" s="11" t="s">
        <v>4</v>
      </c>
      <c r="B8" s="124">
        <v>3261.0747450903282</v>
      </c>
      <c r="C8" s="101">
        <v>1731.8972581609812</v>
      </c>
      <c r="D8" s="101">
        <v>1529.1774869292431</v>
      </c>
      <c r="E8" s="124">
        <v>0</v>
      </c>
      <c r="F8" s="101">
        <v>0</v>
      </c>
      <c r="G8" s="101">
        <v>0</v>
      </c>
      <c r="H8" s="124">
        <v>3261.0747450903282</v>
      </c>
      <c r="I8" s="101">
        <v>1731.8972581609812</v>
      </c>
      <c r="J8" s="142">
        <v>1529.1774869292431</v>
      </c>
      <c r="K8" s="148">
        <v>3371.0765813888406</v>
      </c>
      <c r="L8" s="101">
        <v>1790.317225064488</v>
      </c>
      <c r="M8" s="101">
        <v>1580.7593563242274</v>
      </c>
      <c r="N8" s="270">
        <f t="shared" si="3"/>
        <v>0</v>
      </c>
      <c r="O8" s="266">
        <f t="shared" si="4"/>
        <v>0</v>
      </c>
      <c r="P8" s="266">
        <f t="shared" si="4"/>
        <v>0</v>
      </c>
      <c r="Q8" s="262">
        <v>3371.0765813888406</v>
      </c>
      <c r="R8" s="258">
        <v>1790.317225064488</v>
      </c>
      <c r="S8" s="258">
        <v>1580.7593563242274</v>
      </c>
      <c r="T8" s="153">
        <v>3484.4535695044897</v>
      </c>
      <c r="U8" s="116">
        <v>1850.5296734764343</v>
      </c>
      <c r="V8" s="116">
        <v>1633.9238960280386</v>
      </c>
      <c r="W8" s="117">
        <v>0</v>
      </c>
      <c r="X8" s="116">
        <v>0</v>
      </c>
      <c r="Y8" s="116">
        <v>0</v>
      </c>
      <c r="Z8" s="210">
        <v>3484.4535695044897</v>
      </c>
      <c r="AA8" s="167">
        <v>1850.5296734764343</v>
      </c>
      <c r="AB8" s="212">
        <v>1633.9238960280386</v>
      </c>
    </row>
    <row r="9" spans="1:29" ht="12" customHeight="1" x14ac:dyDescent="0.2">
      <c r="A9" s="11" t="s">
        <v>5</v>
      </c>
      <c r="B9" s="124">
        <v>4215.3421892749529</v>
      </c>
      <c r="C9" s="101">
        <v>2258.5593794835504</v>
      </c>
      <c r="D9" s="101">
        <v>1956.7828097916815</v>
      </c>
      <c r="E9" s="124">
        <v>0</v>
      </c>
      <c r="F9" s="101">
        <v>0</v>
      </c>
      <c r="G9" s="101">
        <v>0</v>
      </c>
      <c r="H9" s="124">
        <v>4215.3421892749529</v>
      </c>
      <c r="I9" s="101">
        <v>2258.5593794835504</v>
      </c>
      <c r="J9" s="142">
        <v>1956.7828097916815</v>
      </c>
      <c r="K9" s="148">
        <v>4357.5331593363662</v>
      </c>
      <c r="L9" s="101">
        <v>2334.7445940378234</v>
      </c>
      <c r="M9" s="101">
        <v>2022.7885652985999</v>
      </c>
      <c r="N9" s="270">
        <f t="shared" si="3"/>
        <v>0</v>
      </c>
      <c r="O9" s="266">
        <f t="shared" si="4"/>
        <v>0</v>
      </c>
      <c r="P9" s="266">
        <f t="shared" si="4"/>
        <v>0</v>
      </c>
      <c r="Q9" s="262">
        <v>4357.5331593363662</v>
      </c>
      <c r="R9" s="258">
        <v>2334.7445940378234</v>
      </c>
      <c r="S9" s="258">
        <v>2022.7885652985999</v>
      </c>
      <c r="T9" s="153">
        <v>4504.0869303031004</v>
      </c>
      <c r="U9" s="116">
        <v>2413.2673756183153</v>
      </c>
      <c r="V9" s="116">
        <v>2090.8195546847851</v>
      </c>
      <c r="W9" s="117">
        <v>0</v>
      </c>
      <c r="X9" s="116">
        <v>0</v>
      </c>
      <c r="Y9" s="116">
        <v>0</v>
      </c>
      <c r="Z9" s="210">
        <v>4504.0869303031004</v>
      </c>
      <c r="AA9" s="167">
        <v>2413.2673756183153</v>
      </c>
      <c r="AB9" s="212">
        <v>2090.8195546847851</v>
      </c>
    </row>
    <row r="10" spans="1:29" ht="12" customHeight="1" x14ac:dyDescent="0.2">
      <c r="A10" s="11" t="s">
        <v>6</v>
      </c>
      <c r="B10" s="124">
        <v>4194.1638494727194</v>
      </c>
      <c r="C10" s="101">
        <v>2195.4066450170199</v>
      </c>
      <c r="D10" s="101">
        <v>1998.7572044556568</v>
      </c>
      <c r="E10" s="124">
        <v>0</v>
      </c>
      <c r="F10" s="101">
        <v>0</v>
      </c>
      <c r="G10" s="101">
        <v>0</v>
      </c>
      <c r="H10" s="124">
        <v>4194.1638494727194</v>
      </c>
      <c r="I10" s="101">
        <v>2195.4066450170199</v>
      </c>
      <c r="J10" s="142">
        <v>1998.7572044556568</v>
      </c>
      <c r="K10" s="148">
        <v>4335.6404365618182</v>
      </c>
      <c r="L10" s="101">
        <v>2269.4616058047291</v>
      </c>
      <c r="M10" s="101">
        <v>2066.1788307571446</v>
      </c>
      <c r="N10" s="270">
        <f t="shared" si="3"/>
        <v>0</v>
      </c>
      <c r="O10" s="266">
        <f t="shared" si="4"/>
        <v>0</v>
      </c>
      <c r="P10" s="266">
        <f t="shared" si="4"/>
        <v>0</v>
      </c>
      <c r="Q10" s="262">
        <v>4335.6404365618182</v>
      </c>
      <c r="R10" s="258">
        <v>2269.4616058047291</v>
      </c>
      <c r="S10" s="258">
        <v>2066.1788307571446</v>
      </c>
      <c r="T10" s="153">
        <v>4481.4579053679781</v>
      </c>
      <c r="U10" s="116">
        <v>2345.7887717109083</v>
      </c>
      <c r="V10" s="116">
        <v>2135.6691336570334</v>
      </c>
      <c r="W10" s="117">
        <v>0</v>
      </c>
      <c r="X10" s="116">
        <v>0</v>
      </c>
      <c r="Y10" s="116">
        <v>0</v>
      </c>
      <c r="Z10" s="210">
        <v>4481.4579053679781</v>
      </c>
      <c r="AA10" s="167">
        <v>2345.7887717109083</v>
      </c>
      <c r="AB10" s="212">
        <v>2135.6691336570334</v>
      </c>
    </row>
    <row r="11" spans="1:29" ht="12" customHeight="1" x14ac:dyDescent="0.2">
      <c r="A11" s="12" t="s">
        <v>7</v>
      </c>
      <c r="B11" s="124">
        <v>2846.8079168765348</v>
      </c>
      <c r="C11" s="101">
        <v>1553.2233156838188</v>
      </c>
      <c r="D11" s="101">
        <v>1293.5846011926442</v>
      </c>
      <c r="E11" s="124">
        <v>0</v>
      </c>
      <c r="F11" s="101">
        <v>0</v>
      </c>
      <c r="G11" s="101">
        <v>0</v>
      </c>
      <c r="H11" s="124">
        <v>2846.8079168765348</v>
      </c>
      <c r="I11" s="101">
        <v>1553.2233156838188</v>
      </c>
      <c r="J11" s="142">
        <v>1293.5846011926442</v>
      </c>
      <c r="K11" s="148">
        <v>2942.8357981498525</v>
      </c>
      <c r="L11" s="101">
        <v>1605.6162935399611</v>
      </c>
      <c r="M11" s="101">
        <v>1337.2195046099473</v>
      </c>
      <c r="N11" s="270">
        <f t="shared" si="3"/>
        <v>0</v>
      </c>
      <c r="O11" s="266">
        <f t="shared" si="4"/>
        <v>0</v>
      </c>
      <c r="P11" s="266">
        <f t="shared" si="4"/>
        <v>0</v>
      </c>
      <c r="Q11" s="262">
        <v>2942.8357981498525</v>
      </c>
      <c r="R11" s="258">
        <v>1605.6162935399611</v>
      </c>
      <c r="S11" s="258">
        <v>1337.2195046099473</v>
      </c>
      <c r="T11" s="153">
        <v>3041.8100727643691</v>
      </c>
      <c r="U11" s="116">
        <v>1659.6168286912227</v>
      </c>
      <c r="V11" s="116">
        <v>1382.193244073216</v>
      </c>
      <c r="W11" s="117">
        <v>0</v>
      </c>
      <c r="X11" s="116">
        <v>0</v>
      </c>
      <c r="Y11" s="116">
        <v>0</v>
      </c>
      <c r="Z11" s="210">
        <v>3041.8100727643691</v>
      </c>
      <c r="AA11" s="167">
        <v>1659.6168286912227</v>
      </c>
      <c r="AB11" s="212">
        <v>1382.193244073216</v>
      </c>
    </row>
    <row r="12" spans="1:29" ht="12" customHeight="1" x14ac:dyDescent="0.2">
      <c r="A12" s="12" t="s">
        <v>8</v>
      </c>
      <c r="B12" s="124">
        <v>2260.1069296168334</v>
      </c>
      <c r="C12" s="101">
        <v>1189.928866364301</v>
      </c>
      <c r="D12" s="101">
        <v>1070.1780632524737</v>
      </c>
      <c r="E12" s="124">
        <v>0</v>
      </c>
      <c r="F12" s="101">
        <v>0</v>
      </c>
      <c r="G12" s="101">
        <v>0</v>
      </c>
      <c r="H12" s="124">
        <v>2260.1069296168334</v>
      </c>
      <c r="I12" s="101">
        <v>1189.928866364301</v>
      </c>
      <c r="J12" s="142">
        <v>1070.1780632524737</v>
      </c>
      <c r="K12" s="148">
        <v>2336.3443457824524</v>
      </c>
      <c r="L12" s="101">
        <v>1230.067277960585</v>
      </c>
      <c r="M12" s="101">
        <v>1106.2770678218822</v>
      </c>
      <c r="N12" s="270">
        <f t="shared" si="3"/>
        <v>0</v>
      </c>
      <c r="O12" s="266">
        <f t="shared" si="4"/>
        <v>0</v>
      </c>
      <c r="P12" s="266">
        <f t="shared" si="4"/>
        <v>0</v>
      </c>
      <c r="Q12" s="262">
        <v>2336.3443457824524</v>
      </c>
      <c r="R12" s="258">
        <v>1230.067277960585</v>
      </c>
      <c r="S12" s="258">
        <v>1106.2770678218822</v>
      </c>
      <c r="T12" s="153">
        <v>2414.9209306598591</v>
      </c>
      <c r="U12" s="116">
        <v>1271.4372438417163</v>
      </c>
      <c r="V12" s="116">
        <v>1143.4836868181621</v>
      </c>
      <c r="W12" s="117">
        <v>0</v>
      </c>
      <c r="X12" s="116">
        <v>0</v>
      </c>
      <c r="Y12" s="116">
        <v>0</v>
      </c>
      <c r="Z12" s="210">
        <v>2414.9209306598591</v>
      </c>
      <c r="AA12" s="167">
        <v>1271.4372438417163</v>
      </c>
      <c r="AB12" s="212">
        <v>1143.4836868181621</v>
      </c>
    </row>
    <row r="13" spans="1:29" ht="12" customHeight="1" x14ac:dyDescent="0.2">
      <c r="A13" s="12" t="s">
        <v>9</v>
      </c>
      <c r="B13" s="124">
        <v>1382.4396511136943</v>
      </c>
      <c r="C13" s="101">
        <v>757.91647539127314</v>
      </c>
      <c r="D13" s="101">
        <v>624.52317572241225</v>
      </c>
      <c r="E13" s="124">
        <v>0</v>
      </c>
      <c r="F13" s="101">
        <v>0</v>
      </c>
      <c r="G13" s="101">
        <v>0</v>
      </c>
      <c r="H13" s="124">
        <v>1382.4396511136943</v>
      </c>
      <c r="I13" s="101">
        <v>757.91647539127314</v>
      </c>
      <c r="J13" s="142">
        <v>624.52317572241225</v>
      </c>
      <c r="K13" s="148">
        <v>1429.0717929936895</v>
      </c>
      <c r="L13" s="101">
        <v>783.48234265005738</v>
      </c>
      <c r="M13" s="101">
        <v>645.58945034364422</v>
      </c>
      <c r="N13" s="270">
        <f t="shared" si="3"/>
        <v>0</v>
      </c>
      <c r="O13" s="266">
        <f t="shared" si="4"/>
        <v>0</v>
      </c>
      <c r="P13" s="266">
        <f t="shared" si="4"/>
        <v>0</v>
      </c>
      <c r="Q13" s="262">
        <v>1429.0717929936895</v>
      </c>
      <c r="R13" s="258">
        <v>783.48234265005738</v>
      </c>
      <c r="S13" s="258">
        <v>645.58945034364422</v>
      </c>
      <c r="T13" s="153">
        <v>1477.1347342466704</v>
      </c>
      <c r="U13" s="116">
        <v>809.83263938963887</v>
      </c>
      <c r="V13" s="116">
        <v>667.30209485706223</v>
      </c>
      <c r="W13" s="117">
        <v>0</v>
      </c>
      <c r="X13" s="116">
        <v>0</v>
      </c>
      <c r="Y13" s="116">
        <v>0</v>
      </c>
      <c r="Z13" s="210">
        <v>1477.1347342466704</v>
      </c>
      <c r="AA13" s="167">
        <v>809.83263938963887</v>
      </c>
      <c r="AB13" s="212">
        <v>667.30209485706223</v>
      </c>
    </row>
    <row r="14" spans="1:29" ht="12" customHeight="1" x14ac:dyDescent="0.2">
      <c r="A14" s="12" t="s">
        <v>10</v>
      </c>
      <c r="B14" s="124">
        <v>986.80725095943217</v>
      </c>
      <c r="C14" s="101">
        <v>544.18402933093921</v>
      </c>
      <c r="D14" s="101">
        <v>442.62322162850842</v>
      </c>
      <c r="E14" s="124">
        <v>0</v>
      </c>
      <c r="F14" s="101">
        <v>0</v>
      </c>
      <c r="G14" s="101">
        <v>0</v>
      </c>
      <c r="H14" s="124">
        <v>986.80725095943217</v>
      </c>
      <c r="I14" s="101">
        <v>544.18402933093921</v>
      </c>
      <c r="J14" s="142">
        <v>442.62322162850842</v>
      </c>
      <c r="K14" s="148">
        <v>1020.09401013038</v>
      </c>
      <c r="L14" s="101">
        <v>562.54032202273629</v>
      </c>
      <c r="M14" s="101">
        <v>457.5536881076282</v>
      </c>
      <c r="N14" s="270">
        <f t="shared" si="3"/>
        <v>0</v>
      </c>
      <c r="O14" s="266">
        <f t="shared" si="4"/>
        <v>0</v>
      </c>
      <c r="P14" s="266">
        <f t="shared" si="4"/>
        <v>0</v>
      </c>
      <c r="Q14" s="262">
        <v>1020.09401013038</v>
      </c>
      <c r="R14" s="258">
        <v>562.54032202273629</v>
      </c>
      <c r="S14" s="258">
        <v>457.5536881076282</v>
      </c>
      <c r="T14" s="153">
        <v>1054.402096485308</v>
      </c>
      <c r="U14" s="116">
        <v>581.45983508176039</v>
      </c>
      <c r="V14" s="116">
        <v>472.94226140354863</v>
      </c>
      <c r="W14" s="117">
        <v>0</v>
      </c>
      <c r="X14" s="116">
        <v>0</v>
      </c>
      <c r="Y14" s="116">
        <v>0</v>
      </c>
      <c r="Z14" s="210">
        <v>1054.402096485308</v>
      </c>
      <c r="AA14" s="167">
        <v>581.45983508176039</v>
      </c>
      <c r="AB14" s="212">
        <v>472.94226140354863</v>
      </c>
    </row>
    <row r="15" spans="1:29" ht="12" customHeight="1" x14ac:dyDescent="0.2">
      <c r="A15" s="12" t="s">
        <v>11</v>
      </c>
      <c r="B15" s="124">
        <v>915.01549193747417</v>
      </c>
      <c r="C15" s="101">
        <v>473.38818012633516</v>
      </c>
      <c r="D15" s="101">
        <v>441.62731181114941</v>
      </c>
      <c r="E15" s="124">
        <v>0</v>
      </c>
      <c r="F15" s="101">
        <v>0</v>
      </c>
      <c r="G15" s="101">
        <v>0</v>
      </c>
      <c r="H15" s="124">
        <v>915.01549193747417</v>
      </c>
      <c r="I15" s="101">
        <v>473.38818012633516</v>
      </c>
      <c r="J15" s="142">
        <v>441.62731181114941</v>
      </c>
      <c r="K15" s="148">
        <v>945.88058771800866</v>
      </c>
      <c r="L15" s="101">
        <v>489.35640323262277</v>
      </c>
      <c r="M15" s="101">
        <v>456.52418448538612</v>
      </c>
      <c r="N15" s="270">
        <f t="shared" si="3"/>
        <v>0</v>
      </c>
      <c r="O15" s="266">
        <f t="shared" si="4"/>
        <v>0</v>
      </c>
      <c r="P15" s="266">
        <f t="shared" si="4"/>
        <v>0</v>
      </c>
      <c r="Q15" s="262">
        <v>945.88058771800866</v>
      </c>
      <c r="R15" s="258">
        <v>489.35640323262277</v>
      </c>
      <c r="S15" s="258">
        <v>456.52418448538612</v>
      </c>
      <c r="T15" s="153">
        <v>977.69270754483534</v>
      </c>
      <c r="U15" s="116">
        <v>505.81457431658254</v>
      </c>
      <c r="V15" s="116">
        <v>471.87813322824928</v>
      </c>
      <c r="W15" s="117">
        <v>0</v>
      </c>
      <c r="X15" s="116">
        <v>0</v>
      </c>
      <c r="Y15" s="116">
        <v>0</v>
      </c>
      <c r="Z15" s="210">
        <v>977.69270754483534</v>
      </c>
      <c r="AA15" s="167">
        <v>505.81457431658254</v>
      </c>
      <c r="AB15" s="212">
        <v>471.87813322824928</v>
      </c>
    </row>
    <row r="16" spans="1:29" ht="12" customHeight="1" x14ac:dyDescent="0.2">
      <c r="A16" s="12" t="s">
        <v>12</v>
      </c>
      <c r="B16" s="124">
        <v>567.15836277116716</v>
      </c>
      <c r="C16" s="101">
        <v>291.89750403955946</v>
      </c>
      <c r="D16" s="101">
        <v>275.26085873160503</v>
      </c>
      <c r="E16" s="124">
        <v>0</v>
      </c>
      <c r="F16" s="101">
        <v>0</v>
      </c>
      <c r="G16" s="101">
        <v>0</v>
      </c>
      <c r="H16" s="124">
        <v>567.15836277116716</v>
      </c>
      <c r="I16" s="101">
        <v>291.89750403955946</v>
      </c>
      <c r="J16" s="142">
        <v>275.26085873160503</v>
      </c>
      <c r="K16" s="148">
        <v>586.28962048636913</v>
      </c>
      <c r="L16" s="101">
        <v>301.74372467698475</v>
      </c>
      <c r="M16" s="101">
        <v>284.5458958093846</v>
      </c>
      <c r="N16" s="270">
        <f t="shared" si="3"/>
        <v>0</v>
      </c>
      <c r="O16" s="266">
        <f t="shared" si="4"/>
        <v>0</v>
      </c>
      <c r="P16" s="266">
        <f t="shared" si="4"/>
        <v>0</v>
      </c>
      <c r="Q16" s="262">
        <v>586.28962048636913</v>
      </c>
      <c r="R16" s="258">
        <v>301.74372467698475</v>
      </c>
      <c r="S16" s="258">
        <v>284.5458958093846</v>
      </c>
      <c r="T16" s="153">
        <v>606.0078765773759</v>
      </c>
      <c r="U16" s="116">
        <v>311.89205381182109</v>
      </c>
      <c r="V16" s="116">
        <v>294.11582276555129</v>
      </c>
      <c r="W16" s="117">
        <v>0</v>
      </c>
      <c r="X16" s="116">
        <v>0</v>
      </c>
      <c r="Y16" s="116">
        <v>0</v>
      </c>
      <c r="Z16" s="210">
        <v>606.0078765773759</v>
      </c>
      <c r="AA16" s="167">
        <v>311.89205381182109</v>
      </c>
      <c r="AB16" s="212">
        <v>294.11582276555129</v>
      </c>
    </row>
    <row r="17" spans="1:28" ht="12" customHeight="1" x14ac:dyDescent="0.2">
      <c r="A17" s="12" t="s">
        <v>13</v>
      </c>
      <c r="B17" s="124">
        <v>385.66768668439357</v>
      </c>
      <c r="C17" s="101">
        <v>216.27638900340366</v>
      </c>
      <c r="D17" s="101">
        <v>169.39129768098749</v>
      </c>
      <c r="E17" s="124">
        <v>0</v>
      </c>
      <c r="F17" s="101">
        <v>0</v>
      </c>
      <c r="G17" s="101">
        <v>0</v>
      </c>
      <c r="H17" s="124">
        <v>385.66768668439357</v>
      </c>
      <c r="I17" s="101">
        <v>216.27638900340366</v>
      </c>
      <c r="J17" s="142">
        <v>169.39129768098749</v>
      </c>
      <c r="K17" s="148">
        <v>398.67694193073106</v>
      </c>
      <c r="L17" s="101">
        <v>223.57177527880225</v>
      </c>
      <c r="M17" s="101">
        <v>175.1051666519291</v>
      </c>
      <c r="N17" s="270">
        <f t="shared" si="3"/>
        <v>0</v>
      </c>
      <c r="O17" s="266">
        <f t="shared" si="4"/>
        <v>0</v>
      </c>
      <c r="P17" s="266">
        <f t="shared" si="4"/>
        <v>0</v>
      </c>
      <c r="Q17" s="262">
        <v>398.67694193073106</v>
      </c>
      <c r="R17" s="258">
        <v>223.57177527880225</v>
      </c>
      <c r="S17" s="258">
        <v>175.1051666519291</v>
      </c>
      <c r="T17" s="153">
        <v>412.0853560726145</v>
      </c>
      <c r="U17" s="116">
        <v>231.09100360150424</v>
      </c>
      <c r="V17" s="116">
        <v>180.99435247110841</v>
      </c>
      <c r="W17" s="117">
        <v>0</v>
      </c>
      <c r="X17" s="116">
        <v>0</v>
      </c>
      <c r="Y17" s="116">
        <v>0</v>
      </c>
      <c r="Z17" s="210">
        <v>412.0853560726145</v>
      </c>
      <c r="AA17" s="167">
        <v>231.09100360150424</v>
      </c>
      <c r="AB17" s="212">
        <v>180.99435247110841</v>
      </c>
    </row>
    <row r="18" spans="1:28" ht="12" customHeight="1" x14ac:dyDescent="0.2">
      <c r="A18" s="12" t="s">
        <v>14</v>
      </c>
      <c r="B18" s="124">
        <v>335.75775076053026</v>
      </c>
      <c r="C18" s="101">
        <v>151.24223007231026</v>
      </c>
      <c r="D18" s="101">
        <v>184.51552068821852</v>
      </c>
      <c r="E18" s="124">
        <v>0</v>
      </c>
      <c r="F18" s="101">
        <v>0</v>
      </c>
      <c r="G18" s="101">
        <v>0</v>
      </c>
      <c r="H18" s="124">
        <v>335.75775076053026</v>
      </c>
      <c r="I18" s="101">
        <v>151.24223007231026</v>
      </c>
      <c r="J18" s="142">
        <v>184.51552068821852</v>
      </c>
      <c r="K18" s="148">
        <v>347.08345532793061</v>
      </c>
      <c r="L18" s="101">
        <v>156.34389879636529</v>
      </c>
      <c r="M18" s="101">
        <v>190.7395565315656</v>
      </c>
      <c r="N18" s="270">
        <f t="shared" si="3"/>
        <v>0</v>
      </c>
      <c r="O18" s="266">
        <f t="shared" si="4"/>
        <v>0</v>
      </c>
      <c r="P18" s="266">
        <f t="shared" si="4"/>
        <v>0</v>
      </c>
      <c r="Q18" s="262">
        <v>347.08345532793061</v>
      </c>
      <c r="R18" s="258">
        <v>156.34389879636529</v>
      </c>
      <c r="S18" s="258">
        <v>190.7395565315656</v>
      </c>
      <c r="T18" s="153">
        <v>358.7566629338051</v>
      </c>
      <c r="U18" s="116">
        <v>161.60210042063261</v>
      </c>
      <c r="V18" s="116">
        <v>197.15456251317158</v>
      </c>
      <c r="W18" s="117">
        <v>0</v>
      </c>
      <c r="X18" s="116">
        <v>0</v>
      </c>
      <c r="Y18" s="116">
        <v>0</v>
      </c>
      <c r="Z18" s="210">
        <v>358.7566629338051</v>
      </c>
      <c r="AA18" s="167">
        <v>161.60210042063261</v>
      </c>
      <c r="AB18" s="212">
        <v>197.15456251317158</v>
      </c>
    </row>
    <row r="19" spans="1:28" ht="12" customHeight="1" x14ac:dyDescent="0.2">
      <c r="A19" s="12" t="s">
        <v>15</v>
      </c>
      <c r="B19" s="124">
        <v>254.27123841714311</v>
      </c>
      <c r="C19" s="101">
        <v>139.37830846569361</v>
      </c>
      <c r="D19" s="101">
        <v>114.89292995145018</v>
      </c>
      <c r="E19" s="124">
        <v>0</v>
      </c>
      <c r="F19" s="101">
        <v>0</v>
      </c>
      <c r="G19" s="101">
        <v>0</v>
      </c>
      <c r="H19" s="124">
        <v>254.27123841714311</v>
      </c>
      <c r="I19" s="101">
        <v>139.37830846569361</v>
      </c>
      <c r="J19" s="142">
        <v>114.89292995145018</v>
      </c>
      <c r="K19" s="148">
        <v>262.8482583661318</v>
      </c>
      <c r="L19" s="101">
        <v>144.07978606736077</v>
      </c>
      <c r="M19" s="101">
        <v>118.76847229877026</v>
      </c>
      <c r="N19" s="270">
        <f t="shared" si="3"/>
        <v>0</v>
      </c>
      <c r="O19" s="266">
        <f t="shared" si="4"/>
        <v>0</v>
      </c>
      <c r="P19" s="266">
        <f t="shared" si="4"/>
        <v>0</v>
      </c>
      <c r="Q19" s="262">
        <v>262.8482583661318</v>
      </c>
      <c r="R19" s="258">
        <v>144.07978606736077</v>
      </c>
      <c r="S19" s="258">
        <v>118.76847229877026</v>
      </c>
      <c r="T19" s="153">
        <v>271.68844432616493</v>
      </c>
      <c r="U19" s="116">
        <v>148.92551763063835</v>
      </c>
      <c r="V19" s="116">
        <v>122.76292669552612</v>
      </c>
      <c r="W19" s="117">
        <v>0</v>
      </c>
      <c r="X19" s="116">
        <v>0</v>
      </c>
      <c r="Y19" s="116">
        <v>0</v>
      </c>
      <c r="Z19" s="210">
        <v>271.68844432616493</v>
      </c>
      <c r="AA19" s="167">
        <v>148.92551763063835</v>
      </c>
      <c r="AB19" s="212">
        <v>122.76292669552612</v>
      </c>
    </row>
    <row r="20" spans="1:28" ht="12" customHeight="1" x14ac:dyDescent="0.2">
      <c r="A20" s="12" t="s">
        <v>16</v>
      </c>
      <c r="B20" s="124">
        <v>184.58208418429669</v>
      </c>
      <c r="C20" s="101">
        <v>94.174532747090282</v>
      </c>
      <c r="D20" s="101">
        <v>90.407551437206664</v>
      </c>
      <c r="E20" s="124">
        <v>0</v>
      </c>
      <c r="F20" s="101">
        <v>0</v>
      </c>
      <c r="G20" s="101">
        <v>0</v>
      </c>
      <c r="H20" s="124">
        <v>184.58208418429669</v>
      </c>
      <c r="I20" s="101">
        <v>94.174532747090282</v>
      </c>
      <c r="J20" s="142">
        <v>90.407551437206664</v>
      </c>
      <c r="K20" s="148">
        <v>190.80836533245105</v>
      </c>
      <c r="L20" s="101">
        <v>97.35120680227071</v>
      </c>
      <c r="M20" s="101">
        <v>93.457158530179882</v>
      </c>
      <c r="N20" s="270">
        <f t="shared" si="3"/>
        <v>0</v>
      </c>
      <c r="O20" s="266">
        <f t="shared" si="4"/>
        <v>0</v>
      </c>
      <c r="P20" s="266">
        <f t="shared" si="4"/>
        <v>0</v>
      </c>
      <c r="Q20" s="262">
        <v>190.80836533245105</v>
      </c>
      <c r="R20" s="258">
        <v>97.35120680227071</v>
      </c>
      <c r="S20" s="258">
        <v>93.457158530179882</v>
      </c>
      <c r="T20" s="153">
        <v>197.22568551084561</v>
      </c>
      <c r="U20" s="116">
        <v>100.62534975043128</v>
      </c>
      <c r="V20" s="116">
        <v>96.60033576041404</v>
      </c>
      <c r="W20" s="117">
        <v>0</v>
      </c>
      <c r="X20" s="116">
        <v>0</v>
      </c>
      <c r="Y20" s="116">
        <v>0</v>
      </c>
      <c r="Z20" s="210">
        <v>197.22568551084561</v>
      </c>
      <c r="AA20" s="167">
        <v>100.62534975043128</v>
      </c>
      <c r="AB20" s="212">
        <v>96.60033576041404</v>
      </c>
    </row>
    <row r="21" spans="1:28" ht="12" customHeight="1" x14ac:dyDescent="0.2">
      <c r="A21" s="12" t="s">
        <v>17</v>
      </c>
      <c r="B21" s="124">
        <v>92.291042092148473</v>
      </c>
      <c r="C21" s="101">
        <v>48.970757028486915</v>
      </c>
      <c r="D21" s="101">
        <v>43.320285063661508</v>
      </c>
      <c r="E21" s="124">
        <v>0</v>
      </c>
      <c r="F21" s="101">
        <v>0</v>
      </c>
      <c r="G21" s="101">
        <v>0</v>
      </c>
      <c r="H21" s="124">
        <v>92.291042092148473</v>
      </c>
      <c r="I21" s="101">
        <v>48.970757028486915</v>
      </c>
      <c r="J21" s="142">
        <v>43.320285063661508</v>
      </c>
      <c r="K21" s="148">
        <v>95.404182666225296</v>
      </c>
      <c r="L21" s="101">
        <v>50.622627537180769</v>
      </c>
      <c r="M21" s="101">
        <v>44.781555129044527</v>
      </c>
      <c r="N21" s="270">
        <f t="shared" si="3"/>
        <v>0</v>
      </c>
      <c r="O21" s="266">
        <f t="shared" ref="O21:O28" si="5">+O22+O23+O24</f>
        <v>0</v>
      </c>
      <c r="P21" s="266">
        <f t="shared" ref="P21:P28" si="6">+P22+P23+P24</f>
        <v>0</v>
      </c>
      <c r="Q21" s="262">
        <v>95.404182666225296</v>
      </c>
      <c r="R21" s="258">
        <v>50.622627537180769</v>
      </c>
      <c r="S21" s="258">
        <v>44.781555129044527</v>
      </c>
      <c r="T21" s="153">
        <v>98.612842755422662</v>
      </c>
      <c r="U21" s="116">
        <v>52.325181870224334</v>
      </c>
      <c r="V21" s="116">
        <v>46.287660885198449</v>
      </c>
      <c r="W21" s="117">
        <v>0</v>
      </c>
      <c r="X21" s="116">
        <v>0</v>
      </c>
      <c r="Y21" s="116">
        <v>0</v>
      </c>
      <c r="Z21" s="210">
        <v>98.612842755422662</v>
      </c>
      <c r="AA21" s="167">
        <v>52.325181870224334</v>
      </c>
      <c r="AB21" s="212">
        <v>46.287660885198449</v>
      </c>
    </row>
    <row r="22" spans="1:28" ht="12" customHeight="1" x14ac:dyDescent="0.2">
      <c r="A22" s="12" t="s">
        <v>18</v>
      </c>
      <c r="B22" s="124">
        <v>56.504719648254124</v>
      </c>
      <c r="C22" s="101">
        <v>26.368869169185277</v>
      </c>
      <c r="D22" s="101">
        <v>30.135850479068889</v>
      </c>
      <c r="E22" s="124">
        <v>0</v>
      </c>
      <c r="F22" s="101">
        <v>0</v>
      </c>
      <c r="G22" s="101">
        <v>0</v>
      </c>
      <c r="H22" s="124">
        <v>56.504719648254124</v>
      </c>
      <c r="I22" s="101">
        <v>26.368869169185277</v>
      </c>
      <c r="J22" s="142">
        <v>30.135850479068889</v>
      </c>
      <c r="K22" s="148">
        <v>58.410724081362424</v>
      </c>
      <c r="L22" s="101">
        <v>27.258337904635798</v>
      </c>
      <c r="M22" s="101">
        <v>31.152386176726626</v>
      </c>
      <c r="N22" s="270">
        <f t="shared" si="3"/>
        <v>0</v>
      </c>
      <c r="O22" s="266">
        <f t="shared" si="5"/>
        <v>0</v>
      </c>
      <c r="P22" s="266">
        <f t="shared" si="6"/>
        <v>0</v>
      </c>
      <c r="Q22" s="262">
        <v>58.410724081362424</v>
      </c>
      <c r="R22" s="258">
        <v>27.258337904635798</v>
      </c>
      <c r="S22" s="258">
        <v>31.152386176726626</v>
      </c>
      <c r="T22" s="153">
        <v>60.375209850258848</v>
      </c>
      <c r="U22" s="116">
        <v>28.175097930120796</v>
      </c>
      <c r="V22" s="116">
        <v>32.200111920138049</v>
      </c>
      <c r="W22" s="117">
        <v>0</v>
      </c>
      <c r="X22" s="116">
        <v>0</v>
      </c>
      <c r="Y22" s="116">
        <v>0</v>
      </c>
      <c r="Z22" s="210">
        <v>60.375209850258848</v>
      </c>
      <c r="AA22" s="167">
        <v>28.175097930120796</v>
      </c>
      <c r="AB22" s="212">
        <v>32.200111920138049</v>
      </c>
    </row>
    <row r="23" spans="1:28" ht="12" customHeight="1" x14ac:dyDescent="0.2">
      <c r="A23" s="12" t="s">
        <v>19</v>
      </c>
      <c r="B23" s="124">
        <v>5.6504719648254165</v>
      </c>
      <c r="C23" s="101">
        <v>1.8834906549418056</v>
      </c>
      <c r="D23" s="101">
        <v>3.7669813098836111</v>
      </c>
      <c r="E23" s="124">
        <v>0</v>
      </c>
      <c r="F23" s="101">
        <v>0</v>
      </c>
      <c r="G23" s="101">
        <v>0</v>
      </c>
      <c r="H23" s="124">
        <v>5.6504719648254165</v>
      </c>
      <c r="I23" s="101">
        <v>1.8834906549418056</v>
      </c>
      <c r="J23" s="142">
        <v>3.7669813098836111</v>
      </c>
      <c r="K23" s="148">
        <v>5.8410724081362435</v>
      </c>
      <c r="L23" s="101">
        <v>1.9470241360454146</v>
      </c>
      <c r="M23" s="101">
        <v>3.8940482720908292</v>
      </c>
      <c r="N23" s="270">
        <f t="shared" si="3"/>
        <v>0</v>
      </c>
      <c r="O23" s="266">
        <f t="shared" si="5"/>
        <v>0</v>
      </c>
      <c r="P23" s="266">
        <f t="shared" si="6"/>
        <v>0</v>
      </c>
      <c r="Q23" s="262">
        <v>5.8410724081362435</v>
      </c>
      <c r="R23" s="258">
        <v>1.9470241360454146</v>
      </c>
      <c r="S23" s="258">
        <v>3.8940482720908292</v>
      </c>
      <c r="T23" s="153">
        <v>6.0375209850258837</v>
      </c>
      <c r="U23" s="116">
        <v>2.0125069950086281</v>
      </c>
      <c r="V23" s="116">
        <v>4.0250139900172561</v>
      </c>
      <c r="W23" s="117">
        <v>0</v>
      </c>
      <c r="X23" s="116">
        <v>0</v>
      </c>
      <c r="Y23" s="116">
        <v>0</v>
      </c>
      <c r="Z23" s="210">
        <v>6.0375209850258837</v>
      </c>
      <c r="AA23" s="167">
        <v>2.0125069950086281</v>
      </c>
      <c r="AB23" s="212">
        <v>4.0250139900172561</v>
      </c>
    </row>
    <row r="24" spans="1:28" ht="12" customHeight="1" x14ac:dyDescent="0.2">
      <c r="A24" s="12" t="s">
        <v>20</v>
      </c>
      <c r="B24" s="124">
        <v>13.184434584592639</v>
      </c>
      <c r="C24" s="101">
        <v>0</v>
      </c>
      <c r="D24" s="101">
        <v>13.184434584592639</v>
      </c>
      <c r="E24" s="124">
        <v>0</v>
      </c>
      <c r="F24" s="101">
        <v>0</v>
      </c>
      <c r="G24" s="101">
        <v>0</v>
      </c>
      <c r="H24" s="124">
        <v>13.184434584592639</v>
      </c>
      <c r="I24" s="101">
        <v>0</v>
      </c>
      <c r="J24" s="142">
        <v>13.184434584592639</v>
      </c>
      <c r="K24" s="148">
        <v>13.629168952317901</v>
      </c>
      <c r="L24" s="101">
        <v>0</v>
      </c>
      <c r="M24" s="101">
        <v>13.629168952317901</v>
      </c>
      <c r="N24" s="270">
        <f t="shared" si="3"/>
        <v>0</v>
      </c>
      <c r="O24" s="266">
        <f t="shared" si="5"/>
        <v>0</v>
      </c>
      <c r="P24" s="266">
        <f t="shared" si="6"/>
        <v>0</v>
      </c>
      <c r="Q24" s="262">
        <v>13.629168952317901</v>
      </c>
      <c r="R24" s="258">
        <v>0</v>
      </c>
      <c r="S24" s="258">
        <v>13.629168952317901</v>
      </c>
      <c r="T24" s="153">
        <v>14.087548965060398</v>
      </c>
      <c r="U24" s="116">
        <v>0</v>
      </c>
      <c r="V24" s="116">
        <v>14.087548965060398</v>
      </c>
      <c r="W24" s="117">
        <v>0</v>
      </c>
      <c r="X24" s="116">
        <v>0</v>
      </c>
      <c r="Y24" s="116">
        <v>0</v>
      </c>
      <c r="Z24" s="210">
        <v>14.087548965060398</v>
      </c>
      <c r="AA24" s="167">
        <v>0</v>
      </c>
      <c r="AB24" s="212">
        <v>14.087548965060398</v>
      </c>
    </row>
    <row r="25" spans="1:28" ht="12" customHeight="1" thickBot="1" x14ac:dyDescent="0.25">
      <c r="A25" s="200" t="s">
        <v>21</v>
      </c>
      <c r="B25" s="202">
        <v>7.5339626197672223</v>
      </c>
      <c r="C25" s="201">
        <v>3.7669813098836111</v>
      </c>
      <c r="D25" s="201">
        <v>3.7669813098836111</v>
      </c>
      <c r="E25" s="202">
        <v>0</v>
      </c>
      <c r="F25" s="201">
        <v>0</v>
      </c>
      <c r="G25" s="201">
        <v>0</v>
      </c>
      <c r="H25" s="202">
        <v>7.5339626197672223</v>
      </c>
      <c r="I25" s="201">
        <v>3.7669813098836111</v>
      </c>
      <c r="J25" s="206">
        <v>3.7669813098836111</v>
      </c>
      <c r="K25" s="207">
        <v>7.7880965441816583</v>
      </c>
      <c r="L25" s="201">
        <v>3.8940482720908292</v>
      </c>
      <c r="M25" s="201">
        <v>3.8940482720908292</v>
      </c>
      <c r="N25" s="271">
        <f t="shared" si="3"/>
        <v>0</v>
      </c>
      <c r="O25" s="267">
        <f t="shared" si="5"/>
        <v>0</v>
      </c>
      <c r="P25" s="267">
        <f t="shared" si="6"/>
        <v>0</v>
      </c>
      <c r="Q25" s="262">
        <v>7.7880965441816583</v>
      </c>
      <c r="R25" s="258">
        <v>3.8940482720908292</v>
      </c>
      <c r="S25" s="258">
        <v>3.8940482720908292</v>
      </c>
      <c r="T25" s="208">
        <v>8.0500279800345123</v>
      </c>
      <c r="U25" s="204">
        <v>4.0250139900172561</v>
      </c>
      <c r="V25" s="204">
        <v>4.0250139900172561</v>
      </c>
      <c r="W25" s="205">
        <v>0</v>
      </c>
      <c r="X25" s="204">
        <v>0</v>
      </c>
      <c r="Y25" s="204">
        <v>0</v>
      </c>
      <c r="Z25" s="214">
        <v>8.0500279800345123</v>
      </c>
      <c r="AA25" s="177">
        <v>4.0250139900172561</v>
      </c>
      <c r="AB25" s="215">
        <v>4.0250139900172561</v>
      </c>
    </row>
    <row r="26" spans="1:28" ht="12" customHeight="1" x14ac:dyDescent="0.2">
      <c r="A26" s="22" t="s">
        <v>69</v>
      </c>
      <c r="B26" s="210">
        <v>12684.695887768541</v>
      </c>
      <c r="C26" s="167">
        <v>6754.4883675384208</v>
      </c>
      <c r="D26" s="167">
        <v>5930.2075202294745</v>
      </c>
      <c r="E26" s="124">
        <v>0</v>
      </c>
      <c r="F26" s="101">
        <v>0</v>
      </c>
      <c r="G26" s="101">
        <v>0</v>
      </c>
      <c r="H26" s="210">
        <v>12684.695887768541</v>
      </c>
      <c r="I26" s="167">
        <v>6754.4883675384208</v>
      </c>
      <c r="J26" s="212">
        <v>5930.2075202294745</v>
      </c>
      <c r="K26" s="213">
        <v>13112.573182711891</v>
      </c>
      <c r="L26" s="167">
        <v>6982.329242638396</v>
      </c>
      <c r="M26" s="167">
        <v>6130.2439400753583</v>
      </c>
      <c r="N26" s="270">
        <f t="shared" si="3"/>
        <v>0</v>
      </c>
      <c r="O26" s="266">
        <f t="shared" si="5"/>
        <v>0</v>
      </c>
      <c r="P26" s="266">
        <f t="shared" si="6"/>
        <v>0</v>
      </c>
      <c r="Q26" s="263">
        <v>13112.573182711891</v>
      </c>
      <c r="R26" s="260">
        <v>6982.329242638396</v>
      </c>
      <c r="S26" s="260">
        <v>6130.2439400753583</v>
      </c>
      <c r="T26" s="213">
        <v>13553.578902401125</v>
      </c>
      <c r="U26" s="167">
        <v>7217.1608877961999</v>
      </c>
      <c r="V26" s="167">
        <v>6336.4180146056933</v>
      </c>
      <c r="W26" s="210">
        <v>0</v>
      </c>
      <c r="X26" s="167">
        <v>0</v>
      </c>
      <c r="Y26" s="167">
        <v>0</v>
      </c>
      <c r="Z26" s="210">
        <v>13553.578902401125</v>
      </c>
      <c r="AA26" s="167">
        <v>7217.1608877961999</v>
      </c>
      <c r="AB26" s="212">
        <v>6336.4180146056933</v>
      </c>
    </row>
    <row r="27" spans="1:28" ht="12" customHeight="1" x14ac:dyDescent="0.2">
      <c r="A27" s="13" t="s">
        <v>22</v>
      </c>
      <c r="B27" s="124">
        <v>972.03821395495811</v>
      </c>
      <c r="C27" s="101">
        <v>508.25527527056579</v>
      </c>
      <c r="D27" s="101">
        <v>463.78293868439118</v>
      </c>
      <c r="E27" s="124">
        <v>0</v>
      </c>
      <c r="F27" s="101">
        <v>0</v>
      </c>
      <c r="G27" s="101">
        <v>0</v>
      </c>
      <c r="H27" s="124">
        <v>972.03821395495811</v>
      </c>
      <c r="I27" s="101">
        <v>508.25527527056579</v>
      </c>
      <c r="J27" s="142">
        <v>463.78293868439118</v>
      </c>
      <c r="K27" s="148">
        <v>1004.826787307449</v>
      </c>
      <c r="L27" s="101">
        <v>525.39962735029371</v>
      </c>
      <c r="M27" s="101">
        <v>479.42715995714298</v>
      </c>
      <c r="N27" s="270">
        <f t="shared" si="3"/>
        <v>0</v>
      </c>
      <c r="O27" s="266">
        <f t="shared" si="5"/>
        <v>0</v>
      </c>
      <c r="P27" s="266">
        <f t="shared" si="6"/>
        <v>0</v>
      </c>
      <c r="Q27" s="262">
        <v>1004.826787307449</v>
      </c>
      <c r="R27" s="258">
        <v>525.39962735029371</v>
      </c>
      <c r="S27" s="258">
        <v>479.42715995714298</v>
      </c>
      <c r="T27" s="153">
        <v>1038.6214021648443</v>
      </c>
      <c r="U27" s="116">
        <v>543.07001420384006</v>
      </c>
      <c r="V27" s="116">
        <v>495.55138796100408</v>
      </c>
      <c r="W27" s="117">
        <v>0</v>
      </c>
      <c r="X27" s="116">
        <v>0</v>
      </c>
      <c r="Y27" s="116">
        <v>0</v>
      </c>
      <c r="Z27" s="210">
        <v>1038.6214021648443</v>
      </c>
      <c r="AA27" s="167">
        <v>543.07001420384006</v>
      </c>
      <c r="AB27" s="212">
        <v>495.55138796100408</v>
      </c>
    </row>
    <row r="28" spans="1:28" ht="12" customHeight="1" thickBot="1" x14ac:dyDescent="0.25">
      <c r="A28" s="137" t="s">
        <v>23</v>
      </c>
      <c r="B28" s="214">
        <v>16373.252255411682</v>
      </c>
      <c r="C28" s="177">
        <v>8655.2798951529549</v>
      </c>
      <c r="D28" s="177">
        <v>7717.9723602562908</v>
      </c>
      <c r="E28" s="202">
        <v>0</v>
      </c>
      <c r="F28" s="101">
        <v>0</v>
      </c>
      <c r="G28" s="201">
        <v>0</v>
      </c>
      <c r="H28" s="214">
        <v>16373.252255411682</v>
      </c>
      <c r="I28" s="177">
        <v>8655.2798951529549</v>
      </c>
      <c r="J28" s="215">
        <v>7717.9723602562908</v>
      </c>
      <c r="K28" s="216">
        <v>16925.551100136381</v>
      </c>
      <c r="L28" s="177">
        <v>8947.2378404835345</v>
      </c>
      <c r="M28" s="177">
        <v>7978.3132596511205</v>
      </c>
      <c r="N28" s="271">
        <f t="shared" si="3"/>
        <v>0</v>
      </c>
      <c r="O28" s="267">
        <f t="shared" si="5"/>
        <v>0</v>
      </c>
      <c r="P28" s="266">
        <f t="shared" si="6"/>
        <v>0</v>
      </c>
      <c r="Q28" s="264">
        <v>16925.551100136381</v>
      </c>
      <c r="R28" s="258">
        <v>8947.2378404835345</v>
      </c>
      <c r="S28" s="258">
        <v>7978.3132596511205</v>
      </c>
      <c r="T28" s="216">
        <v>17494.795956963175</v>
      </c>
      <c r="U28" s="167">
        <v>9248.1538398143821</v>
      </c>
      <c r="V28" s="177">
        <v>8246.642117149624</v>
      </c>
      <c r="W28" s="214">
        <v>0</v>
      </c>
      <c r="X28" s="177">
        <v>0</v>
      </c>
      <c r="Y28" s="177">
        <v>0</v>
      </c>
      <c r="Z28" s="214">
        <v>17494.795956963175</v>
      </c>
      <c r="AA28" s="177">
        <v>9248.1538398143821</v>
      </c>
      <c r="AB28" s="215">
        <v>8246.642117149624</v>
      </c>
    </row>
    <row r="29" spans="1:28" x14ac:dyDescent="0.2">
      <c r="A29" s="281" t="s">
        <v>91</v>
      </c>
      <c r="F29" s="246"/>
      <c r="H29" s="167"/>
      <c r="K29" s="167"/>
      <c r="L29" s="167"/>
      <c r="M29" s="167"/>
      <c r="P29" s="246"/>
      <c r="Q29" s="259"/>
      <c r="R29" s="246"/>
      <c r="S29" s="246"/>
      <c r="T29" s="167"/>
      <c r="U29" s="246"/>
      <c r="Z29" s="167"/>
    </row>
    <row r="30" spans="1:28" x14ac:dyDescent="0.2">
      <c r="H30" s="195"/>
      <c r="I30" s="195"/>
      <c r="J30" s="195"/>
    </row>
    <row r="31" spans="1:28" x14ac:dyDescent="0.2">
      <c r="H31" s="195"/>
      <c r="I31" s="195"/>
      <c r="J31" s="195"/>
    </row>
    <row r="32" spans="1:28" x14ac:dyDescent="0.2">
      <c r="H32" s="195"/>
      <c r="I32" s="195"/>
      <c r="J32" s="195"/>
      <c r="R32" s="167"/>
    </row>
    <row r="33" spans="8:10" x14ac:dyDescent="0.2">
      <c r="H33" s="195"/>
      <c r="I33" s="195"/>
      <c r="J33" s="195"/>
    </row>
    <row r="34" spans="8:10" x14ac:dyDescent="0.2">
      <c r="H34" s="195"/>
      <c r="I34" s="195"/>
      <c r="J34" s="195"/>
    </row>
    <row r="35" spans="8:10" x14ac:dyDescent="0.2">
      <c r="H35" s="195"/>
      <c r="I35" s="195"/>
      <c r="J35" s="195"/>
    </row>
    <row r="36" spans="8:10" x14ac:dyDescent="0.2">
      <c r="H36" s="195"/>
      <c r="I36" s="195"/>
      <c r="J36" s="195"/>
    </row>
    <row r="37" spans="8:10" x14ac:dyDescent="0.2">
      <c r="H37" s="195"/>
      <c r="I37" s="195"/>
      <c r="J37" s="195"/>
    </row>
    <row r="38" spans="8:10" x14ac:dyDescent="0.2">
      <c r="H38" s="195"/>
      <c r="I38" s="195"/>
      <c r="J38" s="195"/>
    </row>
    <row r="39" spans="8:10" x14ac:dyDescent="0.2">
      <c r="H39" s="195"/>
      <c r="I39" s="195"/>
      <c r="J39" s="195"/>
    </row>
    <row r="40" spans="8:10" x14ac:dyDescent="0.2">
      <c r="H40" s="195"/>
      <c r="I40" s="195"/>
      <c r="J40" s="195"/>
    </row>
    <row r="41" spans="8:10" x14ac:dyDescent="0.2">
      <c r="H41" s="195"/>
      <c r="I41" s="195"/>
      <c r="J41" s="195"/>
    </row>
    <row r="42" spans="8:10" x14ac:dyDescent="0.2">
      <c r="H42" s="195"/>
      <c r="I42" s="195"/>
      <c r="J42" s="195"/>
    </row>
    <row r="43" spans="8:10" x14ac:dyDescent="0.2">
      <c r="H43" s="195"/>
      <c r="I43" s="195"/>
      <c r="J43" s="195"/>
    </row>
    <row r="44" spans="8:10" x14ac:dyDescent="0.2">
      <c r="H44" s="195"/>
      <c r="I44" s="195"/>
      <c r="J44" s="195"/>
    </row>
    <row r="45" spans="8:10" x14ac:dyDescent="0.2">
      <c r="H45" s="195"/>
      <c r="I45" s="195"/>
      <c r="J45" s="195"/>
    </row>
    <row r="46" spans="8:10" x14ac:dyDescent="0.2">
      <c r="H46" s="195"/>
      <c r="I46" s="195"/>
      <c r="J46" s="195"/>
    </row>
    <row r="47" spans="8:10" x14ac:dyDescent="0.2">
      <c r="H47" s="195"/>
      <c r="I47" s="195"/>
      <c r="J47" s="195"/>
    </row>
    <row r="48" spans="8:10" x14ac:dyDescent="0.2">
      <c r="H48" s="195"/>
      <c r="I48" s="195"/>
      <c r="J48" s="195"/>
    </row>
    <row r="49" spans="8:10" x14ac:dyDescent="0.2">
      <c r="H49" s="195"/>
      <c r="I49" s="195"/>
      <c r="J49" s="195"/>
    </row>
    <row r="50" spans="8:10" x14ac:dyDescent="0.2">
      <c r="H50" s="195"/>
      <c r="I50" s="195"/>
      <c r="J50" s="195"/>
    </row>
    <row r="51" spans="8:10" x14ac:dyDescent="0.2">
      <c r="H51" s="195"/>
      <c r="I51" s="195"/>
      <c r="J51" s="195"/>
    </row>
    <row r="52" spans="8:10" x14ac:dyDescent="0.2">
      <c r="H52" s="195"/>
      <c r="I52" s="195"/>
      <c r="J52" s="195"/>
    </row>
    <row r="53" spans="8:10" x14ac:dyDescent="0.2">
      <c r="H53" s="195"/>
      <c r="I53" s="195"/>
      <c r="J53" s="195"/>
    </row>
    <row r="54" spans="8:10" x14ac:dyDescent="0.2">
      <c r="H54" s="195"/>
      <c r="I54" s="195"/>
      <c r="J54" s="195"/>
    </row>
    <row r="55" spans="8:10" x14ac:dyDescent="0.2">
      <c r="H55" s="195"/>
      <c r="I55" s="195"/>
      <c r="J55" s="195"/>
    </row>
    <row r="56" spans="8:10" x14ac:dyDescent="0.2">
      <c r="H56" s="195"/>
      <c r="I56" s="195"/>
      <c r="J56" s="195"/>
    </row>
    <row r="57" spans="8:10" x14ac:dyDescent="0.2">
      <c r="H57" s="195">
        <f t="shared" ref="H57" si="7">+H32-B32</f>
        <v>0</v>
      </c>
      <c r="I57" s="195">
        <f t="shared" ref="I57" si="8">+I32-C32</f>
        <v>0</v>
      </c>
      <c r="J57" s="195">
        <f t="shared" ref="J57" si="9">+J32-D32</f>
        <v>0</v>
      </c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1"/>
  <sheetViews>
    <sheetView workbookViewId="0">
      <selection activeCell="A29" sqref="A29"/>
    </sheetView>
  </sheetViews>
  <sheetFormatPr defaultRowHeight="12" x14ac:dyDescent="0.2"/>
  <cols>
    <col min="1" max="1" width="18.42578125" style="22" customWidth="1"/>
    <col min="2" max="16384" width="9.140625" style="22"/>
  </cols>
  <sheetData>
    <row r="1" spans="1:28" ht="12.75" thickBot="1" x14ac:dyDescent="0.25">
      <c r="A1" s="126" t="s">
        <v>84</v>
      </c>
    </row>
    <row r="2" spans="1:28" ht="15.75" customHeight="1" x14ac:dyDescent="0.2">
      <c r="A2" s="284" t="s">
        <v>42</v>
      </c>
      <c r="B2" s="285"/>
      <c r="C2" s="285"/>
      <c r="D2" s="285"/>
      <c r="E2" s="285"/>
      <c r="F2" s="285"/>
      <c r="G2" s="285"/>
      <c r="H2" s="285"/>
      <c r="I2" s="285"/>
      <c r="J2" s="286"/>
      <c r="K2" s="284" t="s">
        <v>43</v>
      </c>
      <c r="L2" s="285"/>
      <c r="M2" s="285"/>
      <c r="N2" s="285"/>
      <c r="O2" s="285"/>
      <c r="P2" s="285"/>
      <c r="Q2" s="285"/>
      <c r="R2" s="285"/>
      <c r="S2" s="286"/>
      <c r="T2" s="284" t="s">
        <v>44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25">
      <c r="A3" s="294" t="s">
        <v>65</v>
      </c>
      <c r="B3" s="186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46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46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8" ht="15.75" customHeight="1" thickBot="1" x14ac:dyDescent="0.25">
      <c r="A4" s="288"/>
      <c r="B4" s="194" t="s">
        <v>1</v>
      </c>
      <c r="C4" s="5" t="s">
        <v>34</v>
      </c>
      <c r="D4" s="6" t="s">
        <v>35</v>
      </c>
      <c r="E4" s="81" t="s">
        <v>1</v>
      </c>
      <c r="F4" s="5" t="s">
        <v>34</v>
      </c>
      <c r="G4" s="6" t="s">
        <v>35</v>
      </c>
      <c r="H4" s="81" t="s">
        <v>1</v>
      </c>
      <c r="I4" s="5" t="s">
        <v>34</v>
      </c>
      <c r="J4" s="82" t="s">
        <v>35</v>
      </c>
      <c r="K4" s="80" t="s">
        <v>1</v>
      </c>
      <c r="L4" s="5" t="s">
        <v>34</v>
      </c>
      <c r="M4" s="6" t="s">
        <v>35</v>
      </c>
      <c r="N4" s="81" t="s">
        <v>1</v>
      </c>
      <c r="O4" s="5" t="s">
        <v>34</v>
      </c>
      <c r="P4" s="6" t="s">
        <v>35</v>
      </c>
      <c r="Q4" s="81" t="s">
        <v>1</v>
      </c>
      <c r="R4" s="5" t="s">
        <v>34</v>
      </c>
      <c r="S4" s="82" t="s">
        <v>35</v>
      </c>
      <c r="T4" s="80" t="s">
        <v>1</v>
      </c>
      <c r="U4" s="5" t="s">
        <v>34</v>
      </c>
      <c r="V4" s="6" t="s">
        <v>35</v>
      </c>
      <c r="W4" s="81" t="s">
        <v>1</v>
      </c>
      <c r="X4" s="5" t="s">
        <v>34</v>
      </c>
      <c r="Y4" s="6" t="s">
        <v>35</v>
      </c>
      <c r="Z4" s="81" t="s">
        <v>1</v>
      </c>
      <c r="AA4" s="5" t="s">
        <v>34</v>
      </c>
      <c r="AB4" s="82" t="s">
        <v>35</v>
      </c>
    </row>
    <row r="5" spans="1:28" s="218" customFormat="1" ht="12" customHeight="1" thickBot="1" x14ac:dyDescent="0.25">
      <c r="A5" s="217" t="s">
        <v>45</v>
      </c>
      <c r="B5" s="276">
        <f>+SUM(B6:B25)</f>
        <v>32872.807086492889</v>
      </c>
      <c r="C5" s="276">
        <f t="shared" ref="C5:AB5" si="0">+SUM(C6:C25)</f>
        <v>16086.866355867944</v>
      </c>
      <c r="D5" s="277">
        <f t="shared" si="0"/>
        <v>16785.940730624567</v>
      </c>
      <c r="E5" s="276">
        <f t="shared" si="0"/>
        <v>0</v>
      </c>
      <c r="F5" s="276">
        <f t="shared" si="0"/>
        <v>0</v>
      </c>
      <c r="G5" s="277">
        <f t="shared" si="0"/>
        <v>0</v>
      </c>
      <c r="H5" s="276">
        <f t="shared" si="0"/>
        <v>32872.807086492889</v>
      </c>
      <c r="I5" s="276">
        <f t="shared" si="0"/>
        <v>16086.866355867944</v>
      </c>
      <c r="J5" s="278">
        <f t="shared" si="0"/>
        <v>16785.940730624567</v>
      </c>
      <c r="K5" s="276">
        <f t="shared" si="0"/>
        <v>33981.665185880898</v>
      </c>
      <c r="L5" s="276">
        <f t="shared" si="0"/>
        <v>16629.504896152295</v>
      </c>
      <c r="M5" s="277">
        <f t="shared" si="0"/>
        <v>17352.160289727395</v>
      </c>
      <c r="N5" s="276">
        <f t="shared" si="0"/>
        <v>0</v>
      </c>
      <c r="O5" s="276">
        <f t="shared" si="0"/>
        <v>0</v>
      </c>
      <c r="P5" s="277">
        <f t="shared" si="0"/>
        <v>0</v>
      </c>
      <c r="Q5" s="276">
        <f t="shared" si="0"/>
        <v>33981.665185880898</v>
      </c>
      <c r="R5" s="276">
        <f t="shared" si="0"/>
        <v>16629.504896152295</v>
      </c>
      <c r="S5" s="278">
        <f t="shared" si="0"/>
        <v>17352.160289727395</v>
      </c>
      <c r="T5" s="276">
        <f t="shared" si="0"/>
        <v>35124.546030296005</v>
      </c>
      <c r="U5" s="276">
        <f t="shared" si="0"/>
        <v>17188.79304445173</v>
      </c>
      <c r="V5" s="277">
        <f t="shared" si="0"/>
        <v>17935.752985844421</v>
      </c>
      <c r="W5" s="276">
        <f t="shared" si="0"/>
        <v>0</v>
      </c>
      <c r="X5" s="276">
        <f t="shared" si="0"/>
        <v>0</v>
      </c>
      <c r="Y5" s="277">
        <f t="shared" si="0"/>
        <v>0</v>
      </c>
      <c r="Z5" s="276">
        <f t="shared" si="0"/>
        <v>35124.546030296005</v>
      </c>
      <c r="AA5" s="276">
        <f t="shared" si="0"/>
        <v>17188.79304445173</v>
      </c>
      <c r="AB5" s="278">
        <f t="shared" si="0"/>
        <v>17935.752985844421</v>
      </c>
    </row>
    <row r="6" spans="1:28" s="218" customFormat="1" ht="12" customHeight="1" x14ac:dyDescent="0.2">
      <c r="A6" s="219" t="s">
        <v>2</v>
      </c>
      <c r="B6" s="196">
        <v>7408.4582017476023</v>
      </c>
      <c r="C6" s="197">
        <v>3738.4520710091074</v>
      </c>
      <c r="D6" s="198">
        <v>3670.0061307378028</v>
      </c>
      <c r="E6" s="197">
        <v>0</v>
      </c>
      <c r="F6" s="197">
        <v>0</v>
      </c>
      <c r="G6" s="198">
        <v>0</v>
      </c>
      <c r="H6" s="197">
        <v>7408.4582017476023</v>
      </c>
      <c r="I6" s="197">
        <v>3738.4520710091074</v>
      </c>
      <c r="J6" s="227">
        <v>3670.0061307378028</v>
      </c>
      <c r="K6" s="231">
        <v>7658.3586394976337</v>
      </c>
      <c r="L6" s="197">
        <v>3864.5566913782427</v>
      </c>
      <c r="M6" s="198">
        <v>3793.8019481184851</v>
      </c>
      <c r="N6" s="197">
        <v>0</v>
      </c>
      <c r="O6" s="197">
        <v>0</v>
      </c>
      <c r="P6" s="198">
        <v>0</v>
      </c>
      <c r="Q6" s="197">
        <v>7658.3586394976337</v>
      </c>
      <c r="R6" s="197">
        <v>3864.5566913782427</v>
      </c>
      <c r="S6" s="227">
        <v>3793.8019481184851</v>
      </c>
      <c r="T6" s="231">
        <v>7915.9266939432282</v>
      </c>
      <c r="U6" s="197">
        <v>3994.5305402340368</v>
      </c>
      <c r="V6" s="198">
        <v>3921.3961537083956</v>
      </c>
      <c r="W6" s="197">
        <v>0</v>
      </c>
      <c r="X6" s="197">
        <v>0</v>
      </c>
      <c r="Y6" s="198">
        <v>0</v>
      </c>
      <c r="Z6" s="197">
        <v>7915.9266939432282</v>
      </c>
      <c r="AA6" s="197">
        <v>3994.5305402340368</v>
      </c>
      <c r="AB6" s="227">
        <v>3921.3961537083956</v>
      </c>
    </row>
    <row r="7" spans="1:28" s="218" customFormat="1" ht="12" customHeight="1" x14ac:dyDescent="0.2">
      <c r="A7" s="219" t="s">
        <v>3</v>
      </c>
      <c r="B7" s="196">
        <v>5877.2771470493972</v>
      </c>
      <c r="C7" s="197">
        <v>3013.6608510673054</v>
      </c>
      <c r="D7" s="198">
        <v>2863.6162959823755</v>
      </c>
      <c r="E7" s="197">
        <v>0</v>
      </c>
      <c r="F7" s="197">
        <v>0</v>
      </c>
      <c r="G7" s="198">
        <v>0</v>
      </c>
      <c r="H7" s="197">
        <v>5877.2771470493972</v>
      </c>
      <c r="I7" s="197">
        <v>3013.6608510673054</v>
      </c>
      <c r="J7" s="227">
        <v>2863.6162959823755</v>
      </c>
      <c r="K7" s="231">
        <v>6075.5281315095835</v>
      </c>
      <c r="L7" s="197">
        <v>3115.3169778081724</v>
      </c>
      <c r="M7" s="198">
        <v>2960.2111537011865</v>
      </c>
      <c r="N7" s="197">
        <v>0</v>
      </c>
      <c r="O7" s="197">
        <v>0</v>
      </c>
      <c r="P7" s="198">
        <v>0</v>
      </c>
      <c r="Q7" s="197">
        <v>6075.5281315095835</v>
      </c>
      <c r="R7" s="197">
        <v>3115.3169778081724</v>
      </c>
      <c r="S7" s="227">
        <v>2960.2111537011865</v>
      </c>
      <c r="T7" s="231">
        <v>6279.8619887001314</v>
      </c>
      <c r="U7" s="197">
        <v>3220.0921875792824</v>
      </c>
      <c r="V7" s="198">
        <v>3059.7698011214147</v>
      </c>
      <c r="W7" s="197">
        <v>0</v>
      </c>
      <c r="X7" s="197">
        <v>0</v>
      </c>
      <c r="Y7" s="198">
        <v>0</v>
      </c>
      <c r="Z7" s="197">
        <v>6279.8619887001314</v>
      </c>
      <c r="AA7" s="197">
        <v>3220.0921875792824</v>
      </c>
      <c r="AB7" s="227">
        <v>3059.7698011214147</v>
      </c>
    </row>
    <row r="8" spans="1:28" s="218" customFormat="1" ht="12" customHeight="1" x14ac:dyDescent="0.2">
      <c r="A8" s="219" t="s">
        <v>4</v>
      </c>
      <c r="B8" s="196">
        <v>4652.9774263035624</v>
      </c>
      <c r="C8" s="197">
        <v>2411.8864120564695</v>
      </c>
      <c r="D8" s="198">
        <v>2241.0910142470279</v>
      </c>
      <c r="E8" s="197">
        <v>0</v>
      </c>
      <c r="F8" s="197">
        <v>0</v>
      </c>
      <c r="G8" s="198">
        <v>0</v>
      </c>
      <c r="H8" s="197">
        <v>4652.9774263035624</v>
      </c>
      <c r="I8" s="197">
        <v>2411.8864120564695</v>
      </c>
      <c r="J8" s="227">
        <v>2241.0910142470279</v>
      </c>
      <c r="K8" s="231">
        <v>4809.9306092749221</v>
      </c>
      <c r="L8" s="197">
        <v>2493.2436194216439</v>
      </c>
      <c r="M8" s="198">
        <v>2316.6869898530535</v>
      </c>
      <c r="N8" s="197">
        <v>0</v>
      </c>
      <c r="O8" s="197">
        <v>0</v>
      </c>
      <c r="P8" s="198">
        <v>0</v>
      </c>
      <c r="Q8" s="197">
        <v>4809.9306092749221</v>
      </c>
      <c r="R8" s="197">
        <v>2493.2436194216439</v>
      </c>
      <c r="S8" s="227">
        <v>2316.6869898530535</v>
      </c>
      <c r="T8" s="231">
        <v>4971.6995374963899</v>
      </c>
      <c r="U8" s="197">
        <v>2577.0970844450685</v>
      </c>
      <c r="V8" s="198">
        <v>2394.6024530515383</v>
      </c>
      <c r="W8" s="197">
        <v>0</v>
      </c>
      <c r="X8" s="197">
        <v>0</v>
      </c>
      <c r="Y8" s="198">
        <v>0</v>
      </c>
      <c r="Z8" s="197">
        <v>4971.6995374963899</v>
      </c>
      <c r="AA8" s="197">
        <v>2577.0970844450685</v>
      </c>
      <c r="AB8" s="227">
        <v>2394.6024530515383</v>
      </c>
    </row>
    <row r="9" spans="1:28" s="218" customFormat="1" ht="12" customHeight="1" x14ac:dyDescent="0.2">
      <c r="A9" s="219" t="s">
        <v>5</v>
      </c>
      <c r="B9" s="196">
        <v>3429.1348103409073</v>
      </c>
      <c r="C9" s="197">
        <v>1728.0679359199264</v>
      </c>
      <c r="D9" s="198">
        <v>1701.0668744211775</v>
      </c>
      <c r="E9" s="197">
        <v>0</v>
      </c>
      <c r="F9" s="197">
        <v>0</v>
      </c>
      <c r="G9" s="198">
        <v>0</v>
      </c>
      <c r="H9" s="197">
        <v>3429.1348103409073</v>
      </c>
      <c r="I9" s="197">
        <v>1728.0679359199264</v>
      </c>
      <c r="J9" s="227">
        <v>1701.0668744211775</v>
      </c>
      <c r="K9" s="231">
        <v>3544.8056107789157</v>
      </c>
      <c r="L9" s="197">
        <v>1786.3587329909781</v>
      </c>
      <c r="M9" s="198">
        <v>1758.4468777879949</v>
      </c>
      <c r="N9" s="197">
        <v>0</v>
      </c>
      <c r="O9" s="197">
        <v>0</v>
      </c>
      <c r="P9" s="198">
        <v>0</v>
      </c>
      <c r="Q9" s="197">
        <v>3544.8056107789157</v>
      </c>
      <c r="R9" s="197">
        <v>1786.3587329909781</v>
      </c>
      <c r="S9" s="227">
        <v>1758.4468777879949</v>
      </c>
      <c r="T9" s="231">
        <v>3664.0255020815353</v>
      </c>
      <c r="U9" s="197">
        <v>1846.4380482930569</v>
      </c>
      <c r="V9" s="198">
        <v>1817.5874537884779</v>
      </c>
      <c r="W9" s="197">
        <v>0</v>
      </c>
      <c r="X9" s="197">
        <v>0</v>
      </c>
      <c r="Y9" s="198">
        <v>0</v>
      </c>
      <c r="Z9" s="197">
        <v>3664.0255020815353</v>
      </c>
      <c r="AA9" s="197">
        <v>1846.4380482930569</v>
      </c>
      <c r="AB9" s="227">
        <v>1817.5874537884779</v>
      </c>
    </row>
    <row r="10" spans="1:28" s="218" customFormat="1" ht="12" customHeight="1" x14ac:dyDescent="0.2">
      <c r="A10" s="219" t="s">
        <v>6</v>
      </c>
      <c r="B10" s="196">
        <v>2608.6777349467593</v>
      </c>
      <c r="C10" s="197">
        <v>1199.8688521751196</v>
      </c>
      <c r="D10" s="198">
        <v>1408.8088827715678</v>
      </c>
      <c r="E10" s="197">
        <v>0</v>
      </c>
      <c r="F10" s="197">
        <v>0</v>
      </c>
      <c r="G10" s="198">
        <v>0</v>
      </c>
      <c r="H10" s="197">
        <v>2608.6777349467593</v>
      </c>
      <c r="I10" s="197">
        <v>1199.8688521751196</v>
      </c>
      <c r="J10" s="227">
        <v>1408.8088827715678</v>
      </c>
      <c r="K10" s="231">
        <v>2696.6730627406682</v>
      </c>
      <c r="L10" s="197">
        <v>1240.3425571263328</v>
      </c>
      <c r="M10" s="198">
        <v>1456.3305056143913</v>
      </c>
      <c r="N10" s="197">
        <v>0</v>
      </c>
      <c r="O10" s="197">
        <v>0</v>
      </c>
      <c r="P10" s="198">
        <v>0</v>
      </c>
      <c r="Q10" s="197">
        <v>2696.6730627406682</v>
      </c>
      <c r="R10" s="197">
        <v>1240.3425571263328</v>
      </c>
      <c r="S10" s="227">
        <v>1456.3305056143913</v>
      </c>
      <c r="T10" s="231">
        <v>2787.3683235585049</v>
      </c>
      <c r="U10" s="197">
        <v>1282.0581040631662</v>
      </c>
      <c r="V10" s="198">
        <v>1505.3102194954083</v>
      </c>
      <c r="W10" s="197">
        <v>0</v>
      </c>
      <c r="X10" s="197">
        <v>0</v>
      </c>
      <c r="Y10" s="198">
        <v>0</v>
      </c>
      <c r="Z10" s="197">
        <v>2787.3683235585049</v>
      </c>
      <c r="AA10" s="197">
        <v>1282.0581040631662</v>
      </c>
      <c r="AB10" s="227">
        <v>1505.3102194954083</v>
      </c>
    </row>
    <row r="11" spans="1:28" s="218" customFormat="1" ht="12" customHeight="1" x14ac:dyDescent="0.2">
      <c r="A11" s="220" t="s">
        <v>7</v>
      </c>
      <c r="B11" s="196">
        <v>1769.8449650521952</v>
      </c>
      <c r="C11" s="197">
        <v>786.59776224539769</v>
      </c>
      <c r="D11" s="198">
        <v>983.24720280674615</v>
      </c>
      <c r="E11" s="197">
        <v>0</v>
      </c>
      <c r="F11" s="197">
        <v>0</v>
      </c>
      <c r="G11" s="198">
        <v>0</v>
      </c>
      <c r="H11" s="197">
        <v>1769.8449650521952</v>
      </c>
      <c r="I11" s="197">
        <v>786.59776224539769</v>
      </c>
      <c r="J11" s="227">
        <v>983.24720280674615</v>
      </c>
      <c r="K11" s="231">
        <v>1829.5449754283159</v>
      </c>
      <c r="L11" s="197">
        <v>813.13110019037856</v>
      </c>
      <c r="M11" s="198">
        <v>1016.4138752379775</v>
      </c>
      <c r="N11" s="197">
        <v>0</v>
      </c>
      <c r="O11" s="197">
        <v>0</v>
      </c>
      <c r="P11" s="198">
        <v>0</v>
      </c>
      <c r="Q11" s="197">
        <v>1829.5449754283159</v>
      </c>
      <c r="R11" s="197">
        <v>813.13110019037856</v>
      </c>
      <c r="S11" s="227">
        <v>1016.4138752379775</v>
      </c>
      <c r="T11" s="231">
        <v>1891.0767424849444</v>
      </c>
      <c r="U11" s="197">
        <v>840.47855221555687</v>
      </c>
      <c r="V11" s="198">
        <v>1050.5981902694446</v>
      </c>
      <c r="W11" s="197">
        <v>0</v>
      </c>
      <c r="X11" s="197">
        <v>0</v>
      </c>
      <c r="Y11" s="198">
        <v>0</v>
      </c>
      <c r="Z11" s="197">
        <v>1891.0767424849444</v>
      </c>
      <c r="AA11" s="197">
        <v>840.47855221555687</v>
      </c>
      <c r="AB11" s="227">
        <v>1050.5981902694446</v>
      </c>
    </row>
    <row r="12" spans="1:28" s="218" customFormat="1" ht="12" customHeight="1" x14ac:dyDescent="0.2">
      <c r="A12" s="220" t="s">
        <v>8</v>
      </c>
      <c r="B12" s="196">
        <v>1409.7246442277815</v>
      </c>
      <c r="C12" s="197">
        <v>651.80816883649743</v>
      </c>
      <c r="D12" s="198">
        <v>757.91647539127314</v>
      </c>
      <c r="E12" s="197">
        <v>0</v>
      </c>
      <c r="F12" s="197">
        <v>0</v>
      </c>
      <c r="G12" s="198">
        <v>0</v>
      </c>
      <c r="H12" s="197">
        <v>1409.7246442277815</v>
      </c>
      <c r="I12" s="197">
        <v>651.80816883649743</v>
      </c>
      <c r="J12" s="227">
        <v>757.91647539127314</v>
      </c>
      <c r="K12" s="231">
        <v>1457.2771573290902</v>
      </c>
      <c r="L12" s="197">
        <v>673.79481467904691</v>
      </c>
      <c r="M12" s="198">
        <v>783.48234265005738</v>
      </c>
      <c r="N12" s="197">
        <v>0</v>
      </c>
      <c r="O12" s="197">
        <v>0</v>
      </c>
      <c r="P12" s="198">
        <v>0</v>
      </c>
      <c r="Q12" s="197">
        <v>1457.2771573290902</v>
      </c>
      <c r="R12" s="197">
        <v>673.79481467904691</v>
      </c>
      <c r="S12" s="227">
        <v>783.48234265005738</v>
      </c>
      <c r="T12" s="231">
        <v>1506.2887092646954</v>
      </c>
      <c r="U12" s="197">
        <v>696.45606987508927</v>
      </c>
      <c r="V12" s="198">
        <v>809.83263938963887</v>
      </c>
      <c r="W12" s="197">
        <v>0</v>
      </c>
      <c r="X12" s="197">
        <v>0</v>
      </c>
      <c r="Y12" s="198">
        <v>0</v>
      </c>
      <c r="Z12" s="197">
        <v>1506.2887092646954</v>
      </c>
      <c r="AA12" s="197">
        <v>696.45606987508927</v>
      </c>
      <c r="AB12" s="227">
        <v>809.83263938963887</v>
      </c>
    </row>
    <row r="13" spans="1:28" s="218" customFormat="1" ht="12" customHeight="1" x14ac:dyDescent="0.2">
      <c r="A13" s="220" t="s">
        <v>9</v>
      </c>
      <c r="B13" s="196">
        <v>1191.4446993150837</v>
      </c>
      <c r="C13" s="197">
        <v>498.7090408074634</v>
      </c>
      <c r="D13" s="198">
        <v>692.7356585076252</v>
      </c>
      <c r="E13" s="197">
        <v>0</v>
      </c>
      <c r="F13" s="197">
        <v>0</v>
      </c>
      <c r="G13" s="198">
        <v>0</v>
      </c>
      <c r="H13" s="197">
        <v>1191.4446993150837</v>
      </c>
      <c r="I13" s="197">
        <v>498.7090408074634</v>
      </c>
      <c r="J13" s="227">
        <v>692.7356585076252</v>
      </c>
      <c r="K13" s="231">
        <v>1231.634242645885</v>
      </c>
      <c r="L13" s="197">
        <v>515.5313814637318</v>
      </c>
      <c r="M13" s="198">
        <v>716.10286118215095</v>
      </c>
      <c r="N13" s="197">
        <v>0</v>
      </c>
      <c r="O13" s="197">
        <v>0</v>
      </c>
      <c r="P13" s="198">
        <v>0</v>
      </c>
      <c r="Q13" s="197">
        <v>1231.634242645885</v>
      </c>
      <c r="R13" s="197">
        <v>515.5313814637318</v>
      </c>
      <c r="S13" s="227">
        <v>716.10286118215095</v>
      </c>
      <c r="T13" s="231">
        <v>1273.0569091204954</v>
      </c>
      <c r="U13" s="197">
        <v>532.86987671838199</v>
      </c>
      <c r="V13" s="198">
        <v>740.18703240212983</v>
      </c>
      <c r="W13" s="197">
        <v>0</v>
      </c>
      <c r="X13" s="197">
        <v>0</v>
      </c>
      <c r="Y13" s="198">
        <v>0</v>
      </c>
      <c r="Z13" s="197">
        <v>1273.0569091204954</v>
      </c>
      <c r="AA13" s="197">
        <v>532.86987671838199</v>
      </c>
      <c r="AB13" s="227">
        <v>740.18703240212983</v>
      </c>
    </row>
    <row r="14" spans="1:28" s="218" customFormat="1" ht="12" customHeight="1" x14ac:dyDescent="0.2">
      <c r="A14" s="220" t="s">
        <v>10</v>
      </c>
      <c r="B14" s="196">
        <v>951.94309309143443</v>
      </c>
      <c r="C14" s="197">
        <v>445.65488753007355</v>
      </c>
      <c r="D14" s="198">
        <v>506.28820556137623</v>
      </c>
      <c r="E14" s="197">
        <v>0</v>
      </c>
      <c r="F14" s="197">
        <v>0</v>
      </c>
      <c r="G14" s="198">
        <v>0</v>
      </c>
      <c r="H14" s="197">
        <v>951.94309309143443</v>
      </c>
      <c r="I14" s="197">
        <v>445.65488753007355</v>
      </c>
      <c r="J14" s="227">
        <v>506.28820556137623</v>
      </c>
      <c r="K14" s="231">
        <v>984.05382236847652</v>
      </c>
      <c r="L14" s="197">
        <v>460.68761747822839</v>
      </c>
      <c r="M14" s="198">
        <v>523.36620489023255</v>
      </c>
      <c r="N14" s="197">
        <v>0</v>
      </c>
      <c r="O14" s="197">
        <v>0</v>
      </c>
      <c r="P14" s="198">
        <v>0</v>
      </c>
      <c r="Q14" s="197">
        <v>984.05382236847652</v>
      </c>
      <c r="R14" s="197">
        <v>460.68761747822839</v>
      </c>
      <c r="S14" s="227">
        <v>523.36620489023255</v>
      </c>
      <c r="T14" s="231">
        <v>1017.1497950733867</v>
      </c>
      <c r="U14" s="197">
        <v>476.18159196110719</v>
      </c>
      <c r="V14" s="198">
        <v>540.96820311227839</v>
      </c>
      <c r="W14" s="197">
        <v>0</v>
      </c>
      <c r="X14" s="197">
        <v>0</v>
      </c>
      <c r="Y14" s="198">
        <v>0</v>
      </c>
      <c r="Z14" s="197">
        <v>1017.1497950733867</v>
      </c>
      <c r="AA14" s="197">
        <v>476.18159196110719</v>
      </c>
      <c r="AB14" s="227">
        <v>540.96820311227839</v>
      </c>
    </row>
    <row r="15" spans="1:28" s="218" customFormat="1" ht="12" customHeight="1" x14ac:dyDescent="0.2">
      <c r="A15" s="220" t="s">
        <v>11</v>
      </c>
      <c r="B15" s="196">
        <v>810.65835318758207</v>
      </c>
      <c r="C15" s="197">
        <v>361.46892987282348</v>
      </c>
      <c r="D15" s="198">
        <v>449.18942331476507</v>
      </c>
      <c r="E15" s="197">
        <v>0</v>
      </c>
      <c r="F15" s="197">
        <v>0</v>
      </c>
      <c r="G15" s="198">
        <v>0</v>
      </c>
      <c r="H15" s="197">
        <v>810.65835318758207</v>
      </c>
      <c r="I15" s="197">
        <v>361.46892987282348</v>
      </c>
      <c r="J15" s="227">
        <v>449.18942331476507</v>
      </c>
      <c r="K15" s="231">
        <v>838.0032975485168</v>
      </c>
      <c r="L15" s="197">
        <v>373.66191812331266</v>
      </c>
      <c r="M15" s="198">
        <v>464.34137942520437</v>
      </c>
      <c r="N15" s="197">
        <v>0</v>
      </c>
      <c r="O15" s="197">
        <v>0</v>
      </c>
      <c r="P15" s="198">
        <v>0</v>
      </c>
      <c r="Q15" s="197">
        <v>838.0032975485168</v>
      </c>
      <c r="R15" s="197">
        <v>373.66191812331266</v>
      </c>
      <c r="S15" s="227">
        <v>464.34137942520437</v>
      </c>
      <c r="T15" s="231">
        <v>866.18725825459751</v>
      </c>
      <c r="U15" s="197">
        <v>386.22902000531298</v>
      </c>
      <c r="V15" s="198">
        <v>479.95823824928101</v>
      </c>
      <c r="W15" s="197">
        <v>0</v>
      </c>
      <c r="X15" s="197">
        <v>0</v>
      </c>
      <c r="Y15" s="198">
        <v>0</v>
      </c>
      <c r="Z15" s="197">
        <v>866.18725825459751</v>
      </c>
      <c r="AA15" s="197">
        <v>386.22902000531298</v>
      </c>
      <c r="AB15" s="227">
        <v>479.95823824928101</v>
      </c>
    </row>
    <row r="16" spans="1:28" s="218" customFormat="1" ht="12" customHeight="1" x14ac:dyDescent="0.2">
      <c r="A16" s="220" t="s">
        <v>12</v>
      </c>
      <c r="B16" s="196">
        <v>576.23289657550561</v>
      </c>
      <c r="C16" s="197">
        <v>288.8726594381132</v>
      </c>
      <c r="D16" s="198">
        <v>287.36023713739007</v>
      </c>
      <c r="E16" s="197">
        <v>0</v>
      </c>
      <c r="F16" s="197">
        <v>0</v>
      </c>
      <c r="G16" s="198">
        <v>0</v>
      </c>
      <c r="H16" s="197">
        <v>576.23289657550561</v>
      </c>
      <c r="I16" s="197">
        <v>288.8726594381132</v>
      </c>
      <c r="J16" s="227">
        <v>287.36023713739007</v>
      </c>
      <c r="K16" s="231">
        <v>595.67025441415103</v>
      </c>
      <c r="L16" s="197">
        <v>298.61684670105745</v>
      </c>
      <c r="M16" s="198">
        <v>297.0534077130938</v>
      </c>
      <c r="N16" s="197">
        <v>0</v>
      </c>
      <c r="O16" s="197">
        <v>0</v>
      </c>
      <c r="P16" s="198">
        <v>0</v>
      </c>
      <c r="Q16" s="197">
        <v>595.67025441415103</v>
      </c>
      <c r="R16" s="197">
        <v>298.61684670105745</v>
      </c>
      <c r="S16" s="227">
        <v>297.0534077130938</v>
      </c>
      <c r="T16" s="231">
        <v>615.70400260261397</v>
      </c>
      <c r="U16" s="197">
        <v>308.66001180340839</v>
      </c>
      <c r="V16" s="198">
        <v>307.04399079920205</v>
      </c>
      <c r="W16" s="197">
        <v>0</v>
      </c>
      <c r="X16" s="197">
        <v>0</v>
      </c>
      <c r="Y16" s="198">
        <v>0</v>
      </c>
      <c r="Z16" s="197">
        <v>615.70400260261397</v>
      </c>
      <c r="AA16" s="197">
        <v>308.66001180340839</v>
      </c>
      <c r="AB16" s="227">
        <v>307.04399079920205</v>
      </c>
    </row>
    <row r="17" spans="1:28" s="218" customFormat="1" ht="12" customHeight="1" x14ac:dyDescent="0.2">
      <c r="A17" s="220" t="s">
        <v>13</v>
      </c>
      <c r="B17" s="196">
        <v>429.52793340536437</v>
      </c>
      <c r="C17" s="197">
        <v>163.34160847809508</v>
      </c>
      <c r="D17" s="198">
        <v>266.18632492726624</v>
      </c>
      <c r="E17" s="197">
        <v>0</v>
      </c>
      <c r="F17" s="197">
        <v>0</v>
      </c>
      <c r="G17" s="198">
        <v>0</v>
      </c>
      <c r="H17" s="197">
        <v>429.52793340536437</v>
      </c>
      <c r="I17" s="197">
        <v>163.34160847809508</v>
      </c>
      <c r="J17" s="227">
        <v>266.18632492726624</v>
      </c>
      <c r="K17" s="231">
        <v>444.01667258167691</v>
      </c>
      <c r="L17" s="197">
        <v>168.8514107000745</v>
      </c>
      <c r="M17" s="198">
        <v>275.1652618816027</v>
      </c>
      <c r="N17" s="197">
        <v>0</v>
      </c>
      <c r="O17" s="197">
        <v>0</v>
      </c>
      <c r="P17" s="198">
        <v>0</v>
      </c>
      <c r="Q17" s="197">
        <v>444.01667258167691</v>
      </c>
      <c r="R17" s="197">
        <v>168.8514107000745</v>
      </c>
      <c r="S17" s="227">
        <v>275.1652618816027</v>
      </c>
      <c r="T17" s="231">
        <v>458.94996519459852</v>
      </c>
      <c r="U17" s="197">
        <v>174.53026845428315</v>
      </c>
      <c r="V17" s="198">
        <v>284.41969674031321</v>
      </c>
      <c r="W17" s="197">
        <v>0</v>
      </c>
      <c r="X17" s="197">
        <v>0</v>
      </c>
      <c r="Y17" s="198">
        <v>0</v>
      </c>
      <c r="Z17" s="197">
        <v>458.94996519459852</v>
      </c>
      <c r="AA17" s="197">
        <v>174.53026845428315</v>
      </c>
      <c r="AB17" s="227">
        <v>284.41969674031321</v>
      </c>
    </row>
    <row r="18" spans="1:28" s="218" customFormat="1" ht="12" customHeight="1" x14ac:dyDescent="0.2">
      <c r="A18" s="220" t="s">
        <v>14</v>
      </c>
      <c r="B18" s="196">
        <v>400.79190969162488</v>
      </c>
      <c r="C18" s="197">
        <v>169.39129768098749</v>
      </c>
      <c r="D18" s="198">
        <v>231.40061201063469</v>
      </c>
      <c r="E18" s="197">
        <v>0</v>
      </c>
      <c r="F18" s="197">
        <v>0</v>
      </c>
      <c r="G18" s="198">
        <v>0</v>
      </c>
      <c r="H18" s="197">
        <v>400.79190969162488</v>
      </c>
      <c r="I18" s="197">
        <v>169.39129768098749</v>
      </c>
      <c r="J18" s="227">
        <v>231.40061201063469</v>
      </c>
      <c r="K18" s="231">
        <v>414.31133181036756</v>
      </c>
      <c r="L18" s="197">
        <v>175.1051666519291</v>
      </c>
      <c r="M18" s="198">
        <v>239.20616515843875</v>
      </c>
      <c r="N18" s="197">
        <v>0</v>
      </c>
      <c r="O18" s="197">
        <v>0</v>
      </c>
      <c r="P18" s="198">
        <v>0</v>
      </c>
      <c r="Q18" s="197">
        <v>414.31133181036756</v>
      </c>
      <c r="R18" s="197">
        <v>175.1051666519291</v>
      </c>
      <c r="S18" s="227">
        <v>239.20616515843875</v>
      </c>
      <c r="T18" s="231">
        <v>428.24556611467796</v>
      </c>
      <c r="U18" s="197">
        <v>180.99435247110841</v>
      </c>
      <c r="V18" s="198">
        <v>247.25121364356741</v>
      </c>
      <c r="W18" s="197">
        <v>0</v>
      </c>
      <c r="X18" s="197">
        <v>0</v>
      </c>
      <c r="Y18" s="198">
        <v>0</v>
      </c>
      <c r="Z18" s="197">
        <v>428.24556611467796</v>
      </c>
      <c r="AA18" s="197">
        <v>180.99435247110841</v>
      </c>
      <c r="AB18" s="227">
        <v>247.25121364356741</v>
      </c>
    </row>
    <row r="19" spans="1:28" s="218" customFormat="1" ht="12" customHeight="1" x14ac:dyDescent="0.2">
      <c r="A19" s="220" t="s">
        <v>15</v>
      </c>
      <c r="B19" s="196">
        <v>359.74671509388367</v>
      </c>
      <c r="C19" s="197">
        <v>175.16463090958771</v>
      </c>
      <c r="D19" s="198">
        <v>184.58208418429669</v>
      </c>
      <c r="E19" s="197">
        <v>0</v>
      </c>
      <c r="F19" s="197">
        <v>0</v>
      </c>
      <c r="G19" s="198">
        <v>0</v>
      </c>
      <c r="H19" s="197">
        <v>359.74671509388367</v>
      </c>
      <c r="I19" s="197">
        <v>175.16463090958771</v>
      </c>
      <c r="J19" s="227">
        <v>184.58208418429669</v>
      </c>
      <c r="K19" s="231">
        <v>371.88160998467418</v>
      </c>
      <c r="L19" s="197">
        <v>181.07324465222391</v>
      </c>
      <c r="M19" s="198">
        <v>190.80836533245105</v>
      </c>
      <c r="N19" s="197">
        <v>0</v>
      </c>
      <c r="O19" s="197">
        <v>0</v>
      </c>
      <c r="P19" s="198">
        <v>0</v>
      </c>
      <c r="Q19" s="197">
        <v>371.88160998467418</v>
      </c>
      <c r="R19" s="197">
        <v>181.07324465222391</v>
      </c>
      <c r="S19" s="227">
        <v>190.80836533245105</v>
      </c>
      <c r="T19" s="231">
        <v>384.38883604664693</v>
      </c>
      <c r="U19" s="197">
        <v>187.16315053580243</v>
      </c>
      <c r="V19" s="198">
        <v>197.22568551084561</v>
      </c>
      <c r="W19" s="197">
        <v>0</v>
      </c>
      <c r="X19" s="197">
        <v>0</v>
      </c>
      <c r="Y19" s="198">
        <v>0</v>
      </c>
      <c r="Z19" s="197">
        <v>384.38883604664693</v>
      </c>
      <c r="AA19" s="197">
        <v>187.16315053580243</v>
      </c>
      <c r="AB19" s="227">
        <v>197.22568551084561</v>
      </c>
    </row>
    <row r="20" spans="1:28" s="218" customFormat="1" ht="12" customHeight="1" x14ac:dyDescent="0.2">
      <c r="A20" s="220" t="s">
        <v>16</v>
      </c>
      <c r="B20" s="196">
        <v>325.84388330493135</v>
      </c>
      <c r="C20" s="197">
        <v>145.02878043051899</v>
      </c>
      <c r="D20" s="198">
        <v>180.8151028744131</v>
      </c>
      <c r="E20" s="197">
        <v>0</v>
      </c>
      <c r="F20" s="197">
        <v>0</v>
      </c>
      <c r="G20" s="198">
        <v>0</v>
      </c>
      <c r="H20" s="197">
        <v>325.84388330493135</v>
      </c>
      <c r="I20" s="197">
        <v>145.02878043051899</v>
      </c>
      <c r="J20" s="227">
        <v>180.8151028744131</v>
      </c>
      <c r="K20" s="231">
        <v>336.83517553585699</v>
      </c>
      <c r="L20" s="197">
        <v>149.92085847549706</v>
      </c>
      <c r="M20" s="198">
        <v>186.91431706036019</v>
      </c>
      <c r="N20" s="197">
        <v>0</v>
      </c>
      <c r="O20" s="197">
        <v>0</v>
      </c>
      <c r="P20" s="198">
        <v>0</v>
      </c>
      <c r="Q20" s="197">
        <v>336.83517553585699</v>
      </c>
      <c r="R20" s="197">
        <v>149.92085847549706</v>
      </c>
      <c r="S20" s="227">
        <v>186.91431706036019</v>
      </c>
      <c r="T20" s="231">
        <v>348.163710136492</v>
      </c>
      <c r="U20" s="197">
        <v>154.96303861566426</v>
      </c>
      <c r="V20" s="198">
        <v>193.20067152082834</v>
      </c>
      <c r="W20" s="197">
        <v>0</v>
      </c>
      <c r="X20" s="197">
        <v>0</v>
      </c>
      <c r="Y20" s="198">
        <v>0</v>
      </c>
      <c r="Z20" s="197">
        <v>348.163710136492</v>
      </c>
      <c r="AA20" s="197">
        <v>154.96303861566426</v>
      </c>
      <c r="AB20" s="227">
        <v>193.20067152082834</v>
      </c>
    </row>
    <row r="21" spans="1:28" s="218" customFormat="1" ht="12" customHeight="1" x14ac:dyDescent="0.2">
      <c r="A21" s="220" t="s">
        <v>17</v>
      </c>
      <c r="B21" s="196">
        <v>273.10614496656109</v>
      </c>
      <c r="C21" s="197">
        <v>129.96085519098463</v>
      </c>
      <c r="D21" s="198">
        <v>143.1452897755772</v>
      </c>
      <c r="E21" s="197">
        <v>0</v>
      </c>
      <c r="F21" s="197">
        <v>0</v>
      </c>
      <c r="G21" s="198">
        <v>0</v>
      </c>
      <c r="H21" s="197">
        <v>273.10614496656109</v>
      </c>
      <c r="I21" s="197">
        <v>129.96085519098463</v>
      </c>
      <c r="J21" s="227">
        <v>143.1452897755772</v>
      </c>
      <c r="K21" s="231">
        <v>282.3184997265858</v>
      </c>
      <c r="L21" s="197">
        <v>134.34466538713363</v>
      </c>
      <c r="M21" s="198">
        <v>147.97383433945163</v>
      </c>
      <c r="N21" s="197">
        <v>0</v>
      </c>
      <c r="O21" s="197">
        <v>0</v>
      </c>
      <c r="P21" s="198">
        <v>0</v>
      </c>
      <c r="Q21" s="197">
        <v>282.3184997265858</v>
      </c>
      <c r="R21" s="197">
        <v>134.34466538713363</v>
      </c>
      <c r="S21" s="227">
        <v>147.97383433945163</v>
      </c>
      <c r="T21" s="231">
        <v>291.813514276251</v>
      </c>
      <c r="U21" s="197">
        <v>138.86298265559518</v>
      </c>
      <c r="V21" s="198">
        <v>152.95053162065562</v>
      </c>
      <c r="W21" s="197">
        <v>0</v>
      </c>
      <c r="X21" s="197">
        <v>0</v>
      </c>
      <c r="Y21" s="198">
        <v>0</v>
      </c>
      <c r="Z21" s="197">
        <v>291.813514276251</v>
      </c>
      <c r="AA21" s="197">
        <v>138.86298265559518</v>
      </c>
      <c r="AB21" s="227">
        <v>152.95053162065562</v>
      </c>
    </row>
    <row r="22" spans="1:28" s="218" customFormat="1" ht="12" customHeight="1" x14ac:dyDescent="0.2">
      <c r="A22" s="220" t="s">
        <v>18</v>
      </c>
      <c r="B22" s="196">
        <v>214.71793466336541</v>
      </c>
      <c r="C22" s="197">
        <v>90.407551437206664</v>
      </c>
      <c r="D22" s="198">
        <v>124.31038322615923</v>
      </c>
      <c r="E22" s="197">
        <v>0</v>
      </c>
      <c r="F22" s="197">
        <v>0</v>
      </c>
      <c r="G22" s="198">
        <v>0</v>
      </c>
      <c r="H22" s="197">
        <v>214.71793466336541</v>
      </c>
      <c r="I22" s="197">
        <v>90.407551437206664</v>
      </c>
      <c r="J22" s="227">
        <v>124.31038322615923</v>
      </c>
      <c r="K22" s="231">
        <v>221.9607515091779</v>
      </c>
      <c r="L22" s="197">
        <v>93.457158530179882</v>
      </c>
      <c r="M22" s="198">
        <v>128.50359297899735</v>
      </c>
      <c r="N22" s="197">
        <v>0</v>
      </c>
      <c r="O22" s="197">
        <v>0</v>
      </c>
      <c r="P22" s="198">
        <v>0</v>
      </c>
      <c r="Q22" s="197">
        <v>221.9607515091779</v>
      </c>
      <c r="R22" s="197">
        <v>93.457158530179882</v>
      </c>
      <c r="S22" s="227">
        <v>128.50359297899735</v>
      </c>
      <c r="T22" s="231">
        <v>229.42579743098378</v>
      </c>
      <c r="U22" s="197">
        <v>96.60033576041404</v>
      </c>
      <c r="V22" s="198">
        <v>132.82546167056927</v>
      </c>
      <c r="W22" s="197">
        <v>0</v>
      </c>
      <c r="X22" s="197">
        <v>0</v>
      </c>
      <c r="Y22" s="198">
        <v>0</v>
      </c>
      <c r="Z22" s="197">
        <v>229.42579743098378</v>
      </c>
      <c r="AA22" s="197">
        <v>96.60033576041404</v>
      </c>
      <c r="AB22" s="227">
        <v>132.82546167056927</v>
      </c>
    </row>
    <row r="23" spans="1:28" s="218" customFormat="1" ht="12" customHeight="1" x14ac:dyDescent="0.2">
      <c r="A23" s="220" t="s">
        <v>19</v>
      </c>
      <c r="B23" s="196">
        <v>73.456135542730379</v>
      </c>
      <c r="C23" s="197">
        <v>32.019341134010695</v>
      </c>
      <c r="D23" s="198">
        <v>41.436794408719706</v>
      </c>
      <c r="E23" s="197">
        <v>0</v>
      </c>
      <c r="F23" s="197">
        <v>0</v>
      </c>
      <c r="G23" s="198">
        <v>0</v>
      </c>
      <c r="H23" s="197">
        <v>73.456135542730379</v>
      </c>
      <c r="I23" s="197">
        <v>32.019341134010695</v>
      </c>
      <c r="J23" s="227">
        <v>41.436794408719706</v>
      </c>
      <c r="K23" s="231">
        <v>75.933941305771157</v>
      </c>
      <c r="L23" s="197">
        <v>33.099410312772044</v>
      </c>
      <c r="M23" s="198">
        <v>42.834530992999113</v>
      </c>
      <c r="N23" s="197">
        <v>0</v>
      </c>
      <c r="O23" s="197">
        <v>0</v>
      </c>
      <c r="P23" s="198">
        <v>0</v>
      </c>
      <c r="Q23" s="197">
        <v>75.933941305771157</v>
      </c>
      <c r="R23" s="197">
        <v>33.099410312772044</v>
      </c>
      <c r="S23" s="227">
        <v>42.834530992999113</v>
      </c>
      <c r="T23" s="231">
        <v>78.487772805336448</v>
      </c>
      <c r="U23" s="197">
        <v>34.212618915146678</v>
      </c>
      <c r="V23" s="198">
        <v>44.27515389018982</v>
      </c>
      <c r="W23" s="197">
        <v>0</v>
      </c>
      <c r="X23" s="197">
        <v>0</v>
      </c>
      <c r="Y23" s="198">
        <v>0</v>
      </c>
      <c r="Z23" s="197">
        <v>78.487772805336448</v>
      </c>
      <c r="AA23" s="197">
        <v>34.212618915146678</v>
      </c>
      <c r="AB23" s="227">
        <v>44.27515389018982</v>
      </c>
    </row>
    <row r="24" spans="1:28" s="218" customFormat="1" ht="12" customHeight="1" x14ac:dyDescent="0.2">
      <c r="A24" s="220" t="s">
        <v>20</v>
      </c>
      <c r="B24" s="196">
        <v>54.621228993312322</v>
      </c>
      <c r="C24" s="197">
        <v>35.786322443894299</v>
      </c>
      <c r="D24" s="198">
        <v>18.834906549418054</v>
      </c>
      <c r="E24" s="197">
        <v>0</v>
      </c>
      <c r="F24" s="197">
        <v>0</v>
      </c>
      <c r="G24" s="198">
        <v>0</v>
      </c>
      <c r="H24" s="197">
        <v>54.621228993312322</v>
      </c>
      <c r="I24" s="197">
        <v>35.786322443894299</v>
      </c>
      <c r="J24" s="227">
        <v>18.834906549418054</v>
      </c>
      <c r="K24" s="231">
        <v>56.463699945317011</v>
      </c>
      <c r="L24" s="197">
        <v>36.993458584862871</v>
      </c>
      <c r="M24" s="198">
        <v>19.470241360454143</v>
      </c>
      <c r="N24" s="197">
        <v>0</v>
      </c>
      <c r="O24" s="197">
        <v>0</v>
      </c>
      <c r="P24" s="198">
        <v>0</v>
      </c>
      <c r="Q24" s="197">
        <v>56.463699945317011</v>
      </c>
      <c r="R24" s="197">
        <v>36.993458584862871</v>
      </c>
      <c r="S24" s="227">
        <v>19.470241360454143</v>
      </c>
      <c r="T24" s="231">
        <v>58.36270285525022</v>
      </c>
      <c r="U24" s="197">
        <v>38.237632905163935</v>
      </c>
      <c r="V24" s="198">
        <v>20.125069950086282</v>
      </c>
      <c r="W24" s="197">
        <v>0</v>
      </c>
      <c r="X24" s="197">
        <v>0</v>
      </c>
      <c r="Y24" s="198">
        <v>0</v>
      </c>
      <c r="Z24" s="197">
        <v>58.36270285525022</v>
      </c>
      <c r="AA24" s="197">
        <v>38.237632905163935</v>
      </c>
      <c r="AB24" s="227">
        <v>20.125069950086282</v>
      </c>
    </row>
    <row r="25" spans="1:28" s="218" customFormat="1" ht="12" customHeight="1" thickBot="1" x14ac:dyDescent="0.25">
      <c r="A25" s="226" t="s">
        <v>21</v>
      </c>
      <c r="B25" s="221">
        <v>54.621228993312322</v>
      </c>
      <c r="C25" s="199">
        <v>20.71839720435986</v>
      </c>
      <c r="D25" s="222">
        <v>33.902831788952497</v>
      </c>
      <c r="E25" s="199">
        <v>0</v>
      </c>
      <c r="F25" s="199">
        <v>0</v>
      </c>
      <c r="G25" s="222">
        <v>0</v>
      </c>
      <c r="H25" s="199">
        <v>54.621228993312322</v>
      </c>
      <c r="I25" s="199">
        <v>20.71839720435986</v>
      </c>
      <c r="J25" s="228">
        <v>33.902831788952497</v>
      </c>
      <c r="K25" s="232">
        <v>56.463699945317011</v>
      </c>
      <c r="L25" s="199">
        <v>21.417265496499557</v>
      </c>
      <c r="M25" s="222">
        <v>35.046434448817458</v>
      </c>
      <c r="N25" s="199">
        <v>0</v>
      </c>
      <c r="O25" s="199">
        <v>0</v>
      </c>
      <c r="P25" s="222">
        <v>0</v>
      </c>
      <c r="Q25" s="199">
        <v>56.463699945317011</v>
      </c>
      <c r="R25" s="199">
        <v>21.417265496499557</v>
      </c>
      <c r="S25" s="228">
        <v>35.046434448817458</v>
      </c>
      <c r="T25" s="232">
        <v>58.36270285525022</v>
      </c>
      <c r="U25" s="199">
        <v>22.13757694509491</v>
      </c>
      <c r="V25" s="222">
        <v>36.225125910155306</v>
      </c>
      <c r="W25" s="199">
        <v>0</v>
      </c>
      <c r="X25" s="199">
        <v>0</v>
      </c>
      <c r="Y25" s="222">
        <v>0</v>
      </c>
      <c r="Z25" s="199">
        <v>58.36270285525022</v>
      </c>
      <c r="AA25" s="199">
        <v>22.13757694509491</v>
      </c>
      <c r="AB25" s="228">
        <v>36.225125910155306</v>
      </c>
    </row>
    <row r="26" spans="1:28" s="218" customFormat="1" ht="12" customHeight="1" x14ac:dyDescent="0.2">
      <c r="A26" s="224" t="s">
        <v>69</v>
      </c>
      <c r="B26" s="237">
        <v>20084.503015383005</v>
      </c>
      <c r="C26" s="224">
        <v>10237.68860314208</v>
      </c>
      <c r="D26" s="235">
        <v>9846.8144122411068</v>
      </c>
      <c r="E26" s="224">
        <v>0</v>
      </c>
      <c r="F26" s="224">
        <v>0</v>
      </c>
      <c r="G26" s="235">
        <v>0</v>
      </c>
      <c r="H26" s="224">
        <v>20084.503015383005</v>
      </c>
      <c r="I26" s="224">
        <v>10237.68860314208</v>
      </c>
      <c r="J26" s="229">
        <v>9846.8144122411068</v>
      </c>
      <c r="K26" s="233">
        <v>20761.988932000695</v>
      </c>
      <c r="L26" s="224">
        <v>10583.024001385285</v>
      </c>
      <c r="M26" s="235">
        <v>10178.964930614657</v>
      </c>
      <c r="N26" s="224">
        <v>0</v>
      </c>
      <c r="O26" s="224">
        <v>0</v>
      </c>
      <c r="P26" s="235">
        <v>0</v>
      </c>
      <c r="Q26" s="224">
        <v>20761.988932000695</v>
      </c>
      <c r="R26" s="224">
        <v>10583.024001385285</v>
      </c>
      <c r="S26" s="229">
        <v>10178.964930614657</v>
      </c>
      <c r="T26" s="233">
        <v>21460.26193635352</v>
      </c>
      <c r="U26" s="224">
        <v>10938.955217263388</v>
      </c>
      <c r="V26" s="235">
        <v>10521.306719092103</v>
      </c>
      <c r="W26" s="224">
        <v>0</v>
      </c>
      <c r="X26" s="224">
        <v>0</v>
      </c>
      <c r="Y26" s="235">
        <v>0</v>
      </c>
      <c r="Z26" s="224">
        <v>21460.26193635352</v>
      </c>
      <c r="AA26" s="224">
        <v>10938.955217263388</v>
      </c>
      <c r="AB26" s="229">
        <v>10521.306719092103</v>
      </c>
    </row>
    <row r="27" spans="1:28" s="218" customFormat="1" ht="12" customHeight="1" x14ac:dyDescent="0.2">
      <c r="A27" s="223" t="s">
        <v>22</v>
      </c>
      <c r="B27" s="196">
        <v>687.73291935048474</v>
      </c>
      <c r="C27" s="197">
        <v>368.48507457115988</v>
      </c>
      <c r="D27" s="198">
        <v>319.24784477932371</v>
      </c>
      <c r="E27" s="197">
        <v>0</v>
      </c>
      <c r="F27" s="197">
        <v>0</v>
      </c>
      <c r="G27" s="198">
        <v>0</v>
      </c>
      <c r="H27" s="197">
        <v>687.73291935048474</v>
      </c>
      <c r="I27" s="197">
        <v>368.48507457115988</v>
      </c>
      <c r="J27" s="227">
        <v>319.24784477932371</v>
      </c>
      <c r="K27" s="231">
        <v>710.93137075837092</v>
      </c>
      <c r="L27" s="197">
        <v>380.9147298289638</v>
      </c>
      <c r="M27" s="198">
        <v>330.01664092940456</v>
      </c>
      <c r="N27" s="197">
        <v>0</v>
      </c>
      <c r="O27" s="197">
        <v>0</v>
      </c>
      <c r="P27" s="198">
        <v>0</v>
      </c>
      <c r="Q27" s="197">
        <v>710.93137075837092</v>
      </c>
      <c r="R27" s="197">
        <v>380.9147298289638</v>
      </c>
      <c r="S27" s="227">
        <v>330.01664092940456</v>
      </c>
      <c r="T27" s="231">
        <v>734.8416129695712</v>
      </c>
      <c r="U27" s="197">
        <v>393.72576029778401</v>
      </c>
      <c r="V27" s="198">
        <v>341.11585267178697</v>
      </c>
      <c r="W27" s="197">
        <v>0</v>
      </c>
      <c r="X27" s="197">
        <v>0</v>
      </c>
      <c r="Y27" s="198">
        <v>0</v>
      </c>
      <c r="Z27" s="197">
        <v>734.8416129695712</v>
      </c>
      <c r="AA27" s="197">
        <v>393.72576029778401</v>
      </c>
      <c r="AB27" s="227">
        <v>341.11585267178697</v>
      </c>
    </row>
    <row r="28" spans="1:28" s="218" customFormat="1" ht="12" customHeight="1" thickBot="1" x14ac:dyDescent="0.25">
      <c r="A28" s="225" t="s">
        <v>23</v>
      </c>
      <c r="B28" s="238">
        <v>12788.304071109871</v>
      </c>
      <c r="C28" s="225">
        <v>5849.1777527258537</v>
      </c>
      <c r="D28" s="236">
        <v>6939.1263183832189</v>
      </c>
      <c r="E28" s="225">
        <v>0</v>
      </c>
      <c r="F28" s="225">
        <v>0</v>
      </c>
      <c r="G28" s="236">
        <v>0</v>
      </c>
      <c r="H28" s="225">
        <v>12788.304071109871</v>
      </c>
      <c r="I28" s="225">
        <v>5849.1777527258537</v>
      </c>
      <c r="J28" s="230">
        <v>6939.1263183832189</v>
      </c>
      <c r="K28" s="234">
        <v>13219.676253879999</v>
      </c>
      <c r="L28" s="225">
        <v>6046.4808947666897</v>
      </c>
      <c r="M28" s="236">
        <v>7173.1953591125402</v>
      </c>
      <c r="N28" s="225">
        <v>0</v>
      </c>
      <c r="O28" s="225">
        <v>0</v>
      </c>
      <c r="P28" s="236">
        <v>0</v>
      </c>
      <c r="Q28" s="225">
        <v>13219.676253879999</v>
      </c>
      <c r="R28" s="225">
        <v>6046.4808947666897</v>
      </c>
      <c r="S28" s="230">
        <v>7173.1953591125402</v>
      </c>
      <c r="T28" s="234">
        <v>13664.284093939619</v>
      </c>
      <c r="U28" s="225">
        <v>6249.8378271878946</v>
      </c>
      <c r="V28" s="236">
        <v>7414.4462667521429</v>
      </c>
      <c r="W28" s="225">
        <v>0</v>
      </c>
      <c r="X28" s="225">
        <v>0</v>
      </c>
      <c r="Y28" s="236">
        <v>0</v>
      </c>
      <c r="Z28" s="225">
        <v>13664.284093939619</v>
      </c>
      <c r="AA28" s="225">
        <v>6249.8378271878946</v>
      </c>
      <c r="AB28" s="230">
        <v>7414.4462667521429</v>
      </c>
    </row>
    <row r="29" spans="1:28" x14ac:dyDescent="0.2">
      <c r="A29" s="282" t="s">
        <v>92</v>
      </c>
      <c r="Q29" s="252"/>
      <c r="Z29" s="252"/>
    </row>
    <row r="31" spans="1:28" x14ac:dyDescent="0.2">
      <c r="J31" s="25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9"/>
  <sheetViews>
    <sheetView workbookViewId="0">
      <selection activeCell="A29" sqref="A29"/>
    </sheetView>
  </sheetViews>
  <sheetFormatPr defaultRowHeight="12" x14ac:dyDescent="0.2"/>
  <cols>
    <col min="1" max="1" width="18.7109375" style="22" customWidth="1"/>
    <col min="2" max="8" width="10.42578125" style="22" bestFit="1" customWidth="1"/>
    <col min="9" max="10" width="9.42578125" style="22" bestFit="1" customWidth="1"/>
    <col min="11" max="16384" width="9.140625" style="22"/>
  </cols>
  <sheetData>
    <row r="1" spans="1:28" ht="15.75" customHeight="1" thickBot="1" x14ac:dyDescent="0.25">
      <c r="A1" s="283" t="s">
        <v>85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</row>
    <row r="2" spans="1:28" ht="15.75" customHeight="1" x14ac:dyDescent="0.2">
      <c r="A2" s="284" t="s">
        <v>53</v>
      </c>
      <c r="B2" s="285"/>
      <c r="C2" s="285"/>
      <c r="D2" s="285"/>
      <c r="E2" s="285"/>
      <c r="F2" s="285"/>
      <c r="G2" s="285"/>
      <c r="H2" s="285"/>
      <c r="I2" s="285"/>
      <c r="J2" s="286"/>
      <c r="K2" s="284" t="s">
        <v>46</v>
      </c>
      <c r="L2" s="285"/>
      <c r="M2" s="285"/>
      <c r="N2" s="285"/>
      <c r="O2" s="285"/>
      <c r="P2" s="285"/>
      <c r="Q2" s="285"/>
      <c r="R2" s="285"/>
      <c r="S2" s="286"/>
      <c r="T2" s="284" t="s">
        <v>47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25">
      <c r="A3" s="294" t="s">
        <v>64</v>
      </c>
      <c r="B3" s="186"/>
      <c r="C3" s="17" t="s">
        <v>1</v>
      </c>
      <c r="D3" s="17"/>
      <c r="E3" s="239"/>
      <c r="F3" s="1" t="s">
        <v>32</v>
      </c>
      <c r="G3" s="1"/>
      <c r="H3" s="186"/>
      <c r="I3" s="17" t="s">
        <v>33</v>
      </c>
      <c r="J3" s="3"/>
      <c r="K3" s="146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46"/>
      <c r="U3" s="17" t="s">
        <v>1</v>
      </c>
      <c r="V3" s="17"/>
      <c r="W3" s="239"/>
      <c r="X3" s="1" t="s">
        <v>32</v>
      </c>
      <c r="Y3" s="1"/>
      <c r="Z3" s="186"/>
      <c r="AA3" s="17" t="s">
        <v>33</v>
      </c>
      <c r="AB3" s="3"/>
    </row>
    <row r="4" spans="1:28" ht="15.75" customHeight="1" thickBot="1" x14ac:dyDescent="0.25">
      <c r="A4" s="288"/>
      <c r="B4" s="194" t="s">
        <v>1</v>
      </c>
      <c r="C4" s="5" t="s">
        <v>34</v>
      </c>
      <c r="D4" s="5" t="s">
        <v>35</v>
      </c>
      <c r="E4" s="4" t="s">
        <v>1</v>
      </c>
      <c r="F4" s="5" t="s">
        <v>34</v>
      </c>
      <c r="G4" s="5" t="s">
        <v>35</v>
      </c>
      <c r="H4" s="4" t="s">
        <v>1</v>
      </c>
      <c r="I4" s="5" t="s">
        <v>34</v>
      </c>
      <c r="J4" s="82" t="s">
        <v>35</v>
      </c>
      <c r="K4" s="80" t="s">
        <v>1</v>
      </c>
      <c r="L4" s="5" t="s">
        <v>34</v>
      </c>
      <c r="M4" s="5" t="s">
        <v>35</v>
      </c>
      <c r="N4" s="4" t="s">
        <v>1</v>
      </c>
      <c r="O4" s="5" t="s">
        <v>34</v>
      </c>
      <c r="P4" s="5" t="s">
        <v>35</v>
      </c>
      <c r="Q4" s="4" t="s">
        <v>1</v>
      </c>
      <c r="R4" s="5" t="s">
        <v>34</v>
      </c>
      <c r="S4" s="82" t="s">
        <v>35</v>
      </c>
      <c r="T4" s="80" t="s">
        <v>1</v>
      </c>
      <c r="U4" s="5" t="s">
        <v>34</v>
      </c>
      <c r="V4" s="5" t="s">
        <v>35</v>
      </c>
      <c r="W4" s="4" t="s">
        <v>1</v>
      </c>
      <c r="X4" s="5" t="s">
        <v>34</v>
      </c>
      <c r="Y4" s="5" t="s">
        <v>35</v>
      </c>
      <c r="Z4" s="4" t="s">
        <v>1</v>
      </c>
      <c r="AA4" s="5" t="s">
        <v>34</v>
      </c>
      <c r="AB4" s="82" t="s">
        <v>35</v>
      </c>
    </row>
    <row r="5" spans="1:28" ht="15.75" customHeight="1" thickBot="1" x14ac:dyDescent="0.25">
      <c r="A5" s="14" t="s">
        <v>48</v>
      </c>
      <c r="B5" s="10">
        <f t="shared" ref="B5:AB5" si="0">SUM(B6:B25)</f>
        <v>67322.192038158435</v>
      </c>
      <c r="C5" s="8">
        <f t="shared" si="0"/>
        <v>33233.691517278319</v>
      </c>
      <c r="D5" s="8">
        <f t="shared" si="0"/>
        <v>34088.500520881724</v>
      </c>
      <c r="E5" s="10">
        <f t="shared" si="0"/>
        <v>42835.681775250276</v>
      </c>
      <c r="F5" s="8">
        <f t="shared" si="0"/>
        <v>20828.496930636913</v>
      </c>
      <c r="G5" s="8">
        <f t="shared" si="0"/>
        <v>22007.18484461381</v>
      </c>
      <c r="H5" s="10">
        <f t="shared" si="0"/>
        <v>24486.510262909243</v>
      </c>
      <c r="I5" s="8">
        <f t="shared" si="0"/>
        <v>12405.194586641412</v>
      </c>
      <c r="J5" s="274">
        <f t="shared" si="0"/>
        <v>12081.315676267915</v>
      </c>
      <c r="K5" s="8">
        <f t="shared" si="0"/>
        <v>69593.089005175032</v>
      </c>
      <c r="L5" s="8">
        <f t="shared" si="0"/>
        <v>34354.722888725046</v>
      </c>
      <c r="M5" s="8">
        <f t="shared" si="0"/>
        <v>35238.366116451187</v>
      </c>
      <c r="N5" s="10">
        <f t="shared" si="0"/>
        <v>44280.605312030093</v>
      </c>
      <c r="O5" s="8">
        <f t="shared" si="0"/>
        <v>21531.079081860749</v>
      </c>
      <c r="P5" s="8">
        <f t="shared" si="0"/>
        <v>22749.526230168423</v>
      </c>
      <c r="Q5" s="10">
        <f t="shared" si="0"/>
        <v>25312.483693146234</v>
      </c>
      <c r="R5" s="8">
        <f t="shared" si="0"/>
        <v>12823.643806863911</v>
      </c>
      <c r="S5" s="274">
        <f t="shared" si="0"/>
        <v>12488.839886282329</v>
      </c>
      <c r="T5" s="8">
        <f t="shared" si="0"/>
        <v>71933.66319106851</v>
      </c>
      <c r="U5" s="8">
        <f t="shared" si="0"/>
        <v>35510.150513885783</v>
      </c>
      <c r="V5" s="9">
        <f t="shared" si="0"/>
        <v>36423.512677183287</v>
      </c>
      <c r="W5" s="8">
        <f t="shared" si="0"/>
        <v>45769.862984171661</v>
      </c>
      <c r="X5" s="8">
        <f t="shared" si="0"/>
        <v>22255.218340713101</v>
      </c>
      <c r="Y5" s="9">
        <f t="shared" si="0"/>
        <v>23514.644643459411</v>
      </c>
      <c r="Z5" s="8">
        <f t="shared" si="0"/>
        <v>26163.800206897249</v>
      </c>
      <c r="AA5" s="8">
        <f t="shared" si="0"/>
        <v>13254.932173173214</v>
      </c>
      <c r="AB5" s="274">
        <f t="shared" si="0"/>
        <v>12908.868033724342</v>
      </c>
    </row>
    <row r="6" spans="1:28" ht="12" customHeight="1" x14ac:dyDescent="0.2">
      <c r="A6" s="157" t="s">
        <v>2</v>
      </c>
      <c r="B6" s="102">
        <v>10376.078612081632</v>
      </c>
      <c r="C6" s="103">
        <v>5086.1852282562622</v>
      </c>
      <c r="D6" s="103">
        <v>5289.893383825678</v>
      </c>
      <c r="E6" s="102">
        <v>6396.4360848787446</v>
      </c>
      <c r="F6" s="103">
        <v>3172.9582311485669</v>
      </c>
      <c r="G6" s="103">
        <v>3223.477853729768</v>
      </c>
      <c r="H6" s="102">
        <v>3979.6425272032284</v>
      </c>
      <c r="I6" s="103">
        <v>1913.2269971076323</v>
      </c>
      <c r="J6" s="168">
        <v>2066.4155300958091</v>
      </c>
      <c r="K6" s="148">
        <v>10726.082150830867</v>
      </c>
      <c r="L6" s="101">
        <v>5257.7512788980684</v>
      </c>
      <c r="M6" s="101">
        <v>5468.330871933118</v>
      </c>
      <c r="N6" s="124">
        <v>6612.1992212995074</v>
      </c>
      <c r="O6" s="101">
        <v>3279.9877411131029</v>
      </c>
      <c r="P6" s="101">
        <v>3332.2114801857811</v>
      </c>
      <c r="Q6" s="124">
        <v>4113.8829295316791</v>
      </c>
      <c r="R6" s="101">
        <v>1977.7635377847078</v>
      </c>
      <c r="S6" s="142">
        <v>2136.1193917470223</v>
      </c>
      <c r="T6" s="153">
        <v>11086.824738305788</v>
      </c>
      <c r="U6" s="116">
        <v>5434.5814368226083</v>
      </c>
      <c r="V6" s="116">
        <v>5652.2433014823118</v>
      </c>
      <c r="W6" s="117">
        <v>6834.5825503138212</v>
      </c>
      <c r="X6" s="116">
        <v>3390.3012039388577</v>
      </c>
      <c r="Y6" s="116">
        <v>3444.2813463744501</v>
      </c>
      <c r="Z6" s="117">
        <v>4252.2421879910989</v>
      </c>
      <c r="AA6" s="116">
        <v>2044.2802328836024</v>
      </c>
      <c r="AB6" s="154">
        <v>2207.9619551076571</v>
      </c>
    </row>
    <row r="7" spans="1:28" ht="12" customHeight="1" x14ac:dyDescent="0.2">
      <c r="A7" s="157" t="s">
        <v>3</v>
      </c>
      <c r="B7" s="102">
        <v>9372.9960367937183</v>
      </c>
      <c r="C7" s="103">
        <v>4656.1698636457941</v>
      </c>
      <c r="D7" s="103">
        <v>4716.8261731481953</v>
      </c>
      <c r="E7" s="102">
        <v>6118.3061663878862</v>
      </c>
      <c r="F7" s="103">
        <v>3047.1814431607472</v>
      </c>
      <c r="G7" s="103">
        <v>3071.1247232274914</v>
      </c>
      <c r="H7" s="102">
        <v>3254.6898704058631</v>
      </c>
      <c r="I7" s="103">
        <v>1608.9884204850455</v>
      </c>
      <c r="J7" s="168">
        <v>1645.7014499207146</v>
      </c>
      <c r="K7" s="148">
        <v>9689.163820809812</v>
      </c>
      <c r="L7" s="101">
        <v>4813.230733192092</v>
      </c>
      <c r="M7" s="101">
        <v>4875.9330876183203</v>
      </c>
      <c r="N7" s="124">
        <v>6324.6874872559119</v>
      </c>
      <c r="O7" s="101">
        <v>3149.9682789384565</v>
      </c>
      <c r="P7" s="101">
        <v>3174.7192083172308</v>
      </c>
      <c r="Q7" s="124">
        <v>3364.4763335545008</v>
      </c>
      <c r="R7" s="101">
        <v>1663.2624542534638</v>
      </c>
      <c r="S7" s="142">
        <v>1701.2138793009126</v>
      </c>
      <c r="T7" s="153">
        <v>10015.032481706903</v>
      </c>
      <c r="U7" s="116">
        <v>4975.1106521018755</v>
      </c>
      <c r="V7" s="116">
        <v>5039.9218296061026</v>
      </c>
      <c r="W7" s="117">
        <v>6537.4011414142969</v>
      </c>
      <c r="X7" s="116">
        <v>3255.9088909368911</v>
      </c>
      <c r="Y7" s="116">
        <v>3281.4922504780402</v>
      </c>
      <c r="Z7" s="117">
        <v>3477.6313402935166</v>
      </c>
      <c r="AA7" s="116">
        <v>1719.2017611652022</v>
      </c>
      <c r="AB7" s="154">
        <v>1758.4295791282975</v>
      </c>
    </row>
    <row r="8" spans="1:28" ht="12" customHeight="1" x14ac:dyDescent="0.2">
      <c r="A8" s="157" t="s">
        <v>4</v>
      </c>
      <c r="B8" s="102">
        <v>9416.09394091387</v>
      </c>
      <c r="C8" s="103">
        <v>4715.2299544770794</v>
      </c>
      <c r="D8" s="103">
        <v>4700.8639864370371</v>
      </c>
      <c r="E8" s="102">
        <v>6349.7578736996802</v>
      </c>
      <c r="F8" s="103">
        <v>3146.1470007699563</v>
      </c>
      <c r="G8" s="103">
        <v>3203.6108729301422</v>
      </c>
      <c r="H8" s="102">
        <v>3066.3360672141425</v>
      </c>
      <c r="I8" s="103">
        <v>1569.0829537071443</v>
      </c>
      <c r="J8" s="168">
        <v>1497.2531135069221</v>
      </c>
      <c r="K8" s="148">
        <v>9733.7154936915813</v>
      </c>
      <c r="L8" s="101">
        <v>4874.2830256597354</v>
      </c>
      <c r="M8" s="101">
        <v>4859.4324680324708</v>
      </c>
      <c r="N8" s="124">
        <v>6563.9464712507306</v>
      </c>
      <c r="O8" s="101">
        <v>3252.2721203707238</v>
      </c>
      <c r="P8" s="101">
        <v>3311.6743508797822</v>
      </c>
      <c r="Q8" s="124">
        <v>3169.769022441476</v>
      </c>
      <c r="R8" s="101">
        <v>1622.0109052888456</v>
      </c>
      <c r="S8" s="142">
        <v>1547.7581171525328</v>
      </c>
      <c r="T8" s="153">
        <v>10061.082528880959</v>
      </c>
      <c r="U8" s="116">
        <v>5038.2162723033598</v>
      </c>
      <c r="V8" s="116">
        <v>5022.8662565786744</v>
      </c>
      <c r="W8" s="117">
        <v>6784.7069503120056</v>
      </c>
      <c r="X8" s="116">
        <v>3361.653443706974</v>
      </c>
      <c r="Y8" s="116">
        <v>3423.0535066057319</v>
      </c>
      <c r="Z8" s="117">
        <v>3276.3755785698104</v>
      </c>
      <c r="AA8" s="116">
        <v>1676.5628285966204</v>
      </c>
      <c r="AB8" s="154">
        <v>1599.8127499731731</v>
      </c>
    </row>
    <row r="9" spans="1:28" ht="12" customHeight="1" x14ac:dyDescent="0.2">
      <c r="A9" s="157" t="s">
        <v>5</v>
      </c>
      <c r="B9" s="102">
        <v>9181.9492073093807</v>
      </c>
      <c r="C9" s="103">
        <v>4483.7645065271827</v>
      </c>
      <c r="D9" s="103">
        <v>4698.1847007819224</v>
      </c>
      <c r="E9" s="102">
        <v>5703.5771671763687</v>
      </c>
      <c r="F9" s="103">
        <v>2728.6955091087575</v>
      </c>
      <c r="G9" s="103">
        <v>2974.8816580679031</v>
      </c>
      <c r="H9" s="102">
        <v>3478.3720401327364</v>
      </c>
      <c r="I9" s="103">
        <v>1755.0689974186753</v>
      </c>
      <c r="J9" s="168">
        <v>1723.3030427142648</v>
      </c>
      <c r="K9" s="148">
        <v>9491.6726428497932</v>
      </c>
      <c r="L9" s="101">
        <v>4635.009837530728</v>
      </c>
      <c r="M9" s="101">
        <v>4856.6628053191234</v>
      </c>
      <c r="N9" s="124">
        <v>5895.9689431713778</v>
      </c>
      <c r="O9" s="101">
        <v>2820.7392493368238</v>
      </c>
      <c r="P9" s="101">
        <v>3075.2296938346112</v>
      </c>
      <c r="Q9" s="124">
        <v>3595.7036996784732</v>
      </c>
      <c r="R9" s="101">
        <v>1814.2705881939612</v>
      </c>
      <c r="S9" s="142">
        <v>1781.4331114845693</v>
      </c>
      <c r="T9" s="153">
        <v>9810.8992253503857</v>
      </c>
      <c r="U9" s="116">
        <v>4790.8957815545036</v>
      </c>
      <c r="V9" s="116">
        <v>5020.0034437967488</v>
      </c>
      <c r="W9" s="117">
        <v>6094.2638156437206</v>
      </c>
      <c r="X9" s="116">
        <v>2915.6071387568677</v>
      </c>
      <c r="Y9" s="116">
        <v>3178.6566768868529</v>
      </c>
      <c r="Z9" s="117">
        <v>3716.6354097075323</v>
      </c>
      <c r="AA9" s="116">
        <v>1875.2886427976359</v>
      </c>
      <c r="AB9" s="154">
        <v>1841.3467669098959</v>
      </c>
    </row>
    <row r="10" spans="1:28" ht="12" customHeight="1" x14ac:dyDescent="0.2">
      <c r="A10" s="157" t="s">
        <v>6</v>
      </c>
      <c r="B10" s="102">
        <v>7057.8713276467206</v>
      </c>
      <c r="C10" s="103">
        <v>3458.2647711220229</v>
      </c>
      <c r="D10" s="103">
        <v>3599.6065565255026</v>
      </c>
      <c r="E10" s="102">
        <v>4260.2257709112828</v>
      </c>
      <c r="F10" s="103">
        <v>2021.8020607714416</v>
      </c>
      <c r="G10" s="103">
        <v>2238.423710139818</v>
      </c>
      <c r="H10" s="102">
        <v>2797.6455567361941</v>
      </c>
      <c r="I10" s="103">
        <v>1436.4627103505095</v>
      </c>
      <c r="J10" s="168">
        <v>1361.1828463856127</v>
      </c>
      <c r="K10" s="148">
        <v>7295.9458481922666</v>
      </c>
      <c r="L10" s="101">
        <v>3574.9181768134354</v>
      </c>
      <c r="M10" s="101">
        <v>3721.0276713788867</v>
      </c>
      <c r="N10" s="124">
        <v>4403.9307438043661</v>
      </c>
      <c r="O10" s="101">
        <v>2090.0010309580334</v>
      </c>
      <c r="P10" s="101">
        <v>2313.9297128463882</v>
      </c>
      <c r="Q10" s="124">
        <v>2892.0151043879564</v>
      </c>
      <c r="R10" s="101">
        <v>1484.9171458554579</v>
      </c>
      <c r="S10" s="142">
        <v>1407.0979585325545</v>
      </c>
      <c r="T10" s="153">
        <v>7541.3251345283797</v>
      </c>
      <c r="U10" s="116">
        <v>3695.1508223381365</v>
      </c>
      <c r="V10" s="116">
        <v>3846.1743121893592</v>
      </c>
      <c r="W10" s="117">
        <v>4552.0449712767213</v>
      </c>
      <c r="X10" s="116">
        <v>2160.2925287414719</v>
      </c>
      <c r="Y10" s="116">
        <v>2391.7524425351935</v>
      </c>
      <c r="Z10" s="117">
        <v>2989.2801632509004</v>
      </c>
      <c r="AA10" s="116">
        <v>1534.8582935967345</v>
      </c>
      <c r="AB10" s="154">
        <v>1454.4218696542355</v>
      </c>
    </row>
    <row r="11" spans="1:28" ht="12" customHeight="1" x14ac:dyDescent="0.2">
      <c r="A11" s="158" t="s">
        <v>7</v>
      </c>
      <c r="B11" s="102">
        <v>5417.0775579633337</v>
      </c>
      <c r="C11" s="103">
        <v>2726.9746640344542</v>
      </c>
      <c r="D11" s="103">
        <v>2690.1028939291987</v>
      </c>
      <c r="E11" s="102">
        <v>3321.5319569817002</v>
      </c>
      <c r="F11" s="103">
        <v>1590.0950857890743</v>
      </c>
      <c r="G11" s="103">
        <v>1731.436871192554</v>
      </c>
      <c r="H11" s="102">
        <v>2095.5456009819527</v>
      </c>
      <c r="I11" s="103">
        <v>1136.879578245308</v>
      </c>
      <c r="J11" s="168">
        <v>958.66602273657759</v>
      </c>
      <c r="K11" s="148">
        <v>5599.8051938889839</v>
      </c>
      <c r="L11" s="101">
        <v>2818.9603571052307</v>
      </c>
      <c r="M11" s="101">
        <v>2780.8448367838087</v>
      </c>
      <c r="N11" s="124">
        <v>3433.5731222881618</v>
      </c>
      <c r="O11" s="101">
        <v>1643.7318138613832</v>
      </c>
      <c r="P11" s="101">
        <v>1789.8413084268345</v>
      </c>
      <c r="Q11" s="124">
        <v>2166.2320716008776</v>
      </c>
      <c r="R11" s="101">
        <v>1175.2285432439035</v>
      </c>
      <c r="S11" s="142">
        <v>991.00352835702768</v>
      </c>
      <c r="T11" s="153">
        <v>5788.139404515875</v>
      </c>
      <c r="U11" s="116">
        <v>2913.7684183252891</v>
      </c>
      <c r="V11" s="116">
        <v>2874.3709861901875</v>
      </c>
      <c r="W11" s="117">
        <v>3549.0520115038016</v>
      </c>
      <c r="X11" s="116">
        <v>1699.0142608263243</v>
      </c>
      <c r="Y11" s="116">
        <v>1850.0377506775469</v>
      </c>
      <c r="Z11" s="117">
        <v>2239.087393011675</v>
      </c>
      <c r="AA11" s="116">
        <v>1214.7541574990344</v>
      </c>
      <c r="AB11" s="154">
        <v>1024.3332355127102</v>
      </c>
    </row>
    <row r="12" spans="1:28" ht="12" customHeight="1" x14ac:dyDescent="0.2">
      <c r="A12" s="158" t="s">
        <v>8</v>
      </c>
      <c r="B12" s="102">
        <v>4214.0156031756005</v>
      </c>
      <c r="C12" s="103">
        <v>2079.7228084737012</v>
      </c>
      <c r="D12" s="103">
        <v>2134.2927947018757</v>
      </c>
      <c r="E12" s="102">
        <v>2751.2368056704036</v>
      </c>
      <c r="F12" s="103">
        <v>1330.901330787085</v>
      </c>
      <c r="G12" s="103">
        <v>1420.3354748832598</v>
      </c>
      <c r="H12" s="102">
        <v>1462.7787975051733</v>
      </c>
      <c r="I12" s="103">
        <v>748.82147768657808</v>
      </c>
      <c r="J12" s="168">
        <v>713.95731981858034</v>
      </c>
      <c r="K12" s="148">
        <v>4356.1618251344917</v>
      </c>
      <c r="L12" s="101">
        <v>2149.875548231721</v>
      </c>
      <c r="M12" s="101">
        <v>2206.2862769025305</v>
      </c>
      <c r="N12" s="124">
        <v>2844.0409038197377</v>
      </c>
      <c r="O12" s="101">
        <v>1375.7949936934883</v>
      </c>
      <c r="P12" s="101">
        <v>1468.2459101261904</v>
      </c>
      <c r="Q12" s="124">
        <v>1512.1209213145914</v>
      </c>
      <c r="R12" s="101">
        <v>774.08055453825648</v>
      </c>
      <c r="S12" s="142">
        <v>738.04036677635304</v>
      </c>
      <c r="T12" s="153">
        <v>4502.6694750064971</v>
      </c>
      <c r="U12" s="116">
        <v>2222.1807624851112</v>
      </c>
      <c r="V12" s="116">
        <v>2280.4887125211694</v>
      </c>
      <c r="W12" s="117">
        <v>2939.6924809843827</v>
      </c>
      <c r="X12" s="116">
        <v>1422.0661147681787</v>
      </c>
      <c r="Y12" s="116">
        <v>1517.6263662161496</v>
      </c>
      <c r="Z12" s="117">
        <v>1562.9769940219662</v>
      </c>
      <c r="AA12" s="116">
        <v>800.11464771696319</v>
      </c>
      <c r="AB12" s="154">
        <v>762.86234630503975</v>
      </c>
    </row>
    <row r="13" spans="1:28" ht="12" customHeight="1" x14ac:dyDescent="0.2">
      <c r="A13" s="158" t="s">
        <v>9</v>
      </c>
      <c r="B13" s="102">
        <v>3459.1307936858889</v>
      </c>
      <c r="C13" s="103">
        <v>1743.2078933999587</v>
      </c>
      <c r="D13" s="103">
        <v>1715.9229002858715</v>
      </c>
      <c r="E13" s="102">
        <v>2241.916934207442</v>
      </c>
      <c r="F13" s="103">
        <v>1103.5263881696915</v>
      </c>
      <c r="G13" s="103">
        <v>1138.3905460376918</v>
      </c>
      <c r="H13" s="102">
        <v>1217.2138594783883</v>
      </c>
      <c r="I13" s="103">
        <v>639.68150523023735</v>
      </c>
      <c r="J13" s="168">
        <v>577.53235424815443</v>
      </c>
      <c r="K13" s="148">
        <v>3575.8134118549606</v>
      </c>
      <c r="L13" s="101">
        <v>1802.0093880950981</v>
      </c>
      <c r="M13" s="101">
        <v>1773.8040237596974</v>
      </c>
      <c r="N13" s="124">
        <v>2317.5407695588492</v>
      </c>
      <c r="O13" s="101">
        <v>1140.7502908984829</v>
      </c>
      <c r="P13" s="101">
        <v>1176.7904786603838</v>
      </c>
      <c r="Q13" s="124">
        <v>1258.2726422959856</v>
      </c>
      <c r="R13" s="101">
        <v>661.25909719664571</v>
      </c>
      <c r="S13" s="142">
        <v>597.01354509933958</v>
      </c>
      <c r="T13" s="153">
        <v>3696.0761661743595</v>
      </c>
      <c r="U13" s="116">
        <v>1862.615070596112</v>
      </c>
      <c r="V13" s="116">
        <v>1833.461095578087</v>
      </c>
      <c r="W13" s="117">
        <v>2395.4849473145064</v>
      </c>
      <c r="X13" s="116">
        <v>1179.1163229513038</v>
      </c>
      <c r="Y13" s="116">
        <v>1216.3686243632246</v>
      </c>
      <c r="Z13" s="117">
        <v>1300.5912188597413</v>
      </c>
      <c r="AA13" s="116">
        <v>683.49874764485503</v>
      </c>
      <c r="AB13" s="154">
        <v>617.09247121490455</v>
      </c>
    </row>
    <row r="14" spans="1:28" ht="12" customHeight="1" x14ac:dyDescent="0.2">
      <c r="A14" s="158" t="s">
        <v>10</v>
      </c>
      <c r="B14" s="102">
        <v>2388.9527304333565</v>
      </c>
      <c r="C14" s="103">
        <v>1186.8972004627358</v>
      </c>
      <c r="D14" s="103">
        <v>1202.055529970562</v>
      </c>
      <c r="E14" s="102">
        <v>1574.9504358630875</v>
      </c>
      <c r="F14" s="103">
        <v>759.43230834205565</v>
      </c>
      <c r="G14" s="103">
        <v>815.51812752100852</v>
      </c>
      <c r="H14" s="102">
        <v>814.00229457022601</v>
      </c>
      <c r="I14" s="103">
        <v>427.46489212068275</v>
      </c>
      <c r="J14" s="168">
        <v>386.53740244955344</v>
      </c>
      <c r="K14" s="148">
        <v>2469.5363440329747</v>
      </c>
      <c r="L14" s="101">
        <v>1226.9333485899849</v>
      </c>
      <c r="M14" s="101">
        <v>1242.6029954429853</v>
      </c>
      <c r="N14" s="124">
        <v>1628.0763080267941</v>
      </c>
      <c r="O14" s="101">
        <v>785.04930733535753</v>
      </c>
      <c r="P14" s="101">
        <v>843.02700069146306</v>
      </c>
      <c r="Q14" s="124">
        <v>841.46003600616291</v>
      </c>
      <c r="R14" s="101">
        <v>441.88404125462728</v>
      </c>
      <c r="S14" s="142">
        <v>399.57599475152477</v>
      </c>
      <c r="T14" s="153">
        <v>2552.5924793561076</v>
      </c>
      <c r="U14" s="116">
        <v>1268.1979132841579</v>
      </c>
      <c r="V14" s="116">
        <v>1284.3945660719496</v>
      </c>
      <c r="W14" s="117">
        <v>1682.8322246516245</v>
      </c>
      <c r="X14" s="116">
        <v>811.45230466841815</v>
      </c>
      <c r="Y14" s="116">
        <v>871.37991998325151</v>
      </c>
      <c r="Z14" s="117">
        <v>869.76025470447223</v>
      </c>
      <c r="AA14" s="116">
        <v>456.74560861575583</v>
      </c>
      <c r="AB14" s="154">
        <v>413.01464608871527</v>
      </c>
    </row>
    <row r="15" spans="1:28" ht="12" customHeight="1" x14ac:dyDescent="0.2">
      <c r="A15" s="158" t="s">
        <v>11</v>
      </c>
      <c r="B15" s="102">
        <v>1792.2204263568572</v>
      </c>
      <c r="C15" s="103">
        <v>899.89126893024343</v>
      </c>
      <c r="D15" s="103">
        <v>892.32915742662806</v>
      </c>
      <c r="E15" s="102">
        <v>1194.813617571243</v>
      </c>
      <c r="F15" s="103">
        <v>611.01860949213631</v>
      </c>
      <c r="G15" s="103">
        <v>583.79500807912098</v>
      </c>
      <c r="H15" s="102">
        <v>597.40680878562864</v>
      </c>
      <c r="I15" s="103">
        <v>288.8726594381132</v>
      </c>
      <c r="J15" s="168">
        <v>308.5341493475139</v>
      </c>
      <c r="K15" s="148">
        <v>1852.675200736986</v>
      </c>
      <c r="L15" s="101">
        <v>930.24619783837215</v>
      </c>
      <c r="M15" s="101">
        <v>922.4290028985539</v>
      </c>
      <c r="N15" s="124">
        <v>1235.1168004912993</v>
      </c>
      <c r="O15" s="101">
        <v>631.62935113731498</v>
      </c>
      <c r="P15" s="101">
        <v>603.48744935396928</v>
      </c>
      <c r="Q15" s="124">
        <v>617.55840024564213</v>
      </c>
      <c r="R15" s="101">
        <v>298.61684670105745</v>
      </c>
      <c r="S15" s="142">
        <v>318.94155354458491</v>
      </c>
      <c r="T15" s="153">
        <v>1914.984889984453</v>
      </c>
      <c r="U15" s="116">
        <v>961.53249750277189</v>
      </c>
      <c r="V15" s="116">
        <v>953.45239248174016</v>
      </c>
      <c r="W15" s="117">
        <v>1276.6565933229915</v>
      </c>
      <c r="X15" s="116">
        <v>652.87248569935991</v>
      </c>
      <c r="Y15" s="116">
        <v>623.7841076236457</v>
      </c>
      <c r="Z15" s="117">
        <v>638.3282966615028</v>
      </c>
      <c r="AA15" s="116">
        <v>308.66001180340839</v>
      </c>
      <c r="AB15" s="154">
        <v>329.66828485809089</v>
      </c>
    </row>
    <row r="16" spans="1:28" ht="12" customHeight="1" x14ac:dyDescent="0.2">
      <c r="A16" s="158" t="s">
        <v>12</v>
      </c>
      <c r="B16" s="102">
        <v>1306.7328678247504</v>
      </c>
      <c r="C16" s="103">
        <v>620.09314329647475</v>
      </c>
      <c r="D16" s="103">
        <v>686.63972452829</v>
      </c>
      <c r="E16" s="102">
        <v>815.19562008975129</v>
      </c>
      <c r="F16" s="103">
        <v>375.08073057933166</v>
      </c>
      <c r="G16" s="103">
        <v>440.11488951042628</v>
      </c>
      <c r="H16" s="102">
        <v>491.53724773501273</v>
      </c>
      <c r="I16" s="103">
        <v>245.01241271714261</v>
      </c>
      <c r="J16" s="168">
        <v>246.52483501786571</v>
      </c>
      <c r="K16" s="148">
        <v>1350.8112856006178</v>
      </c>
      <c r="L16" s="101">
        <v>641.00998506509688</v>
      </c>
      <c r="M16" s="101">
        <v>709.80130053549749</v>
      </c>
      <c r="N16" s="124">
        <v>842.69361451240775</v>
      </c>
      <c r="O16" s="101">
        <v>387.73286901498551</v>
      </c>
      <c r="P16" s="101">
        <v>454.96074549742247</v>
      </c>
      <c r="Q16" s="124">
        <v>508.11767108818657</v>
      </c>
      <c r="R16" s="101">
        <v>253.2771160501116</v>
      </c>
      <c r="S16" s="142">
        <v>254.84055503807525</v>
      </c>
      <c r="T16" s="153">
        <v>1396.2421476342527</v>
      </c>
      <c r="U16" s="116">
        <v>662.56861172459799</v>
      </c>
      <c r="V16" s="116">
        <v>733.67353590967718</v>
      </c>
      <c r="W16" s="117">
        <v>871.03532126721655</v>
      </c>
      <c r="X16" s="116">
        <v>400.77320904317008</v>
      </c>
      <c r="Y16" s="116">
        <v>470.26211222404294</v>
      </c>
      <c r="Z16" s="117">
        <v>525.20682636705862</v>
      </c>
      <c r="AA16" s="116">
        <v>261.79540268142438</v>
      </c>
      <c r="AB16" s="154">
        <v>263.41142368563072</v>
      </c>
    </row>
    <row r="17" spans="1:28" ht="12" customHeight="1" x14ac:dyDescent="0.2">
      <c r="A17" s="158" t="s">
        <v>13</v>
      </c>
      <c r="B17" s="102">
        <v>1039.0341205967663</v>
      </c>
      <c r="C17" s="103">
        <v>493.04967003573586</v>
      </c>
      <c r="D17" s="103">
        <v>545.98445056104413</v>
      </c>
      <c r="E17" s="102">
        <v>685.12730222756693</v>
      </c>
      <c r="F17" s="103">
        <v>326.68321695619147</v>
      </c>
      <c r="G17" s="103">
        <v>358.44408527137722</v>
      </c>
      <c r="H17" s="102">
        <v>353.90681836920783</v>
      </c>
      <c r="I17" s="103">
        <v>166.36645307954129</v>
      </c>
      <c r="J17" s="168">
        <v>187.54036528966472</v>
      </c>
      <c r="K17" s="148">
        <v>1074.0825847310316</v>
      </c>
      <c r="L17" s="101">
        <v>509.68111007615022</v>
      </c>
      <c r="M17" s="101">
        <v>564.40147465487803</v>
      </c>
      <c r="N17" s="124">
        <v>708.23786154753384</v>
      </c>
      <c r="O17" s="101">
        <v>337.70282140014871</v>
      </c>
      <c r="P17" s="101">
        <v>370.53504014738536</v>
      </c>
      <c r="Q17" s="124">
        <v>365.84472318349441</v>
      </c>
      <c r="R17" s="101">
        <v>171.9782886760018</v>
      </c>
      <c r="S17" s="142">
        <v>193.8664345074929</v>
      </c>
      <c r="T17" s="153">
        <v>1110.2064298897496</v>
      </c>
      <c r="U17" s="116">
        <v>526.82284737126497</v>
      </c>
      <c r="V17" s="116">
        <v>583.38358251848706</v>
      </c>
      <c r="W17" s="117">
        <v>732.05751490547084</v>
      </c>
      <c r="X17" s="116">
        <v>349.06053690856703</v>
      </c>
      <c r="Y17" s="116">
        <v>382.99697799690028</v>
      </c>
      <c r="Z17" s="117">
        <v>378.14891498428125</v>
      </c>
      <c r="AA17" s="116">
        <v>177.76231046269578</v>
      </c>
      <c r="AB17" s="154">
        <v>200.38660452158422</v>
      </c>
    </row>
    <row r="18" spans="1:28" ht="12" customHeight="1" x14ac:dyDescent="0.2">
      <c r="A18" s="158" t="s">
        <v>14</v>
      </c>
      <c r="B18" s="102">
        <v>889.30431282518191</v>
      </c>
      <c r="C18" s="103">
        <v>432.55277800681063</v>
      </c>
      <c r="D18" s="103">
        <v>456.75153481838072</v>
      </c>
      <c r="E18" s="102">
        <v>558.08382896682872</v>
      </c>
      <c r="F18" s="103">
        <v>257.11179112292746</v>
      </c>
      <c r="G18" s="103">
        <v>300.97203784389825</v>
      </c>
      <c r="H18" s="102">
        <v>331.22048385836086</v>
      </c>
      <c r="I18" s="103">
        <v>175.4409868838799</v>
      </c>
      <c r="J18" s="168">
        <v>155.77949697447957</v>
      </c>
      <c r="K18" s="148">
        <v>919.3021249226266</v>
      </c>
      <c r="L18" s="101">
        <v>447.14355055760421</v>
      </c>
      <c r="M18" s="101">
        <v>472.15857436502262</v>
      </c>
      <c r="N18" s="124">
        <v>576.90898655858723</v>
      </c>
      <c r="O18" s="101">
        <v>265.7846279538208</v>
      </c>
      <c r="P18" s="101">
        <v>311.12435860476666</v>
      </c>
      <c r="Q18" s="124">
        <v>342.39313836403966</v>
      </c>
      <c r="R18" s="101">
        <v>181.3589226037837</v>
      </c>
      <c r="S18" s="142">
        <v>161.03421576025625</v>
      </c>
      <c r="T18" s="153">
        <v>950.22035047332747</v>
      </c>
      <c r="U18" s="116">
        <v>462.18200720301121</v>
      </c>
      <c r="V18" s="116">
        <v>488.03834327031274</v>
      </c>
      <c r="W18" s="117">
        <v>596.31175055213782</v>
      </c>
      <c r="X18" s="116">
        <v>274.72357071507514</v>
      </c>
      <c r="Y18" s="116">
        <v>321.58817983705916</v>
      </c>
      <c r="Z18" s="117">
        <v>353.90859992118607</v>
      </c>
      <c r="AA18" s="116">
        <v>187.45843648793368</v>
      </c>
      <c r="AB18" s="154">
        <v>166.45016343325156</v>
      </c>
    </row>
    <row r="19" spans="1:28" ht="12" customHeight="1" x14ac:dyDescent="0.2">
      <c r="A19" s="158" t="s">
        <v>15</v>
      </c>
      <c r="B19" s="102">
        <v>555.62974320783167</v>
      </c>
      <c r="C19" s="103">
        <v>276.87312627644468</v>
      </c>
      <c r="D19" s="103">
        <v>278.75661693138647</v>
      </c>
      <c r="E19" s="102">
        <v>367.28067771365085</v>
      </c>
      <c r="F19" s="103">
        <v>171.39764959970412</v>
      </c>
      <c r="G19" s="103">
        <v>195.88302811394746</v>
      </c>
      <c r="H19" s="102">
        <v>188.34906549418028</v>
      </c>
      <c r="I19" s="103">
        <v>105.47547667674114</v>
      </c>
      <c r="J19" s="168">
        <v>82.873588817439426</v>
      </c>
      <c r="K19" s="148">
        <v>574.37212013339763</v>
      </c>
      <c r="L19" s="101">
        <v>286.2125479986766</v>
      </c>
      <c r="M19" s="101">
        <v>288.159572134722</v>
      </c>
      <c r="N19" s="124">
        <v>379.66970652885578</v>
      </c>
      <c r="O19" s="101">
        <v>177.17919638013305</v>
      </c>
      <c r="P19" s="101">
        <v>202.49051014872362</v>
      </c>
      <c r="Q19" s="124">
        <v>194.7024136045419</v>
      </c>
      <c r="R19" s="101">
        <v>109.03335161854319</v>
      </c>
      <c r="S19" s="142">
        <v>85.669061985998226</v>
      </c>
      <c r="T19" s="153">
        <v>593.68956352754208</v>
      </c>
      <c r="U19" s="116">
        <v>295.83852826626821</v>
      </c>
      <c r="V19" s="116">
        <v>297.85103526127682</v>
      </c>
      <c r="W19" s="117">
        <v>392.43886402668136</v>
      </c>
      <c r="X19" s="116">
        <v>183.13813654578516</v>
      </c>
      <c r="Y19" s="116">
        <v>209.30072748089742</v>
      </c>
      <c r="Z19" s="117">
        <v>201.25069950086288</v>
      </c>
      <c r="AA19" s="116">
        <v>112.70039172048301</v>
      </c>
      <c r="AB19" s="154">
        <v>88.550307780379555</v>
      </c>
    </row>
    <row r="20" spans="1:28" ht="12" customHeight="1" x14ac:dyDescent="0.2">
      <c r="A20" s="158" t="s">
        <v>16</v>
      </c>
      <c r="B20" s="102">
        <v>401.18350950260316</v>
      </c>
      <c r="C20" s="103">
        <v>160.09670567005335</v>
      </c>
      <c r="D20" s="103">
        <v>241.08680383255054</v>
      </c>
      <c r="E20" s="102">
        <v>250.50425710725952</v>
      </c>
      <c r="F20" s="103">
        <v>88.524060782264854</v>
      </c>
      <c r="G20" s="103">
        <v>161.98019632499515</v>
      </c>
      <c r="H20" s="102">
        <v>150.67925239534438</v>
      </c>
      <c r="I20" s="103">
        <v>71.57264488778857</v>
      </c>
      <c r="J20" s="168">
        <v>79.106607507555808</v>
      </c>
      <c r="K20" s="148">
        <v>414.71614097767298</v>
      </c>
      <c r="L20" s="101">
        <v>165.49705156386048</v>
      </c>
      <c r="M20" s="101">
        <v>249.21908941381389</v>
      </c>
      <c r="N20" s="124">
        <v>258.954210094041</v>
      </c>
      <c r="O20" s="101">
        <v>91.510134394134468</v>
      </c>
      <c r="P20" s="101">
        <v>167.44407569990591</v>
      </c>
      <c r="Q20" s="124">
        <v>155.76193088363334</v>
      </c>
      <c r="R20" s="101">
        <v>73.986917169725743</v>
      </c>
      <c r="S20" s="142">
        <v>81.775013713907398</v>
      </c>
      <c r="T20" s="153">
        <v>428.66398993683629</v>
      </c>
      <c r="U20" s="116">
        <v>171.06309457573334</v>
      </c>
      <c r="V20" s="116">
        <v>257.60089536110468</v>
      </c>
      <c r="W20" s="117">
        <v>267.66343033614771</v>
      </c>
      <c r="X20" s="116">
        <v>94.587828765405419</v>
      </c>
      <c r="Y20" s="116">
        <v>173.07560157074198</v>
      </c>
      <c r="Z20" s="117">
        <v>161.00055960069017</v>
      </c>
      <c r="AA20" s="116">
        <v>76.475265810327826</v>
      </c>
      <c r="AB20" s="154">
        <v>84.525293790362312</v>
      </c>
    </row>
    <row r="21" spans="1:28" ht="12" customHeight="1" x14ac:dyDescent="0.2">
      <c r="A21" s="158" t="s">
        <v>17</v>
      </c>
      <c r="B21" s="102">
        <v>231.66935055784157</v>
      </c>
      <c r="C21" s="103">
        <v>120.54340191627561</v>
      </c>
      <c r="D21" s="103">
        <v>111.12594864156657</v>
      </c>
      <c r="E21" s="102">
        <v>126.19387388110104</v>
      </c>
      <c r="F21" s="103">
        <v>58.388210303195926</v>
      </c>
      <c r="G21" s="103">
        <v>67.805663577904951</v>
      </c>
      <c r="H21" s="102">
        <v>105.47547667674114</v>
      </c>
      <c r="I21" s="103">
        <v>62.155191613079531</v>
      </c>
      <c r="J21" s="168">
        <v>43.320285063661508</v>
      </c>
      <c r="K21" s="148">
        <v>239.48396873358675</v>
      </c>
      <c r="L21" s="101">
        <v>124.6095447069065</v>
      </c>
      <c r="M21" s="101">
        <v>114.87442402667943</v>
      </c>
      <c r="N21" s="124">
        <v>130.45061711504277</v>
      </c>
      <c r="O21" s="101">
        <v>60.357748217407838</v>
      </c>
      <c r="P21" s="101">
        <v>70.092868897634915</v>
      </c>
      <c r="Q21" s="124">
        <v>109.03335161854319</v>
      </c>
      <c r="R21" s="101">
        <v>64.251796489498673</v>
      </c>
      <c r="S21" s="142">
        <v>44.781555129044527</v>
      </c>
      <c r="T21" s="153">
        <v>247.5383603860615</v>
      </c>
      <c r="U21" s="116">
        <v>128.800447680552</v>
      </c>
      <c r="V21" s="116">
        <v>118.73791270550888</v>
      </c>
      <c r="W21" s="117">
        <v>134.8379686655779</v>
      </c>
      <c r="X21" s="116">
        <v>62.387716845267477</v>
      </c>
      <c r="Y21" s="116">
        <v>72.450251820310584</v>
      </c>
      <c r="Z21" s="117">
        <v>112.70039172048301</v>
      </c>
      <c r="AA21" s="116">
        <v>66.412730835284719</v>
      </c>
      <c r="AB21" s="154">
        <v>46.287660885198449</v>
      </c>
    </row>
    <row r="22" spans="1:28" ht="12" customHeight="1" x14ac:dyDescent="0.2">
      <c r="A22" s="158" t="s">
        <v>18</v>
      </c>
      <c r="B22" s="102">
        <v>133.72783650086822</v>
      </c>
      <c r="C22" s="103">
        <v>60.271700958137728</v>
      </c>
      <c r="D22" s="103">
        <v>73.456135542730379</v>
      </c>
      <c r="E22" s="102">
        <v>67.805663577904951</v>
      </c>
      <c r="F22" s="103">
        <v>26.368869169185277</v>
      </c>
      <c r="G22" s="103">
        <v>41.436794408719706</v>
      </c>
      <c r="H22" s="102">
        <v>65.922172922963142</v>
      </c>
      <c r="I22" s="103">
        <v>33.902831788952497</v>
      </c>
      <c r="J22" s="168">
        <v>32.019341134010695</v>
      </c>
      <c r="K22" s="148">
        <v>138.23871365922449</v>
      </c>
      <c r="L22" s="101">
        <v>62.304772353453252</v>
      </c>
      <c r="M22" s="101">
        <v>75.933941305771157</v>
      </c>
      <c r="N22" s="124">
        <v>70.092868897634915</v>
      </c>
      <c r="O22" s="101">
        <v>27.258337904635798</v>
      </c>
      <c r="P22" s="101">
        <v>42.834530992999113</v>
      </c>
      <c r="Q22" s="124">
        <v>68.145844761589501</v>
      </c>
      <c r="R22" s="101">
        <v>35.046434448817458</v>
      </c>
      <c r="S22" s="142">
        <v>33.099410312772044</v>
      </c>
      <c r="T22" s="153">
        <v>142.88799664561245</v>
      </c>
      <c r="U22" s="116">
        <v>64.400223840276098</v>
      </c>
      <c r="V22" s="116">
        <v>78.487772805336448</v>
      </c>
      <c r="W22" s="117">
        <v>72.450251820310584</v>
      </c>
      <c r="X22" s="116">
        <v>28.175097930120796</v>
      </c>
      <c r="Y22" s="116">
        <v>44.27515389018982</v>
      </c>
      <c r="Z22" s="117">
        <v>70.437744825301962</v>
      </c>
      <c r="AA22" s="116">
        <v>36.225125910155306</v>
      </c>
      <c r="AB22" s="154">
        <v>34.212618915146678</v>
      </c>
    </row>
    <row r="23" spans="1:28" ht="12" customHeight="1" x14ac:dyDescent="0.2">
      <c r="A23" s="158" t="s">
        <v>19</v>
      </c>
      <c r="B23" s="102">
        <v>41.436794408719706</v>
      </c>
      <c r="C23" s="103">
        <v>7.5339626197672223</v>
      </c>
      <c r="D23" s="103">
        <v>33.902831788952497</v>
      </c>
      <c r="E23" s="102">
        <v>32.019341134010695</v>
      </c>
      <c r="F23" s="103">
        <v>1.8834906549418056</v>
      </c>
      <c r="G23" s="103">
        <v>30.135850479068889</v>
      </c>
      <c r="H23" s="102">
        <v>9.4174532747090272</v>
      </c>
      <c r="I23" s="103">
        <v>5.6504719648254165</v>
      </c>
      <c r="J23" s="168">
        <v>3.7669813098836111</v>
      </c>
      <c r="K23" s="148">
        <v>42.834530992999113</v>
      </c>
      <c r="L23" s="101">
        <v>7.7880965441816583</v>
      </c>
      <c r="M23" s="101">
        <v>35.046434448817458</v>
      </c>
      <c r="N23" s="124">
        <v>33.099410312772044</v>
      </c>
      <c r="O23" s="101">
        <v>1.9470241360454146</v>
      </c>
      <c r="P23" s="101">
        <v>31.152386176726626</v>
      </c>
      <c r="Q23" s="124">
        <v>9.7351206802270731</v>
      </c>
      <c r="R23" s="101">
        <v>5.8410724081362435</v>
      </c>
      <c r="S23" s="142">
        <v>3.8940482720908292</v>
      </c>
      <c r="T23" s="153">
        <v>44.27515389018982</v>
      </c>
      <c r="U23" s="116">
        <v>8.0500279800345123</v>
      </c>
      <c r="V23" s="116">
        <v>36.225125910155306</v>
      </c>
      <c r="W23" s="117">
        <v>34.212618915146678</v>
      </c>
      <c r="X23" s="116">
        <v>2.0125069950086281</v>
      </c>
      <c r="Y23" s="116">
        <v>32.200111920138049</v>
      </c>
      <c r="Z23" s="117">
        <v>10.062534975043141</v>
      </c>
      <c r="AA23" s="116">
        <v>6.0375209850258837</v>
      </c>
      <c r="AB23" s="154">
        <v>4.0250139900172561</v>
      </c>
    </row>
    <row r="24" spans="1:28" ht="12" customHeight="1" x14ac:dyDescent="0.2">
      <c r="A24" s="158" t="s">
        <v>20</v>
      </c>
      <c r="B24" s="102">
        <v>18.834906549418054</v>
      </c>
      <c r="C24" s="103">
        <v>13.184434584592639</v>
      </c>
      <c r="D24" s="103">
        <v>5.6504719648254165</v>
      </c>
      <c r="E24" s="102">
        <v>5.6504719648254165</v>
      </c>
      <c r="F24" s="103">
        <v>3.7669813098836111</v>
      </c>
      <c r="G24" s="103">
        <v>1.8834906549418056</v>
      </c>
      <c r="H24" s="102">
        <v>13.184434584592639</v>
      </c>
      <c r="I24" s="103">
        <v>9.4174532747090272</v>
      </c>
      <c r="J24" s="168">
        <v>3.7669813098836111</v>
      </c>
      <c r="K24" s="148">
        <v>19.470241360454143</v>
      </c>
      <c r="L24" s="101">
        <v>13.629168952317901</v>
      </c>
      <c r="M24" s="101">
        <v>5.8410724081362435</v>
      </c>
      <c r="N24" s="124">
        <v>5.8410724081362435</v>
      </c>
      <c r="O24" s="101">
        <v>3.8940482720908292</v>
      </c>
      <c r="P24" s="101">
        <v>1.9470241360454146</v>
      </c>
      <c r="Q24" s="124">
        <v>13.629168952317901</v>
      </c>
      <c r="R24" s="101">
        <v>9.7351206802270731</v>
      </c>
      <c r="S24" s="142">
        <v>3.8940482720908292</v>
      </c>
      <c r="T24" s="153">
        <v>20.125069950086282</v>
      </c>
      <c r="U24" s="116">
        <v>14.087548965060398</v>
      </c>
      <c r="V24" s="116">
        <v>6.0375209850258837</v>
      </c>
      <c r="W24" s="117">
        <v>6.0375209850258837</v>
      </c>
      <c r="X24" s="116">
        <v>4.0250139900172561</v>
      </c>
      <c r="Y24" s="116">
        <v>2.0125069950086281</v>
      </c>
      <c r="Z24" s="117">
        <v>14.087548965060398</v>
      </c>
      <c r="AA24" s="116">
        <v>10.062534975043141</v>
      </c>
      <c r="AB24" s="154">
        <v>4.0250139900172561</v>
      </c>
    </row>
    <row r="25" spans="1:28" ht="12" customHeight="1" thickBot="1" x14ac:dyDescent="0.25">
      <c r="A25" s="161" t="s">
        <v>21</v>
      </c>
      <c r="B25" s="107">
        <v>28.252359824127083</v>
      </c>
      <c r="C25" s="106">
        <v>13.184434584592639</v>
      </c>
      <c r="D25" s="106">
        <v>15.067925239534445</v>
      </c>
      <c r="E25" s="107">
        <v>15.067925239534445</v>
      </c>
      <c r="F25" s="106">
        <v>7.5339626197672223</v>
      </c>
      <c r="G25" s="106">
        <v>7.5339626197672223</v>
      </c>
      <c r="H25" s="107">
        <v>13.184434584592639</v>
      </c>
      <c r="I25" s="106">
        <v>5.6504719648254165</v>
      </c>
      <c r="J25" s="192">
        <v>7.5339626197672223</v>
      </c>
      <c r="K25" s="207">
        <v>29.205362040681212</v>
      </c>
      <c r="L25" s="201">
        <v>13.629168952317901</v>
      </c>
      <c r="M25" s="201">
        <v>15.576193088363315</v>
      </c>
      <c r="N25" s="202">
        <v>15.576193088363315</v>
      </c>
      <c r="O25" s="201">
        <v>7.7880965441816583</v>
      </c>
      <c r="P25" s="201">
        <v>7.7880965441816583</v>
      </c>
      <c r="Q25" s="202">
        <v>13.629168952317901</v>
      </c>
      <c r="R25" s="201">
        <v>5.8410724081362435</v>
      </c>
      <c r="S25" s="206">
        <v>7.7880965441816583</v>
      </c>
      <c r="T25" s="208">
        <v>30.187604925129424</v>
      </c>
      <c r="U25" s="204">
        <v>14.087548965060398</v>
      </c>
      <c r="V25" s="204">
        <v>16.100055960069025</v>
      </c>
      <c r="W25" s="205">
        <v>16.100055960069025</v>
      </c>
      <c r="X25" s="204">
        <v>8.0500279800345123</v>
      </c>
      <c r="Y25" s="204">
        <v>8.0500279800345123</v>
      </c>
      <c r="Z25" s="205">
        <v>14.087548965060398</v>
      </c>
      <c r="AA25" s="204">
        <v>6.0375209850258837</v>
      </c>
      <c r="AB25" s="209">
        <v>8.0500279800345123</v>
      </c>
    </row>
    <row r="26" spans="1:28" ht="12" customHeight="1" x14ac:dyDescent="0.2">
      <c r="A26" s="130" t="s">
        <v>69</v>
      </c>
      <c r="B26" s="187">
        <v>34709.915983441111</v>
      </c>
      <c r="C26" s="176">
        <v>17092.570989110711</v>
      </c>
      <c r="D26" s="176">
        <v>17617.34499433561</v>
      </c>
      <c r="E26" s="187">
        <v>22466.759388445986</v>
      </c>
      <c r="F26" s="176">
        <v>11061.000358559597</v>
      </c>
      <c r="G26" s="176">
        <v>11405.759029887377</v>
      </c>
      <c r="H26" s="187">
        <v>12243.156594998291</v>
      </c>
      <c r="I26" s="176">
        <v>6031.5706305502081</v>
      </c>
      <c r="J26" s="189">
        <v>6211.585964447383</v>
      </c>
      <c r="K26" s="213">
        <v>35880.743024963333</v>
      </c>
      <c r="L26" s="167">
        <v>17669.133730791877</v>
      </c>
      <c r="M26" s="167">
        <v>18211.609294162445</v>
      </c>
      <c r="N26" s="210">
        <v>23224.603038651738</v>
      </c>
      <c r="O26" s="167">
        <v>11434.107522867698</v>
      </c>
      <c r="P26" s="167">
        <v>11790.495515780996</v>
      </c>
      <c r="Q26" s="210">
        <v>12656.139986305872</v>
      </c>
      <c r="R26" s="167">
        <v>6235.026207925388</v>
      </c>
      <c r="S26" s="212">
        <v>6421.1137783821678</v>
      </c>
      <c r="T26" s="213">
        <v>37087.494185099611</v>
      </c>
      <c r="U26" s="167">
        <v>18263.3869661135</v>
      </c>
      <c r="V26" s="167">
        <v>18824.107218981528</v>
      </c>
      <c r="W26" s="210">
        <v>24005.699367706486</v>
      </c>
      <c r="X26" s="167">
        <v>11818.662617192733</v>
      </c>
      <c r="Y26" s="167">
        <v>12187.036750515967</v>
      </c>
      <c r="Z26" s="210">
        <v>13081.794817388663</v>
      </c>
      <c r="AA26" s="167">
        <v>6444.7243489222637</v>
      </c>
      <c r="AB26" s="212">
        <v>6637.0704684670491</v>
      </c>
    </row>
    <row r="27" spans="1:28" ht="12" customHeight="1" x14ac:dyDescent="0.2">
      <c r="A27" s="159" t="s">
        <v>22</v>
      </c>
      <c r="B27" s="102">
        <v>1894.8391981180812</v>
      </c>
      <c r="C27" s="103">
        <v>945.03715245620924</v>
      </c>
      <c r="D27" s="103">
        <v>949.80204566187081</v>
      </c>
      <c r="E27" s="102">
        <v>1076.8658644795125</v>
      </c>
      <c r="F27" s="103">
        <v>511.43187074100683</v>
      </c>
      <c r="G27" s="103">
        <v>565.43399373850457</v>
      </c>
      <c r="H27" s="102">
        <v>817.97333363856751</v>
      </c>
      <c r="I27" s="103">
        <v>433.60528171520127</v>
      </c>
      <c r="J27" s="168">
        <v>384.3680519233651</v>
      </c>
      <c r="K27" s="148">
        <v>1958.7554857152857</v>
      </c>
      <c r="L27" s="101">
        <v>976.9149321044639</v>
      </c>
      <c r="M27" s="101">
        <v>981.84055361087303</v>
      </c>
      <c r="N27" s="124">
        <v>1113.1904604484437</v>
      </c>
      <c r="O27" s="101">
        <v>528.68337502123313</v>
      </c>
      <c r="P27" s="101">
        <v>584.50708542720326</v>
      </c>
      <c r="Q27" s="124">
        <v>845.56502526688712</v>
      </c>
      <c r="R27" s="101">
        <v>448.23155708321957</v>
      </c>
      <c r="S27" s="142">
        <v>397.33346818366033</v>
      </c>
      <c r="T27" s="153">
        <v>2024.632896703692</v>
      </c>
      <c r="U27" s="116">
        <v>1009.7708076602654</v>
      </c>
      <c r="V27" s="116">
        <v>1014.8620890434264</v>
      </c>
      <c r="W27" s="117">
        <v>1150.6295925943864</v>
      </c>
      <c r="X27" s="116">
        <v>546.46420179261406</v>
      </c>
      <c r="Y27" s="116">
        <v>604.16539080177211</v>
      </c>
      <c r="Z27" s="117">
        <v>874.0033041093053</v>
      </c>
      <c r="AA27" s="116">
        <v>463.30660586765106</v>
      </c>
      <c r="AB27" s="154">
        <v>410.69669824165402</v>
      </c>
    </row>
    <row r="28" spans="1:28" ht="12" customHeight="1" thickBot="1" x14ac:dyDescent="0.25">
      <c r="A28" s="138" t="s">
        <v>23</v>
      </c>
      <c r="B28" s="184">
        <v>32612.276054718022</v>
      </c>
      <c r="C28" s="178">
        <v>16141.120528169562</v>
      </c>
      <c r="D28" s="178">
        <v>16471.155526548155</v>
      </c>
      <c r="E28" s="184">
        <v>20368.922386805731</v>
      </c>
      <c r="F28" s="178">
        <v>9767.4965720772689</v>
      </c>
      <c r="G28" s="178">
        <v>10601.425814726594</v>
      </c>
      <c r="H28" s="184">
        <v>12243.353667911635</v>
      </c>
      <c r="I28" s="178">
        <v>6373.6239560907634</v>
      </c>
      <c r="J28" s="179">
        <v>5869.7297118201541</v>
      </c>
      <c r="K28" s="216">
        <v>33712.345980216494</v>
      </c>
      <c r="L28" s="177">
        <v>16685.589157932685</v>
      </c>
      <c r="M28" s="177">
        <v>17026.756822288658</v>
      </c>
      <c r="N28" s="214">
        <v>21056.002273380345</v>
      </c>
      <c r="O28" s="177">
        <v>10096.971558992802</v>
      </c>
      <c r="P28" s="177">
        <v>10959.030714387151</v>
      </c>
      <c r="Q28" s="214">
        <v>12656.343706839998</v>
      </c>
      <c r="R28" s="177">
        <v>6588.6175989387739</v>
      </c>
      <c r="S28" s="215">
        <v>6067.7261079004484</v>
      </c>
      <c r="T28" s="216">
        <v>34846.169005967407</v>
      </c>
      <c r="U28" s="177">
        <v>17246.763547769966</v>
      </c>
      <c r="V28" s="177">
        <v>17599.405458199275</v>
      </c>
      <c r="W28" s="214">
        <v>21764.163616461727</v>
      </c>
      <c r="X28" s="177">
        <v>10436.555723519852</v>
      </c>
      <c r="Y28" s="177">
        <v>11327.607892942759</v>
      </c>
      <c r="Z28" s="214">
        <v>13082.005389507796</v>
      </c>
      <c r="AA28" s="177">
        <v>6810.2078242508933</v>
      </c>
      <c r="AB28" s="215">
        <v>6271.7975652571558</v>
      </c>
    </row>
    <row r="29" spans="1:28" x14ac:dyDescent="0.2">
      <c r="A29" s="281" t="s">
        <v>91</v>
      </c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0"/>
  <sheetViews>
    <sheetView workbookViewId="0">
      <selection activeCell="A29" sqref="A29"/>
    </sheetView>
  </sheetViews>
  <sheetFormatPr defaultRowHeight="12" x14ac:dyDescent="0.2"/>
  <cols>
    <col min="1" max="1" width="17.28515625" style="22" customWidth="1"/>
    <col min="2" max="16384" width="9.140625" style="22"/>
  </cols>
  <sheetData>
    <row r="1" spans="1:28" ht="15.75" customHeight="1" thickBot="1" x14ac:dyDescent="0.25">
      <c r="A1" s="283" t="s">
        <v>86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</row>
    <row r="2" spans="1:28" ht="15.75" customHeight="1" x14ac:dyDescent="0.2">
      <c r="A2" s="284" t="s">
        <v>54</v>
      </c>
      <c r="B2" s="285"/>
      <c r="C2" s="285"/>
      <c r="D2" s="285"/>
      <c r="E2" s="285"/>
      <c r="F2" s="285"/>
      <c r="G2" s="285"/>
      <c r="H2" s="285"/>
      <c r="I2" s="285"/>
      <c r="J2" s="286"/>
      <c r="K2" s="284" t="s">
        <v>49</v>
      </c>
      <c r="L2" s="285"/>
      <c r="M2" s="285"/>
      <c r="N2" s="285"/>
      <c r="O2" s="285"/>
      <c r="P2" s="285"/>
      <c r="Q2" s="285"/>
      <c r="R2" s="285"/>
      <c r="S2" s="286"/>
      <c r="T2" s="284" t="s">
        <v>50</v>
      </c>
      <c r="U2" s="285"/>
      <c r="V2" s="285"/>
      <c r="W2" s="285"/>
      <c r="X2" s="285"/>
      <c r="Y2" s="285"/>
      <c r="Z2" s="285"/>
      <c r="AA2" s="285"/>
      <c r="AB2" s="286"/>
    </row>
    <row r="3" spans="1:28" ht="15.75" customHeight="1" thickBot="1" x14ac:dyDescent="0.25">
      <c r="A3" s="294" t="s">
        <v>64</v>
      </c>
      <c r="B3" s="186"/>
      <c r="C3" s="17" t="s">
        <v>1</v>
      </c>
      <c r="D3" s="18"/>
      <c r="E3" s="1"/>
      <c r="F3" s="1" t="s">
        <v>32</v>
      </c>
      <c r="G3" s="2"/>
      <c r="H3" s="17"/>
      <c r="I3" s="17" t="s">
        <v>33</v>
      </c>
      <c r="J3" s="3"/>
      <c r="K3" s="146"/>
      <c r="L3" s="17" t="s">
        <v>1</v>
      </c>
      <c r="M3" s="18"/>
      <c r="N3" s="1"/>
      <c r="O3" s="1" t="s">
        <v>32</v>
      </c>
      <c r="P3" s="2"/>
      <c r="Q3" s="17"/>
      <c r="R3" s="17" t="s">
        <v>33</v>
      </c>
      <c r="S3" s="3"/>
      <c r="T3" s="146"/>
      <c r="U3" s="17" t="s">
        <v>1</v>
      </c>
      <c r="V3" s="18"/>
      <c r="W3" s="1"/>
      <c r="X3" s="1" t="s">
        <v>32</v>
      </c>
      <c r="Y3" s="2"/>
      <c r="Z3" s="17"/>
      <c r="AA3" s="17" t="s">
        <v>33</v>
      </c>
      <c r="AB3" s="3"/>
    </row>
    <row r="4" spans="1:28" ht="15.75" customHeight="1" thickBot="1" x14ac:dyDescent="0.25">
      <c r="A4" s="288"/>
      <c r="B4" s="194" t="s">
        <v>1</v>
      </c>
      <c r="C4" s="5" t="s">
        <v>34</v>
      </c>
      <c r="D4" s="6" t="s">
        <v>35</v>
      </c>
      <c r="E4" s="81" t="s">
        <v>1</v>
      </c>
      <c r="F4" s="5" t="s">
        <v>34</v>
      </c>
      <c r="G4" s="6" t="s">
        <v>35</v>
      </c>
      <c r="H4" s="81" t="s">
        <v>1</v>
      </c>
      <c r="I4" s="5" t="s">
        <v>34</v>
      </c>
      <c r="J4" s="82" t="s">
        <v>35</v>
      </c>
      <c r="K4" s="80" t="s">
        <v>1</v>
      </c>
      <c r="L4" s="5" t="s">
        <v>34</v>
      </c>
      <c r="M4" s="5" t="s">
        <v>35</v>
      </c>
      <c r="N4" s="4" t="s">
        <v>1</v>
      </c>
      <c r="O4" s="5" t="s">
        <v>34</v>
      </c>
      <c r="P4" s="6" t="s">
        <v>35</v>
      </c>
      <c r="Q4" s="81" t="s">
        <v>1</v>
      </c>
      <c r="R4" s="5" t="s">
        <v>34</v>
      </c>
      <c r="S4" s="82" t="s">
        <v>35</v>
      </c>
      <c r="T4" s="80" t="s">
        <v>1</v>
      </c>
      <c r="U4" s="5" t="s">
        <v>34</v>
      </c>
      <c r="V4" s="5" t="s">
        <v>35</v>
      </c>
      <c r="W4" s="4" t="s">
        <v>1</v>
      </c>
      <c r="X4" s="5" t="s">
        <v>34</v>
      </c>
      <c r="Y4" s="6" t="s">
        <v>35</v>
      </c>
      <c r="Z4" s="81" t="s">
        <v>1</v>
      </c>
      <c r="AA4" s="5" t="s">
        <v>34</v>
      </c>
      <c r="AB4" s="82" t="s">
        <v>35</v>
      </c>
    </row>
    <row r="5" spans="1:28" ht="12" customHeight="1" thickBot="1" x14ac:dyDescent="0.25">
      <c r="A5" s="14" t="s">
        <v>51</v>
      </c>
      <c r="B5" s="240">
        <f>SUM(B6:B25)</f>
        <v>4689.9539897535033</v>
      </c>
      <c r="C5" s="240">
        <f t="shared" ref="C5:AB5" si="0">SUM(C6:C25)</f>
        <v>2443.3263106185641</v>
      </c>
      <c r="D5" s="240">
        <f t="shared" si="0"/>
        <v>2246.6276791349433</v>
      </c>
      <c r="E5" s="241">
        <f t="shared" si="0"/>
        <v>0</v>
      </c>
      <c r="F5" s="240">
        <f t="shared" si="0"/>
        <v>0</v>
      </c>
      <c r="G5" s="280">
        <f t="shared" si="0"/>
        <v>0</v>
      </c>
      <c r="H5" s="240">
        <f t="shared" si="0"/>
        <v>4689.9539897535033</v>
      </c>
      <c r="I5" s="240">
        <f t="shared" si="0"/>
        <v>2443.3263106185641</v>
      </c>
      <c r="J5" s="279">
        <f t="shared" si="0"/>
        <v>2246.6276791349433</v>
      </c>
      <c r="K5" s="240">
        <f t="shared" si="0"/>
        <v>4848.154457806264</v>
      </c>
      <c r="L5" s="240">
        <f t="shared" si="0"/>
        <v>2525.7440415365904</v>
      </c>
      <c r="M5" s="240">
        <f t="shared" si="0"/>
        <v>2322.4104162696585</v>
      </c>
      <c r="N5" s="241">
        <f t="shared" si="0"/>
        <v>0</v>
      </c>
      <c r="O5" s="240">
        <f t="shared" si="0"/>
        <v>0</v>
      </c>
      <c r="P5" s="280">
        <f t="shared" si="0"/>
        <v>0</v>
      </c>
      <c r="Q5" s="240">
        <f t="shared" si="0"/>
        <v>4848.154457806264</v>
      </c>
      <c r="R5" s="240">
        <f t="shared" si="0"/>
        <v>2525.7440415365904</v>
      </c>
      <c r="S5" s="279">
        <f t="shared" si="0"/>
        <v>2322.4104162696585</v>
      </c>
      <c r="T5" s="240">
        <f t="shared" si="0"/>
        <v>5011.2089411663155</v>
      </c>
      <c r="U5" s="240">
        <f t="shared" si="0"/>
        <v>2610.6905698241403</v>
      </c>
      <c r="V5" s="280">
        <f t="shared" si="0"/>
        <v>2400.5183713421493</v>
      </c>
      <c r="W5" s="240">
        <f t="shared" si="0"/>
        <v>0</v>
      </c>
      <c r="X5" s="240">
        <f t="shared" si="0"/>
        <v>0</v>
      </c>
      <c r="Y5" s="240">
        <f t="shared" si="0"/>
        <v>0</v>
      </c>
      <c r="Z5" s="241">
        <f t="shared" si="0"/>
        <v>5011.2089411663155</v>
      </c>
      <c r="AA5" s="240">
        <f t="shared" si="0"/>
        <v>2610.6905698241403</v>
      </c>
      <c r="AB5" s="279">
        <f t="shared" si="0"/>
        <v>2400.5183713421493</v>
      </c>
    </row>
    <row r="6" spans="1:28" ht="12" customHeight="1" x14ac:dyDescent="0.2">
      <c r="A6" s="11" t="s">
        <v>2</v>
      </c>
      <c r="B6" s="124">
        <v>844.1665966795</v>
      </c>
      <c r="C6" s="101">
        <v>440.00961602986109</v>
      </c>
      <c r="D6" s="101">
        <v>404.15698064965017</v>
      </c>
      <c r="E6" s="124">
        <v>0</v>
      </c>
      <c r="F6" s="101">
        <v>0</v>
      </c>
      <c r="G6" s="101">
        <v>0</v>
      </c>
      <c r="H6" s="124">
        <v>844.1665966795</v>
      </c>
      <c r="I6" s="101">
        <v>440.00961602986109</v>
      </c>
      <c r="J6" s="142">
        <v>404.15698064965017</v>
      </c>
      <c r="K6" s="148">
        <v>872.64183353705562</v>
      </c>
      <c r="L6" s="101">
        <v>454.8519209556037</v>
      </c>
      <c r="M6" s="101">
        <v>417.78991258144373</v>
      </c>
      <c r="N6" s="124">
        <v>0</v>
      </c>
      <c r="O6" s="101">
        <v>0</v>
      </c>
      <c r="P6" s="101">
        <v>0</v>
      </c>
      <c r="Q6" s="124">
        <v>872.64183353705562</v>
      </c>
      <c r="R6" s="101">
        <v>454.8519209556037</v>
      </c>
      <c r="S6" s="142">
        <v>417.78991258144373</v>
      </c>
      <c r="T6" s="153">
        <v>901.99076714963564</v>
      </c>
      <c r="U6" s="116">
        <v>470.14962766486849</v>
      </c>
      <c r="V6" s="116">
        <v>431.84113948476818</v>
      </c>
      <c r="W6" s="117">
        <v>0</v>
      </c>
      <c r="X6" s="116">
        <v>0</v>
      </c>
      <c r="Y6" s="116">
        <v>0</v>
      </c>
      <c r="Z6" s="117">
        <v>901.99076714963564</v>
      </c>
      <c r="AA6" s="116">
        <v>470.14962766486849</v>
      </c>
      <c r="AB6" s="154">
        <v>431.84113948476818</v>
      </c>
    </row>
    <row r="7" spans="1:28" ht="12" customHeight="1" x14ac:dyDescent="0.2">
      <c r="A7" s="11" t="s">
        <v>3</v>
      </c>
      <c r="B7" s="124">
        <v>820.45639695370301</v>
      </c>
      <c r="C7" s="101">
        <v>467.69207063703124</v>
      </c>
      <c r="D7" s="101">
        <v>352.76432631666756</v>
      </c>
      <c r="E7" s="124">
        <v>0</v>
      </c>
      <c r="F7" s="101">
        <v>0</v>
      </c>
      <c r="G7" s="101">
        <v>0</v>
      </c>
      <c r="H7" s="124">
        <v>820.45639695370301</v>
      </c>
      <c r="I7" s="101">
        <v>467.69207063703124</v>
      </c>
      <c r="J7" s="142">
        <v>352.76432631666756</v>
      </c>
      <c r="K7" s="148">
        <v>848.13184671259569</v>
      </c>
      <c r="L7" s="101">
        <v>483.46815386534644</v>
      </c>
      <c r="M7" s="101">
        <v>364.66369284724186</v>
      </c>
      <c r="N7" s="124">
        <v>0</v>
      </c>
      <c r="O7" s="101">
        <v>0</v>
      </c>
      <c r="P7" s="101">
        <v>0</v>
      </c>
      <c r="Q7" s="124">
        <v>848.13184671259569</v>
      </c>
      <c r="R7" s="101">
        <v>483.46815386534644</v>
      </c>
      <c r="S7" s="142">
        <v>364.66369284724186</v>
      </c>
      <c r="T7" s="153">
        <v>876.65645361002544</v>
      </c>
      <c r="U7" s="116">
        <v>499.72828970376253</v>
      </c>
      <c r="V7" s="116">
        <v>376.92816390625097</v>
      </c>
      <c r="W7" s="117">
        <v>0</v>
      </c>
      <c r="X7" s="116">
        <v>0</v>
      </c>
      <c r="Y7" s="116">
        <v>0</v>
      </c>
      <c r="Z7" s="117">
        <v>876.65645361002544</v>
      </c>
      <c r="AA7" s="116">
        <v>499.72828970376253</v>
      </c>
      <c r="AB7" s="154">
        <v>376.92816390625097</v>
      </c>
    </row>
    <row r="8" spans="1:28" ht="12" customHeight="1" x14ac:dyDescent="0.2">
      <c r="A8" s="11" t="s">
        <v>4</v>
      </c>
      <c r="B8" s="124">
        <v>753.4152127668242</v>
      </c>
      <c r="C8" s="101">
        <v>387.88113708122313</v>
      </c>
      <c r="D8" s="101">
        <v>365.53407568559686</v>
      </c>
      <c r="E8" s="124">
        <v>0</v>
      </c>
      <c r="F8" s="101">
        <v>0</v>
      </c>
      <c r="G8" s="101">
        <v>0</v>
      </c>
      <c r="H8" s="124">
        <v>753.4152127668242</v>
      </c>
      <c r="I8" s="101">
        <v>387.88113708122313</v>
      </c>
      <c r="J8" s="142">
        <v>365.53407568559686</v>
      </c>
      <c r="K8" s="148">
        <v>778.8292444520323</v>
      </c>
      <c r="L8" s="101">
        <v>400.96505593610715</v>
      </c>
      <c r="M8" s="101">
        <v>377.86418851592015</v>
      </c>
      <c r="N8" s="124">
        <v>0</v>
      </c>
      <c r="O8" s="101">
        <v>0</v>
      </c>
      <c r="P8" s="101">
        <v>0</v>
      </c>
      <c r="Q8" s="124">
        <v>778.8292444520323</v>
      </c>
      <c r="R8" s="101">
        <v>400.96505593610715</v>
      </c>
      <c r="S8" s="142">
        <v>377.86418851592015</v>
      </c>
      <c r="T8" s="153">
        <v>805.02304689480798</v>
      </c>
      <c r="U8" s="116">
        <v>414.45042456660173</v>
      </c>
      <c r="V8" s="116">
        <v>390.5726223281967</v>
      </c>
      <c r="W8" s="117">
        <v>0</v>
      </c>
      <c r="X8" s="116">
        <v>0</v>
      </c>
      <c r="Y8" s="116">
        <v>0</v>
      </c>
      <c r="Z8" s="117">
        <v>805.02304689480798</v>
      </c>
      <c r="AA8" s="116">
        <v>414.45042456660173</v>
      </c>
      <c r="AB8" s="154">
        <v>390.5726223281967</v>
      </c>
    </row>
    <row r="9" spans="1:28" ht="12" customHeight="1" x14ac:dyDescent="0.2">
      <c r="A9" s="11" t="s">
        <v>5</v>
      </c>
      <c r="B9" s="124">
        <v>557.49250506240196</v>
      </c>
      <c r="C9" s="101">
        <v>293.83508101579537</v>
      </c>
      <c r="D9" s="101">
        <v>263.65742404660546</v>
      </c>
      <c r="E9" s="124">
        <v>0</v>
      </c>
      <c r="F9" s="101">
        <v>0</v>
      </c>
      <c r="G9" s="101">
        <v>0</v>
      </c>
      <c r="H9" s="124">
        <v>557.49250506240196</v>
      </c>
      <c r="I9" s="101">
        <v>293.83508101579537</v>
      </c>
      <c r="J9" s="142">
        <v>263.65742404660546</v>
      </c>
      <c r="K9" s="148">
        <v>576.29771624985472</v>
      </c>
      <c r="L9" s="101">
        <v>303.74665956189011</v>
      </c>
      <c r="M9" s="101">
        <v>272.55105668796671</v>
      </c>
      <c r="N9" s="124">
        <v>0</v>
      </c>
      <c r="O9" s="101">
        <v>0</v>
      </c>
      <c r="P9" s="101">
        <v>0</v>
      </c>
      <c r="Q9" s="124">
        <v>576.29771624985472</v>
      </c>
      <c r="R9" s="101">
        <v>303.74665956189011</v>
      </c>
      <c r="S9" s="142">
        <v>272.55105668796671</v>
      </c>
      <c r="T9" s="153">
        <v>595.6799218298371</v>
      </c>
      <c r="U9" s="116">
        <v>313.96235196159495</v>
      </c>
      <c r="V9" s="116">
        <v>281.71756986824192</v>
      </c>
      <c r="W9" s="117">
        <v>0</v>
      </c>
      <c r="X9" s="116">
        <v>0</v>
      </c>
      <c r="Y9" s="116">
        <v>0</v>
      </c>
      <c r="Z9" s="117">
        <v>595.6799218298371</v>
      </c>
      <c r="AA9" s="116">
        <v>313.96235196159495</v>
      </c>
      <c r="AB9" s="154">
        <v>281.71756986824192</v>
      </c>
    </row>
    <row r="10" spans="1:28" ht="12" customHeight="1" x14ac:dyDescent="0.2">
      <c r="A10" s="11" t="s">
        <v>6</v>
      </c>
      <c r="B10" s="124">
        <v>513.13213396477249</v>
      </c>
      <c r="C10" s="101">
        <v>250.4207719648459</v>
      </c>
      <c r="D10" s="101">
        <v>262.71136199993026</v>
      </c>
      <c r="E10" s="124">
        <v>0</v>
      </c>
      <c r="F10" s="101">
        <v>0</v>
      </c>
      <c r="G10" s="101">
        <v>0</v>
      </c>
      <c r="H10" s="124">
        <v>513.13213396477249</v>
      </c>
      <c r="I10" s="101">
        <v>250.4207719648459</v>
      </c>
      <c r="J10" s="142">
        <v>262.71136199993026</v>
      </c>
      <c r="K10" s="148">
        <v>530.44099113981122</v>
      </c>
      <c r="L10" s="101">
        <v>258.86790884966848</v>
      </c>
      <c r="M10" s="101">
        <v>271.57308229014296</v>
      </c>
      <c r="N10" s="124">
        <v>0</v>
      </c>
      <c r="O10" s="101">
        <v>0</v>
      </c>
      <c r="P10" s="101">
        <v>0</v>
      </c>
      <c r="Q10" s="124">
        <v>530.44099113981122</v>
      </c>
      <c r="R10" s="101">
        <v>258.86790884966848</v>
      </c>
      <c r="S10" s="142">
        <v>271.57308229014296</v>
      </c>
      <c r="T10" s="153">
        <v>548.28093054686678</v>
      </c>
      <c r="U10" s="116">
        <v>267.57422658424883</v>
      </c>
      <c r="V10" s="116">
        <v>280.70670396261693</v>
      </c>
      <c r="W10" s="117">
        <v>0</v>
      </c>
      <c r="X10" s="116">
        <v>0</v>
      </c>
      <c r="Y10" s="116">
        <v>0</v>
      </c>
      <c r="Z10" s="117">
        <v>548.28093054686678</v>
      </c>
      <c r="AA10" s="116">
        <v>267.57422658424883</v>
      </c>
      <c r="AB10" s="154">
        <v>280.70670396261693</v>
      </c>
    </row>
    <row r="11" spans="1:28" ht="12" customHeight="1" x14ac:dyDescent="0.2">
      <c r="A11" s="12" t="s">
        <v>7</v>
      </c>
      <c r="B11" s="124">
        <v>328.77328343850826</v>
      </c>
      <c r="C11" s="101">
        <v>142.87810915785647</v>
      </c>
      <c r="D11" s="101">
        <v>185.89517428065224</v>
      </c>
      <c r="E11" s="124">
        <v>0</v>
      </c>
      <c r="F11" s="101">
        <v>0</v>
      </c>
      <c r="G11" s="101">
        <v>0</v>
      </c>
      <c r="H11" s="124">
        <v>328.77328343850826</v>
      </c>
      <c r="I11" s="101">
        <v>142.87810915785647</v>
      </c>
      <c r="J11" s="142">
        <v>185.89517428065224</v>
      </c>
      <c r="K11" s="148">
        <v>339.8633895326933</v>
      </c>
      <c r="L11" s="101">
        <v>147.69764124551676</v>
      </c>
      <c r="M11" s="101">
        <v>192.16574828717745</v>
      </c>
      <c r="N11" s="124">
        <v>0</v>
      </c>
      <c r="O11" s="101">
        <v>0</v>
      </c>
      <c r="P11" s="101">
        <v>0</v>
      </c>
      <c r="Q11" s="124">
        <v>339.8633895326933</v>
      </c>
      <c r="R11" s="101">
        <v>147.69764124551676</v>
      </c>
      <c r="S11" s="142">
        <v>192.16574828717745</v>
      </c>
      <c r="T11" s="153">
        <v>351.29376987134543</v>
      </c>
      <c r="U11" s="116">
        <v>152.66504952352801</v>
      </c>
      <c r="V11" s="116">
        <v>198.62872034781634</v>
      </c>
      <c r="W11" s="117">
        <v>0</v>
      </c>
      <c r="X11" s="116">
        <v>0</v>
      </c>
      <c r="Y11" s="116">
        <v>0</v>
      </c>
      <c r="Z11" s="117">
        <v>351.29376987134543</v>
      </c>
      <c r="AA11" s="116">
        <v>152.66504952352801</v>
      </c>
      <c r="AB11" s="154">
        <v>198.62872034781634</v>
      </c>
    </row>
    <row r="12" spans="1:28" ht="12" customHeight="1" x14ac:dyDescent="0.2">
      <c r="A12" s="12" t="s">
        <v>8</v>
      </c>
      <c r="B12" s="124">
        <v>222.82744376503621</v>
      </c>
      <c r="C12" s="101">
        <v>107.62413950556132</v>
      </c>
      <c r="D12" s="101">
        <v>115.20330425947408</v>
      </c>
      <c r="E12" s="124">
        <v>0</v>
      </c>
      <c r="F12" s="101">
        <v>0</v>
      </c>
      <c r="G12" s="101">
        <v>0</v>
      </c>
      <c r="H12" s="124">
        <v>222.82744376503621</v>
      </c>
      <c r="I12" s="101">
        <v>107.62413950556132</v>
      </c>
      <c r="J12" s="142">
        <v>115.20330425947408</v>
      </c>
      <c r="K12" s="148">
        <v>230.34380873911476</v>
      </c>
      <c r="L12" s="101">
        <v>111.25449265630758</v>
      </c>
      <c r="M12" s="101">
        <v>119.08931608280811</v>
      </c>
      <c r="N12" s="124">
        <v>0</v>
      </c>
      <c r="O12" s="101">
        <v>0</v>
      </c>
      <c r="P12" s="101">
        <v>0</v>
      </c>
      <c r="Q12" s="124">
        <v>230.34380873911476</v>
      </c>
      <c r="R12" s="101">
        <v>111.25449265630758</v>
      </c>
      <c r="S12" s="142">
        <v>119.08931608280811</v>
      </c>
      <c r="T12" s="153">
        <v>238.09079598055305</v>
      </c>
      <c r="U12" s="116">
        <v>114.99623479332789</v>
      </c>
      <c r="V12" s="116">
        <v>123.09456118722422</v>
      </c>
      <c r="W12" s="117">
        <v>0</v>
      </c>
      <c r="X12" s="116">
        <v>0</v>
      </c>
      <c r="Y12" s="116">
        <v>0</v>
      </c>
      <c r="Z12" s="117">
        <v>238.09079598055305</v>
      </c>
      <c r="AA12" s="116">
        <v>114.99623479332789</v>
      </c>
      <c r="AB12" s="154">
        <v>123.09456118722422</v>
      </c>
    </row>
    <row r="13" spans="1:28" ht="12" customHeight="1" x14ac:dyDescent="0.2">
      <c r="A13" s="12" t="s">
        <v>9</v>
      </c>
      <c r="B13" s="124">
        <v>198.57411655251514</v>
      </c>
      <c r="C13" s="101">
        <v>109.13997245634387</v>
      </c>
      <c r="D13" s="101">
        <v>89.434144096170684</v>
      </c>
      <c r="E13" s="124">
        <v>0</v>
      </c>
      <c r="F13" s="101">
        <v>0</v>
      </c>
      <c r="G13" s="101">
        <v>0</v>
      </c>
      <c r="H13" s="124">
        <v>198.57411655251514</v>
      </c>
      <c r="I13" s="101">
        <v>109.13997245634387</v>
      </c>
      <c r="J13" s="142">
        <v>89.434144096170684</v>
      </c>
      <c r="K13" s="148">
        <v>205.27237377431328</v>
      </c>
      <c r="L13" s="101">
        <v>112.82145734160768</v>
      </c>
      <c r="M13" s="101">
        <v>92.450916432706293</v>
      </c>
      <c r="N13" s="124">
        <v>0</v>
      </c>
      <c r="O13" s="101">
        <v>0</v>
      </c>
      <c r="P13" s="101">
        <v>0</v>
      </c>
      <c r="Q13" s="124">
        <v>205.27237377431328</v>
      </c>
      <c r="R13" s="101">
        <v>112.82145734160768</v>
      </c>
      <c r="S13" s="142">
        <v>92.450916432706293</v>
      </c>
      <c r="T13" s="153">
        <v>212.17615152008457</v>
      </c>
      <c r="U13" s="116">
        <v>116.61590007210715</v>
      </c>
      <c r="V13" s="116">
        <v>95.560251447976697</v>
      </c>
      <c r="W13" s="117">
        <v>0</v>
      </c>
      <c r="X13" s="116">
        <v>0</v>
      </c>
      <c r="Y13" s="116">
        <v>0</v>
      </c>
      <c r="Z13" s="117">
        <v>212.17615152008457</v>
      </c>
      <c r="AA13" s="116">
        <v>116.61590007210715</v>
      </c>
      <c r="AB13" s="154">
        <v>95.560251447976697</v>
      </c>
    </row>
    <row r="14" spans="1:28" ht="12" customHeight="1" x14ac:dyDescent="0.2">
      <c r="A14" s="12" t="s">
        <v>10</v>
      </c>
      <c r="B14" s="124">
        <v>131.87746671808219</v>
      </c>
      <c r="C14" s="101">
        <v>63.664983932867287</v>
      </c>
      <c r="D14" s="101">
        <v>68.212482785214945</v>
      </c>
      <c r="E14" s="124">
        <v>0</v>
      </c>
      <c r="F14" s="101">
        <v>0</v>
      </c>
      <c r="G14" s="101">
        <v>0</v>
      </c>
      <c r="H14" s="124">
        <v>131.87746671808219</v>
      </c>
      <c r="I14" s="101">
        <v>63.664983932867287</v>
      </c>
      <c r="J14" s="142">
        <v>68.212482785214945</v>
      </c>
      <c r="K14" s="148">
        <v>136.3259276211092</v>
      </c>
      <c r="L14" s="101">
        <v>65.812516782604476</v>
      </c>
      <c r="M14" s="101">
        <v>70.513410838504797</v>
      </c>
      <c r="N14" s="124">
        <v>0</v>
      </c>
      <c r="O14" s="101">
        <v>0</v>
      </c>
      <c r="P14" s="101">
        <v>0</v>
      </c>
      <c r="Q14" s="124">
        <v>136.3259276211092</v>
      </c>
      <c r="R14" s="101">
        <v>65.812516782604476</v>
      </c>
      <c r="S14" s="142">
        <v>70.513410838504797</v>
      </c>
      <c r="T14" s="153">
        <v>140.91087925379625</v>
      </c>
      <c r="U14" s="116">
        <v>68.025941708729178</v>
      </c>
      <c r="V14" s="116">
        <v>72.884937545066975</v>
      </c>
      <c r="W14" s="117">
        <v>0</v>
      </c>
      <c r="X14" s="116">
        <v>0</v>
      </c>
      <c r="Y14" s="116">
        <v>0</v>
      </c>
      <c r="Z14" s="117">
        <v>140.91087925379625</v>
      </c>
      <c r="AA14" s="116">
        <v>68.025941708729178</v>
      </c>
      <c r="AB14" s="154">
        <v>72.884937545066975</v>
      </c>
    </row>
    <row r="15" spans="1:28" ht="12" customHeight="1" x14ac:dyDescent="0.2">
      <c r="A15" s="12" t="s">
        <v>11</v>
      </c>
      <c r="B15" s="124">
        <v>89.232915742663067</v>
      </c>
      <c r="C15" s="101">
        <v>46.885091322416194</v>
      </c>
      <c r="D15" s="101">
        <v>42.347824420246887</v>
      </c>
      <c r="E15" s="124">
        <v>0</v>
      </c>
      <c r="F15" s="101">
        <v>0</v>
      </c>
      <c r="G15" s="101">
        <v>0</v>
      </c>
      <c r="H15" s="124">
        <v>89.232915742663067</v>
      </c>
      <c r="I15" s="101">
        <v>46.885091322416194</v>
      </c>
      <c r="J15" s="142">
        <v>42.347824420246887</v>
      </c>
      <c r="K15" s="148">
        <v>92.242900289855626</v>
      </c>
      <c r="L15" s="101">
        <v>48.466608626873352</v>
      </c>
      <c r="M15" s="101">
        <v>43.776291662982381</v>
      </c>
      <c r="N15" s="124">
        <v>0</v>
      </c>
      <c r="O15" s="101">
        <v>0</v>
      </c>
      <c r="P15" s="101">
        <v>0</v>
      </c>
      <c r="Q15" s="124">
        <v>92.242900289855626</v>
      </c>
      <c r="R15" s="101">
        <v>48.466608626873352</v>
      </c>
      <c r="S15" s="142">
        <v>43.776291662982381</v>
      </c>
      <c r="T15" s="153">
        <v>95.345239248173328</v>
      </c>
      <c r="U15" s="116">
        <v>50.096651130396111</v>
      </c>
      <c r="V15" s="116">
        <v>45.248588117777139</v>
      </c>
      <c r="W15" s="117">
        <v>0</v>
      </c>
      <c r="X15" s="116">
        <v>0</v>
      </c>
      <c r="Y15" s="116">
        <v>0</v>
      </c>
      <c r="Z15" s="117">
        <v>95.345239248173328</v>
      </c>
      <c r="AA15" s="116">
        <v>50.096651130396111</v>
      </c>
      <c r="AB15" s="154">
        <v>45.248588117777139</v>
      </c>
    </row>
    <row r="16" spans="1:28" ht="12" customHeight="1" x14ac:dyDescent="0.2">
      <c r="A16" s="12" t="s">
        <v>12</v>
      </c>
      <c r="B16" s="124">
        <v>78.645959637601351</v>
      </c>
      <c r="C16" s="101">
        <v>42.347824420246887</v>
      </c>
      <c r="D16" s="101">
        <v>36.298135217354478</v>
      </c>
      <c r="E16" s="124">
        <v>0</v>
      </c>
      <c r="F16" s="101">
        <v>0</v>
      </c>
      <c r="G16" s="101">
        <v>0</v>
      </c>
      <c r="H16" s="124">
        <v>78.645959637601351</v>
      </c>
      <c r="I16" s="101">
        <v>42.347824420246887</v>
      </c>
      <c r="J16" s="142">
        <v>36.298135217354478</v>
      </c>
      <c r="K16" s="148">
        <v>81.298827374110076</v>
      </c>
      <c r="L16" s="101">
        <v>43.776291662982381</v>
      </c>
      <c r="M16" s="101">
        <v>37.522535711127752</v>
      </c>
      <c r="N16" s="124">
        <v>0</v>
      </c>
      <c r="O16" s="101">
        <v>0</v>
      </c>
      <c r="P16" s="101">
        <v>0</v>
      </c>
      <c r="Q16" s="124">
        <v>81.298827374110076</v>
      </c>
      <c r="R16" s="101">
        <v>43.776291662982381</v>
      </c>
      <c r="S16" s="142">
        <v>37.522535711127752</v>
      </c>
      <c r="T16" s="153">
        <v>84.03309221872901</v>
      </c>
      <c r="U16" s="116">
        <v>45.248588117777139</v>
      </c>
      <c r="V16" s="116">
        <v>38.784504100951843</v>
      </c>
      <c r="W16" s="117">
        <v>0</v>
      </c>
      <c r="X16" s="116">
        <v>0</v>
      </c>
      <c r="Y16" s="116">
        <v>0</v>
      </c>
      <c r="Z16" s="117">
        <v>84.03309221872901</v>
      </c>
      <c r="AA16" s="116">
        <v>45.248588117777139</v>
      </c>
      <c r="AB16" s="154">
        <v>38.784504100951843</v>
      </c>
    </row>
    <row r="17" spans="1:29" ht="12" customHeight="1" x14ac:dyDescent="0.2">
      <c r="A17" s="12" t="s">
        <v>13</v>
      </c>
      <c r="B17" s="124">
        <v>51.422358224585501</v>
      </c>
      <c r="C17" s="101">
        <v>28.736023713738966</v>
      </c>
      <c r="D17" s="101">
        <v>22.686334510846557</v>
      </c>
      <c r="E17" s="124">
        <v>0</v>
      </c>
      <c r="F17" s="101">
        <v>0</v>
      </c>
      <c r="G17" s="101">
        <v>0</v>
      </c>
      <c r="H17" s="124">
        <v>51.422358224585501</v>
      </c>
      <c r="I17" s="101">
        <v>28.736023713738966</v>
      </c>
      <c r="J17" s="142">
        <v>22.686334510846557</v>
      </c>
      <c r="K17" s="148">
        <v>53.156925590764324</v>
      </c>
      <c r="L17" s="101">
        <v>29.705340771309469</v>
      </c>
      <c r="M17" s="101">
        <v>23.45158481945484</v>
      </c>
      <c r="N17" s="124">
        <v>0</v>
      </c>
      <c r="O17" s="101">
        <v>0</v>
      </c>
      <c r="P17" s="101">
        <v>0</v>
      </c>
      <c r="Q17" s="124">
        <v>53.156925590764324</v>
      </c>
      <c r="R17" s="101">
        <v>29.705340771309469</v>
      </c>
      <c r="S17" s="142">
        <v>23.45158481945484</v>
      </c>
      <c r="T17" s="153">
        <v>54.944714143015084</v>
      </c>
      <c r="U17" s="116">
        <v>30.704399079920222</v>
      </c>
      <c r="V17" s="116">
        <v>24.240315063094911</v>
      </c>
      <c r="W17" s="117">
        <v>0</v>
      </c>
      <c r="X17" s="116">
        <v>0</v>
      </c>
      <c r="Y17" s="116">
        <v>0</v>
      </c>
      <c r="Z17" s="117">
        <v>54.944714143015084</v>
      </c>
      <c r="AA17" s="116">
        <v>30.704399079920222</v>
      </c>
      <c r="AB17" s="154">
        <v>24.240315063094911</v>
      </c>
    </row>
    <row r="18" spans="1:29" ht="12" customHeight="1" x14ac:dyDescent="0.2">
      <c r="A18" s="12" t="s">
        <v>14</v>
      </c>
      <c r="B18" s="124">
        <v>30.248446014462068</v>
      </c>
      <c r="C18" s="101">
        <v>15.124223007231041</v>
      </c>
      <c r="D18" s="101">
        <v>15.124223007231041</v>
      </c>
      <c r="E18" s="124">
        <v>0</v>
      </c>
      <c r="F18" s="101">
        <v>0</v>
      </c>
      <c r="G18" s="101">
        <v>0</v>
      </c>
      <c r="H18" s="124">
        <v>30.248446014462068</v>
      </c>
      <c r="I18" s="101">
        <v>15.124223007231041</v>
      </c>
      <c r="J18" s="142">
        <v>15.124223007231041</v>
      </c>
      <c r="K18" s="148">
        <v>31.268779759273126</v>
      </c>
      <c r="L18" s="101">
        <v>15.634389879636556</v>
      </c>
      <c r="M18" s="101">
        <v>15.634389879636556</v>
      </c>
      <c r="N18" s="124">
        <v>0</v>
      </c>
      <c r="O18" s="101">
        <v>0</v>
      </c>
      <c r="P18" s="101">
        <v>0</v>
      </c>
      <c r="Q18" s="124">
        <v>31.268779759273126</v>
      </c>
      <c r="R18" s="101">
        <v>15.634389879636556</v>
      </c>
      <c r="S18" s="142">
        <v>15.634389879636556</v>
      </c>
      <c r="T18" s="153">
        <v>32.320420084126546</v>
      </c>
      <c r="U18" s="116">
        <v>16.160210042063273</v>
      </c>
      <c r="V18" s="116">
        <v>16.160210042063273</v>
      </c>
      <c r="W18" s="117">
        <v>0</v>
      </c>
      <c r="X18" s="116">
        <v>0</v>
      </c>
      <c r="Y18" s="116">
        <v>0</v>
      </c>
      <c r="Z18" s="117">
        <v>32.320420084126546</v>
      </c>
      <c r="AA18" s="116">
        <v>16.160210042063273</v>
      </c>
      <c r="AB18" s="154">
        <v>16.160210042063273</v>
      </c>
    </row>
    <row r="19" spans="1:29" ht="12" customHeight="1" x14ac:dyDescent="0.2">
      <c r="A19" s="12" t="s">
        <v>15</v>
      </c>
      <c r="B19" s="124">
        <v>20.71839720435986</v>
      </c>
      <c r="C19" s="101">
        <v>11.300943929650833</v>
      </c>
      <c r="D19" s="101">
        <v>9.4174532747090272</v>
      </c>
      <c r="E19" s="124">
        <v>0</v>
      </c>
      <c r="F19" s="101">
        <v>0</v>
      </c>
      <c r="G19" s="101">
        <v>0</v>
      </c>
      <c r="H19" s="124">
        <v>20.71839720435986</v>
      </c>
      <c r="I19" s="101">
        <v>11.300943929650833</v>
      </c>
      <c r="J19" s="142">
        <v>9.4174532747090272</v>
      </c>
      <c r="K19" s="148">
        <v>21.417265496499557</v>
      </c>
      <c r="L19" s="101">
        <v>11.682144816272487</v>
      </c>
      <c r="M19" s="101">
        <v>9.7351206802270731</v>
      </c>
      <c r="N19" s="124">
        <v>0</v>
      </c>
      <c r="O19" s="101">
        <v>0</v>
      </c>
      <c r="P19" s="101">
        <v>0</v>
      </c>
      <c r="Q19" s="124">
        <v>21.417265496499557</v>
      </c>
      <c r="R19" s="101">
        <v>11.682144816272487</v>
      </c>
      <c r="S19" s="142">
        <v>9.7351206802270731</v>
      </c>
      <c r="T19" s="153">
        <v>22.13757694509491</v>
      </c>
      <c r="U19" s="116">
        <v>12.075041970051769</v>
      </c>
      <c r="V19" s="116">
        <v>10.062534975043141</v>
      </c>
      <c r="W19" s="117">
        <v>0</v>
      </c>
      <c r="X19" s="116">
        <v>0</v>
      </c>
      <c r="Y19" s="116">
        <v>0</v>
      </c>
      <c r="Z19" s="117">
        <v>22.13757694509491</v>
      </c>
      <c r="AA19" s="116">
        <v>12.075041970051769</v>
      </c>
      <c r="AB19" s="154">
        <v>10.062534975043141</v>
      </c>
    </row>
    <row r="20" spans="1:29" ht="12" customHeight="1" x14ac:dyDescent="0.2">
      <c r="A20" s="12" t="s">
        <v>16</v>
      </c>
      <c r="B20" s="124">
        <v>24.485378514243472</v>
      </c>
      <c r="C20" s="101">
        <v>16.951415894476249</v>
      </c>
      <c r="D20" s="101">
        <v>7.5339626197672223</v>
      </c>
      <c r="E20" s="124">
        <v>0</v>
      </c>
      <c r="F20" s="101">
        <v>0</v>
      </c>
      <c r="G20" s="101">
        <v>0</v>
      </c>
      <c r="H20" s="124">
        <v>24.485378514243472</v>
      </c>
      <c r="I20" s="101">
        <v>16.951415894476249</v>
      </c>
      <c r="J20" s="142">
        <v>7.5339626197672223</v>
      </c>
      <c r="K20" s="148">
        <v>25.311313768590384</v>
      </c>
      <c r="L20" s="101">
        <v>17.523217224408729</v>
      </c>
      <c r="M20" s="101">
        <v>7.7880965441816583</v>
      </c>
      <c r="N20" s="124">
        <v>0</v>
      </c>
      <c r="O20" s="101">
        <v>0</v>
      </c>
      <c r="P20" s="101">
        <v>0</v>
      </c>
      <c r="Q20" s="124">
        <v>25.311313768590384</v>
      </c>
      <c r="R20" s="101">
        <v>17.523217224408729</v>
      </c>
      <c r="S20" s="142">
        <v>7.7880965441816583</v>
      </c>
      <c r="T20" s="153">
        <v>26.162590935112167</v>
      </c>
      <c r="U20" s="116">
        <v>18.112562955077653</v>
      </c>
      <c r="V20" s="116">
        <v>8.0500279800345123</v>
      </c>
      <c r="W20" s="117">
        <v>0</v>
      </c>
      <c r="X20" s="116">
        <v>0</v>
      </c>
      <c r="Y20" s="116">
        <v>0</v>
      </c>
      <c r="Z20" s="117">
        <v>26.162590935112167</v>
      </c>
      <c r="AA20" s="116">
        <v>18.112562955077653</v>
      </c>
      <c r="AB20" s="154">
        <v>8.0500279800345123</v>
      </c>
    </row>
    <row r="21" spans="1:29" ht="12" customHeight="1" x14ac:dyDescent="0.2">
      <c r="A21" s="12" t="s">
        <v>17</v>
      </c>
      <c r="B21" s="124">
        <v>7.5339626197672223</v>
      </c>
      <c r="C21" s="101">
        <v>3.7669813098836111</v>
      </c>
      <c r="D21" s="101">
        <v>3.7669813098836111</v>
      </c>
      <c r="E21" s="124">
        <v>0</v>
      </c>
      <c r="F21" s="101">
        <v>0</v>
      </c>
      <c r="G21" s="101">
        <v>0</v>
      </c>
      <c r="H21" s="124">
        <v>7.5339626197672223</v>
      </c>
      <c r="I21" s="101">
        <v>3.7669813098836111</v>
      </c>
      <c r="J21" s="142">
        <v>3.7669813098836111</v>
      </c>
      <c r="K21" s="148">
        <v>7.7880965441816583</v>
      </c>
      <c r="L21" s="101">
        <v>3.8940482720908292</v>
      </c>
      <c r="M21" s="101">
        <v>3.8940482720908292</v>
      </c>
      <c r="N21" s="124">
        <v>0</v>
      </c>
      <c r="O21" s="101">
        <v>0</v>
      </c>
      <c r="P21" s="101">
        <v>0</v>
      </c>
      <c r="Q21" s="124">
        <v>7.7880965441816583</v>
      </c>
      <c r="R21" s="101">
        <v>3.8940482720908292</v>
      </c>
      <c r="S21" s="142">
        <v>3.8940482720908292</v>
      </c>
      <c r="T21" s="153">
        <v>8.0500279800345123</v>
      </c>
      <c r="U21" s="116">
        <v>4.0250139900172561</v>
      </c>
      <c r="V21" s="116">
        <v>4.0250139900172561</v>
      </c>
      <c r="W21" s="117">
        <v>0</v>
      </c>
      <c r="X21" s="116">
        <v>0</v>
      </c>
      <c r="Y21" s="116">
        <v>0</v>
      </c>
      <c r="Z21" s="117">
        <v>8.0500279800345123</v>
      </c>
      <c r="AA21" s="116">
        <v>4.0250139900172561</v>
      </c>
      <c r="AB21" s="154">
        <v>4.0250139900172561</v>
      </c>
    </row>
    <row r="22" spans="1:29" ht="12" customHeight="1" x14ac:dyDescent="0.2">
      <c r="A22" s="12" t="s">
        <v>18</v>
      </c>
      <c r="B22" s="124">
        <v>11.300943929650833</v>
      </c>
      <c r="C22" s="101">
        <v>9.4174532747090272</v>
      </c>
      <c r="D22" s="101">
        <v>1.8834906549418056</v>
      </c>
      <c r="E22" s="124">
        <v>0</v>
      </c>
      <c r="F22" s="101">
        <v>0</v>
      </c>
      <c r="G22" s="101">
        <v>0</v>
      </c>
      <c r="H22" s="124">
        <v>11.300943929650833</v>
      </c>
      <c r="I22" s="101">
        <v>9.4174532747090272</v>
      </c>
      <c r="J22" s="101">
        <v>1.8834906549418056</v>
      </c>
      <c r="K22" s="148">
        <v>11.682144816272487</v>
      </c>
      <c r="L22" s="101">
        <v>9.7351206802270731</v>
      </c>
      <c r="M22" s="101">
        <v>1.9470241360454146</v>
      </c>
      <c r="N22" s="124">
        <v>0</v>
      </c>
      <c r="O22" s="101">
        <v>0</v>
      </c>
      <c r="P22" s="101">
        <v>0</v>
      </c>
      <c r="Q22" s="124">
        <v>11.682144816272487</v>
      </c>
      <c r="R22" s="101">
        <v>9.7351206802270731</v>
      </c>
      <c r="S22" s="142">
        <v>1.9470241360454146</v>
      </c>
      <c r="T22" s="116">
        <v>12.075041970051769</v>
      </c>
      <c r="U22" s="116">
        <v>10.062534975043141</v>
      </c>
      <c r="V22" s="116">
        <v>2.0125069950086281</v>
      </c>
      <c r="W22" s="117">
        <v>0</v>
      </c>
      <c r="X22" s="116">
        <v>0</v>
      </c>
      <c r="Y22" s="116">
        <v>0</v>
      </c>
      <c r="Z22" s="117">
        <v>12.075041970051769</v>
      </c>
      <c r="AA22" s="116">
        <v>10.062534975043141</v>
      </c>
      <c r="AB22" s="154">
        <v>2.0125069950086281</v>
      </c>
    </row>
    <row r="23" spans="1:29" ht="12" customHeight="1" x14ac:dyDescent="0.2">
      <c r="A23" s="19" t="s">
        <v>19</v>
      </c>
      <c r="B23" s="124">
        <v>5.6504719648254165</v>
      </c>
      <c r="C23" s="101">
        <v>5.6504719648254165</v>
      </c>
      <c r="D23" s="125">
        <v>0</v>
      </c>
      <c r="E23" s="101">
        <v>0</v>
      </c>
      <c r="F23" s="101">
        <v>0</v>
      </c>
      <c r="G23" s="125">
        <v>0</v>
      </c>
      <c r="H23" s="101">
        <v>5.6504719648254165</v>
      </c>
      <c r="I23" s="101">
        <v>5.6504719648254165</v>
      </c>
      <c r="J23" s="142">
        <v>0</v>
      </c>
      <c r="K23" s="101">
        <v>5.8410724081362435</v>
      </c>
      <c r="L23" s="101">
        <v>5.8410724081362435</v>
      </c>
      <c r="M23" s="101">
        <v>0</v>
      </c>
      <c r="N23" s="124">
        <v>0</v>
      </c>
      <c r="O23" s="101">
        <v>0</v>
      </c>
      <c r="P23" s="101">
        <v>0</v>
      </c>
      <c r="Q23" s="124">
        <v>5.8410724081362435</v>
      </c>
      <c r="R23" s="101">
        <v>5.8410724081362435</v>
      </c>
      <c r="S23" s="142">
        <v>0</v>
      </c>
      <c r="T23" s="116">
        <v>6.0375209850258837</v>
      </c>
      <c r="U23" s="116">
        <v>6.0375209850258837</v>
      </c>
      <c r="V23" s="118">
        <v>0</v>
      </c>
      <c r="W23" s="116">
        <v>0</v>
      </c>
      <c r="X23" s="116">
        <v>0</v>
      </c>
      <c r="Y23" s="116">
        <v>0</v>
      </c>
      <c r="Z23" s="117">
        <v>6.0375209850258837</v>
      </c>
      <c r="AA23" s="116">
        <v>6.0375209850258837</v>
      </c>
      <c r="AB23" s="154">
        <v>0</v>
      </c>
    </row>
    <row r="24" spans="1:29" ht="12" customHeight="1" x14ac:dyDescent="0.2">
      <c r="A24" s="158" t="s">
        <v>20</v>
      </c>
      <c r="B24" s="124">
        <v>0</v>
      </c>
      <c r="C24" s="101">
        <v>0</v>
      </c>
      <c r="D24" s="125">
        <v>0</v>
      </c>
      <c r="E24" s="101">
        <v>0</v>
      </c>
      <c r="F24" s="101">
        <v>0</v>
      </c>
      <c r="G24" s="125">
        <v>0</v>
      </c>
      <c r="H24" s="101">
        <v>0</v>
      </c>
      <c r="I24" s="101">
        <v>0</v>
      </c>
      <c r="J24" s="142">
        <v>0</v>
      </c>
      <c r="K24" s="101">
        <v>0</v>
      </c>
      <c r="L24" s="101">
        <v>0</v>
      </c>
      <c r="M24" s="125">
        <v>0</v>
      </c>
      <c r="N24" s="101">
        <v>0</v>
      </c>
      <c r="O24" s="101">
        <v>0</v>
      </c>
      <c r="P24" s="125">
        <v>0</v>
      </c>
      <c r="Q24" s="101">
        <v>0</v>
      </c>
      <c r="R24" s="101">
        <v>0</v>
      </c>
      <c r="S24" s="101">
        <v>0</v>
      </c>
      <c r="T24" s="148">
        <v>0</v>
      </c>
      <c r="U24" s="101">
        <v>0</v>
      </c>
      <c r="V24" s="125">
        <v>0</v>
      </c>
      <c r="W24" s="101">
        <v>0</v>
      </c>
      <c r="X24" s="101">
        <v>0</v>
      </c>
      <c r="Y24" s="125">
        <v>0</v>
      </c>
      <c r="Z24" s="101">
        <v>0</v>
      </c>
      <c r="AA24" s="101">
        <v>0</v>
      </c>
      <c r="AB24" s="101">
        <v>0</v>
      </c>
      <c r="AC24" s="244"/>
    </row>
    <row r="25" spans="1:29" ht="12" customHeight="1" thickBot="1" x14ac:dyDescent="0.25">
      <c r="A25" s="243" t="s">
        <v>21</v>
      </c>
      <c r="B25" s="201">
        <v>0</v>
      </c>
      <c r="C25" s="201">
        <v>0</v>
      </c>
      <c r="D25" s="203">
        <v>0</v>
      </c>
      <c r="E25" s="201">
        <v>0</v>
      </c>
      <c r="F25" s="201">
        <v>0</v>
      </c>
      <c r="G25" s="203">
        <v>0</v>
      </c>
      <c r="H25" s="201">
        <v>0</v>
      </c>
      <c r="I25" s="201">
        <v>0</v>
      </c>
      <c r="J25" s="206">
        <v>0</v>
      </c>
      <c r="K25" s="201">
        <v>0</v>
      </c>
      <c r="L25" s="201">
        <v>0</v>
      </c>
      <c r="M25" s="203">
        <v>0</v>
      </c>
      <c r="N25" s="201">
        <v>0</v>
      </c>
      <c r="O25" s="201">
        <v>0</v>
      </c>
      <c r="P25" s="203">
        <v>0</v>
      </c>
      <c r="Q25" s="201">
        <v>0</v>
      </c>
      <c r="R25" s="201">
        <v>0</v>
      </c>
      <c r="S25" s="201">
        <v>0</v>
      </c>
      <c r="T25" s="207">
        <v>0</v>
      </c>
      <c r="U25" s="201">
        <v>0</v>
      </c>
      <c r="V25" s="203">
        <v>0</v>
      </c>
      <c r="W25" s="201">
        <v>0</v>
      </c>
      <c r="X25" s="201">
        <v>0</v>
      </c>
      <c r="Y25" s="203">
        <v>0</v>
      </c>
      <c r="Z25" s="201">
        <v>0</v>
      </c>
      <c r="AA25" s="201">
        <v>0</v>
      </c>
      <c r="AB25" s="206">
        <v>0</v>
      </c>
    </row>
    <row r="26" spans="1:29" ht="12" customHeight="1" x14ac:dyDescent="0.2">
      <c r="A26" s="22" t="s">
        <v>69</v>
      </c>
      <c r="B26" s="210">
        <v>2748.4041353258772</v>
      </c>
      <c r="C26" s="167">
        <v>1478.2370632984632</v>
      </c>
      <c r="D26" s="167">
        <v>1270.1670720274196</v>
      </c>
      <c r="E26" s="210">
        <v>0</v>
      </c>
      <c r="F26" s="167">
        <v>0</v>
      </c>
      <c r="G26" s="211">
        <v>0</v>
      </c>
      <c r="H26" s="167">
        <v>2748.4041353258772</v>
      </c>
      <c r="I26" s="167">
        <v>1478.2370632984632</v>
      </c>
      <c r="J26" s="212">
        <v>1270.1670720274196</v>
      </c>
      <c r="K26" s="167">
        <v>2841.1126824793473</v>
      </c>
      <c r="L26" s="167">
        <v>1528.1006218360594</v>
      </c>
      <c r="M26" s="211">
        <v>1313.0120606432829</v>
      </c>
      <c r="N26" s="167">
        <v>0</v>
      </c>
      <c r="O26" s="167">
        <v>0</v>
      </c>
      <c r="P26" s="211">
        <v>0</v>
      </c>
      <c r="Q26" s="167">
        <v>2841.1126824793473</v>
      </c>
      <c r="R26" s="167">
        <v>1528.1006218360594</v>
      </c>
      <c r="S26" s="212">
        <v>1313.0120606432829</v>
      </c>
      <c r="T26" s="167">
        <v>2936.6657768869854</v>
      </c>
      <c r="U26" s="167">
        <v>1579.4941282897694</v>
      </c>
      <c r="V26" s="211">
        <v>1357.171648597229</v>
      </c>
      <c r="W26" s="167">
        <v>0</v>
      </c>
      <c r="X26" s="167">
        <v>0</v>
      </c>
      <c r="Y26" s="211">
        <v>0</v>
      </c>
      <c r="Z26" s="167">
        <v>2936.6657768869854</v>
      </c>
      <c r="AA26" s="167">
        <v>1579.4941282897694</v>
      </c>
      <c r="AB26" s="212">
        <v>1357.171648597229</v>
      </c>
    </row>
    <row r="27" spans="1:29" ht="12" customHeight="1" x14ac:dyDescent="0.2">
      <c r="A27" s="13" t="s">
        <v>22</v>
      </c>
      <c r="B27" s="124">
        <v>142.94679616984581</v>
      </c>
      <c r="C27" s="101">
        <v>66.708504879261326</v>
      </c>
      <c r="D27" s="101">
        <v>76.238291290584371</v>
      </c>
      <c r="E27" s="124">
        <v>0</v>
      </c>
      <c r="F27" s="101">
        <v>0</v>
      </c>
      <c r="G27" s="125">
        <v>0</v>
      </c>
      <c r="H27" s="101">
        <v>142.94679616984581</v>
      </c>
      <c r="I27" s="101">
        <v>66.708504879261326</v>
      </c>
      <c r="J27" s="142">
        <v>76.238291290584371</v>
      </c>
      <c r="K27" s="101">
        <v>147.76864519227124</v>
      </c>
      <c r="L27" s="101">
        <v>68.958701089726546</v>
      </c>
      <c r="M27" s="101">
        <v>78.809944102544634</v>
      </c>
      <c r="N27" s="124">
        <v>0</v>
      </c>
      <c r="O27" s="101">
        <v>0</v>
      </c>
      <c r="P27" s="101">
        <v>0</v>
      </c>
      <c r="Q27" s="124">
        <v>147.76864519227124</v>
      </c>
      <c r="R27" s="101">
        <v>68.958701089726546</v>
      </c>
      <c r="S27" s="142">
        <v>78.809944102544634</v>
      </c>
      <c r="T27" s="116">
        <v>152.73844149482986</v>
      </c>
      <c r="U27" s="116">
        <v>71.277939364253797</v>
      </c>
      <c r="V27" s="116">
        <v>81.460502130575804</v>
      </c>
      <c r="W27" s="117">
        <v>0</v>
      </c>
      <c r="X27" s="116">
        <v>0</v>
      </c>
      <c r="Y27" s="116">
        <v>0</v>
      </c>
      <c r="Z27" s="117">
        <v>152.73844149482986</v>
      </c>
      <c r="AA27" s="116">
        <v>71.277939364253797</v>
      </c>
      <c r="AB27" s="154">
        <v>81.460502130575804</v>
      </c>
    </row>
    <row r="28" spans="1:29" ht="12" customHeight="1" thickBot="1" x14ac:dyDescent="0.25">
      <c r="A28" s="137" t="s">
        <v>23</v>
      </c>
      <c r="B28" s="214">
        <v>1941.5498544276388</v>
      </c>
      <c r="C28" s="177">
        <v>965.0892473200837</v>
      </c>
      <c r="D28" s="177">
        <v>976.46060710751294</v>
      </c>
      <c r="E28" s="214">
        <v>0</v>
      </c>
      <c r="F28" s="177">
        <v>0</v>
      </c>
      <c r="G28" s="177">
        <v>0</v>
      </c>
      <c r="H28" s="214">
        <v>1941.5498544276388</v>
      </c>
      <c r="I28" s="177">
        <v>965.0892473200837</v>
      </c>
      <c r="J28" s="215">
        <v>976.46060710751294</v>
      </c>
      <c r="K28" s="177">
        <v>2007.04177532687</v>
      </c>
      <c r="L28" s="177">
        <v>997.64341970052988</v>
      </c>
      <c r="M28" s="177">
        <v>1009.3983556263831</v>
      </c>
      <c r="N28" s="214">
        <v>0</v>
      </c>
      <c r="O28" s="177">
        <v>0</v>
      </c>
      <c r="P28" s="177">
        <v>0</v>
      </c>
      <c r="Q28" s="214">
        <v>2007.04177532687</v>
      </c>
      <c r="R28" s="177">
        <v>997.64341970052988</v>
      </c>
      <c r="S28" s="215">
        <v>1009.3983556263831</v>
      </c>
      <c r="T28" s="177">
        <v>2074.5431642792964</v>
      </c>
      <c r="U28" s="177">
        <v>1031.196441534408</v>
      </c>
      <c r="V28" s="177">
        <v>1043.3467227449462</v>
      </c>
      <c r="W28" s="214">
        <v>0</v>
      </c>
      <c r="X28" s="177">
        <v>0</v>
      </c>
      <c r="Y28" s="177">
        <v>0</v>
      </c>
      <c r="Z28" s="214">
        <v>2074.5431642792964</v>
      </c>
      <c r="AA28" s="177">
        <v>1031.196441534408</v>
      </c>
      <c r="AB28" s="215">
        <v>1043.3467227449462</v>
      </c>
    </row>
    <row r="29" spans="1:29" x14ac:dyDescent="0.2">
      <c r="A29" s="282" t="s">
        <v>92</v>
      </c>
      <c r="B29" s="167"/>
    </row>
    <row r="30" spans="1:29" x14ac:dyDescent="0.2">
      <c r="Z30" s="167"/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Namibe </vt:lpstr>
      <vt:lpstr>Grupos etários</vt:lpstr>
      <vt:lpstr>  Moçâmedes</vt:lpstr>
      <vt:lpstr>Tômbwa</vt:lpstr>
      <vt:lpstr>Bibala</vt:lpstr>
      <vt:lpstr>Virei</vt:lpstr>
      <vt:lpstr>Camucuio</vt:lpstr>
      <vt:lpstr>Lucira</vt:lpstr>
      <vt:lpstr>Cacimbas</vt:lpstr>
      <vt:lpstr>Sacomar</vt:lpstr>
      <vt:lpstr>Iona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Domingos</dc:creator>
  <cp:lastModifiedBy>Adilson Gaspar</cp:lastModifiedBy>
  <dcterms:created xsi:type="dcterms:W3CDTF">2026-03-19T11:02:29Z</dcterms:created>
  <dcterms:modified xsi:type="dcterms:W3CDTF">2026-03-27T10:24:22Z</dcterms:modified>
</cp:coreProperties>
</file>