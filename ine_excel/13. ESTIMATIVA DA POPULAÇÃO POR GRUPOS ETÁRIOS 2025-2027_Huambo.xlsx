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46CC99DC-D563-408A-B8A4-52C1FB1D96EF}" xr6:coauthVersionLast="47" xr6:coauthVersionMax="47" xr10:uidLastSave="{00000000-0000-0000-0000-000000000000}"/>
  <bookViews>
    <workbookView xWindow="30" yWindow="60" windowWidth="19200" windowHeight="20595" tabRatio="836" activeTab="1" xr2:uid="{00000000-000D-0000-FFFF-FFFF00000000}"/>
  </bookViews>
  <sheets>
    <sheet name="Huambo Província" sheetId="27" r:id="rId1"/>
    <sheet name="Grupos etários" sheetId="19" r:id="rId2"/>
    <sheet name="Bailundo" sheetId="1" r:id="rId3"/>
    <sheet name="Huambo Mun" sheetId="2" r:id="rId4"/>
    <sheet name="Londuimbali" sheetId="3" r:id="rId5"/>
    <sheet name="Caála" sheetId="4" r:id="rId6"/>
    <sheet name="Chicala Choloanga" sheetId="18" r:id="rId7"/>
    <sheet name="Cachiungo" sheetId="17" r:id="rId8"/>
    <sheet name="Mungo" sheetId="16" r:id="rId9"/>
    <sheet name="Longonjo" sheetId="15" r:id="rId10"/>
    <sheet name="Ucuma" sheetId="20" r:id="rId11"/>
    <sheet name="Ecunha" sheetId="13" r:id="rId12"/>
    <sheet name="Chinjenje" sheetId="11" r:id="rId13"/>
    <sheet name="Bimbe" sheetId="21" r:id="rId14"/>
    <sheet name="Cuíma" sheetId="22" r:id="rId15"/>
    <sheet name="Sambo" sheetId="23" r:id="rId16"/>
    <sheet name="Chilata" sheetId="24" r:id="rId17"/>
    <sheet name="Alto Hama" sheetId="25" r:id="rId18"/>
    <sheet name="Galanga" sheetId="26" r:id="rId19"/>
  </sheets>
  <definedNames>
    <definedName name="_Toc467739327" localSheetId="5">Caála!#REF!</definedName>
    <definedName name="_Toc470620764" localSheetId="2">Bailundo!#REF!</definedName>
    <definedName name="_Toc470620765" localSheetId="2">Bailundo!#REF!</definedName>
    <definedName name="_Toc470620766" localSheetId="2">Bailundo!#REF!</definedName>
    <definedName name="_Toc470620767" localSheetId="2">Bailundo!#REF!</definedName>
    <definedName name="_Toc470620768" localSheetId="2">Bailundo!#REF!</definedName>
    <definedName name="_Toc470620769" localSheetId="2">Bailundo!#REF!</definedName>
    <definedName name="_Toc470620770" localSheetId="2">Bailundo!#REF!</definedName>
    <definedName name="_Toc470620771" localSheetId="2">Bailundo!#REF!</definedName>
    <definedName name="_Toc470620772" localSheetId="2">Bailundo!#REF!</definedName>
    <definedName name="_Toc470620773" localSheetId="2">Bailundo!#REF!</definedName>
    <definedName name="_Toc470620774" localSheetId="2">Bailundo!#REF!</definedName>
    <definedName name="_Toc470620775" localSheetId="2">Bailundo!#REF!</definedName>
    <definedName name="_Toc470620776" localSheetId="2">Bailundo!#REF!</definedName>
    <definedName name="_Toc470620777" localSheetId="2">Bailundo!#REF!</definedName>
    <definedName name="_Toc470620778" localSheetId="2">Bailundo!#REF!</definedName>
    <definedName name="_Toc470620779" localSheetId="2">Bailundo!#REF!</definedName>
    <definedName name="_Toc470620780" localSheetId="2">Bailundo!#REF!</definedName>
    <definedName name="_Toc470620781" localSheetId="2">Bailundo!#REF!</definedName>
    <definedName name="_Toc470620782" localSheetId="2">Bailundo!#REF!</definedName>
    <definedName name="_Toc470620783" localSheetId="2">Bailundo!#REF!</definedName>
    <definedName name="_Toc470620784" localSheetId="2">Bailundo!#REF!</definedName>
    <definedName name="_Toc470620785" localSheetId="2">Bailundo!#REF!</definedName>
    <definedName name="_Toc470620786" localSheetId="2">Bailundo!#REF!</definedName>
    <definedName name="_Toc470620787" localSheetId="2">Bailundo!#REF!</definedName>
    <definedName name="_Toc470620788" localSheetId="2">Bailundo!#REF!</definedName>
    <definedName name="_Toc470620789" localSheetId="2">Bailundo!#REF!</definedName>
    <definedName name="_Toc470620790" localSheetId="2">Bailundo!#REF!</definedName>
    <definedName name="_Toc470620791" localSheetId="2">Bailundo!#REF!</definedName>
    <definedName name="_Toc470620792" localSheetId="2">Bailundo!#REF!</definedName>
    <definedName name="_Toc470620793" localSheetId="2">Bailundo!#REF!</definedName>
    <definedName name="_Toc470620794" localSheetId="2">Bailundo!#REF!</definedName>
    <definedName name="_Toc470620795" localSheetId="2">Bailundo!#REF!</definedName>
    <definedName name="_Toc470620796" localSheetId="2">Bailundo!#REF!</definedName>
    <definedName name="_Toc470620797" localSheetId="2">Bailundo!#REF!</definedName>
    <definedName name="_Toc470620798" localSheetId="2">Bailundo!#REF!</definedName>
    <definedName name="_Toc470620799" localSheetId="2">Bailundo!#REF!</definedName>
    <definedName name="_Toc470620800" localSheetId="2">Bailundo!#REF!</definedName>
    <definedName name="_Toc470620809" localSheetId="2">Bailundo!#REF!</definedName>
    <definedName name="_Toc470704477" localSheetId="5">Caála!#REF!</definedName>
    <definedName name="_Toc470704478" localSheetId="5">Caála!#REF!</definedName>
    <definedName name="_Toc470704479" localSheetId="5">Caála!#REF!</definedName>
    <definedName name="_Toc470704480" localSheetId="5">Caála!#REF!</definedName>
    <definedName name="_Toc470704481" localSheetId="5">Caála!#REF!</definedName>
    <definedName name="_Toc470704482" localSheetId="5">Caála!#REF!</definedName>
    <definedName name="_Toc470704483" localSheetId="5">Caála!#REF!</definedName>
    <definedName name="_Toc470704484" localSheetId="5">Caála!#REF!</definedName>
    <definedName name="_Toc470704485" localSheetId="5">Caála!#REF!</definedName>
    <definedName name="_Toc470704486" localSheetId="5">Caála!#REF!</definedName>
    <definedName name="_Toc470704487" localSheetId="5">Caála!#REF!</definedName>
    <definedName name="_Toc470704488" localSheetId="5">Caála!#REF!</definedName>
    <definedName name="_Toc470704489" localSheetId="5">Caála!#REF!</definedName>
    <definedName name="_Toc470704490" localSheetId="5">Caála!#REF!</definedName>
    <definedName name="_Toc470704491" localSheetId="5">Caála!#REF!</definedName>
    <definedName name="_Toc470704492" localSheetId="5">Caála!#REF!</definedName>
    <definedName name="_Toc470704493" localSheetId="5">Caála!#REF!</definedName>
    <definedName name="_Toc470704494" localSheetId="5">Caála!#REF!</definedName>
    <definedName name="_Toc470704495" localSheetId="5">Caála!#REF!</definedName>
    <definedName name="_Toc470704496" localSheetId="5">Caála!#REF!</definedName>
    <definedName name="_Toc470704498" localSheetId="5">Caála!#REF!</definedName>
    <definedName name="_Toc470704499" localSheetId="5">Caála!#REF!</definedName>
    <definedName name="_Toc470704500" localSheetId="5">Caála!#REF!</definedName>
    <definedName name="_Toc470704501" localSheetId="5">Caála!#REF!</definedName>
    <definedName name="_Toc470704502" localSheetId="5">Caála!#REF!</definedName>
    <definedName name="_Toc470704503" localSheetId="5">Caála!#REF!</definedName>
    <definedName name="_Toc470704504" localSheetId="5">Caála!#REF!</definedName>
    <definedName name="_Toc470704505" localSheetId="5">Caála!#REF!</definedName>
    <definedName name="_Toc470704506" localSheetId="5">Caála!#REF!</definedName>
    <definedName name="_Toc470704507" localSheetId="5">Caála!#REF!</definedName>
    <definedName name="_Toc470704508" localSheetId="5">Caála!#REF!</definedName>
    <definedName name="_Toc470704509" localSheetId="5">Caála!#REF!</definedName>
    <definedName name="_Toc470704510" localSheetId="5">Caála!#REF!</definedName>
    <definedName name="_Toc470704511" localSheetId="5">Caála!#REF!</definedName>
    <definedName name="_Toc470704512" localSheetId="5">Caála!#REF!</definedName>
    <definedName name="_Toc470704513" localSheetId="5">Caála!#REF!</definedName>
    <definedName name="_Toc470704522" localSheetId="5">Caála!#REF!</definedName>
    <definedName name="_Toc470707439" localSheetId="3">'Huambo Mun'!#REF!</definedName>
    <definedName name="_Toc470707440" localSheetId="3">'Huambo Mun'!#REF!</definedName>
    <definedName name="_Toc470707441" localSheetId="3">'Huambo Mun'!#REF!</definedName>
    <definedName name="_Toc470707442" localSheetId="3">'Huambo Mun'!#REF!</definedName>
    <definedName name="_Toc470707443" localSheetId="3">'Huambo Mun'!#REF!</definedName>
    <definedName name="_Toc470707444" localSheetId="3">'Huambo Mun'!#REF!</definedName>
    <definedName name="_Toc470707445" localSheetId="3">'Huambo Mun'!#REF!</definedName>
    <definedName name="_Toc470707446" localSheetId="3">'Huambo Mun'!#REF!</definedName>
    <definedName name="_Toc470707447" localSheetId="3">'Huambo Mun'!#REF!</definedName>
    <definedName name="_Toc470707448" localSheetId="3">'Huambo Mun'!#REF!</definedName>
    <definedName name="_Toc470707449" localSheetId="3">'Huambo Mun'!#REF!</definedName>
    <definedName name="_Toc470707450" localSheetId="3">'Huambo Mun'!#REF!</definedName>
    <definedName name="_Toc470707451" localSheetId="3">'Huambo Mun'!#REF!</definedName>
    <definedName name="_Toc470707452" localSheetId="3">'Huambo Mun'!#REF!</definedName>
    <definedName name="_Toc470707453" localSheetId="3">'Huambo Mun'!#REF!</definedName>
    <definedName name="_Toc470707454" localSheetId="3">'Huambo Mun'!#REF!</definedName>
    <definedName name="_Toc470707455" localSheetId="3">'Huambo Mun'!#REF!</definedName>
    <definedName name="_Toc470707456" localSheetId="3">'Huambo Mun'!#REF!</definedName>
    <definedName name="_Toc470707457" localSheetId="3">'Huambo Mun'!#REF!</definedName>
    <definedName name="_Toc470707458" localSheetId="3">'Huambo Mun'!#REF!</definedName>
    <definedName name="_Toc470707459" localSheetId="3">'Huambo Mun'!#REF!</definedName>
    <definedName name="_Toc470707460" localSheetId="3">'Huambo Mun'!#REF!</definedName>
    <definedName name="_Toc470707461" localSheetId="3">'Huambo Mun'!#REF!</definedName>
    <definedName name="_Toc470707462" localSheetId="3">'Huambo Mun'!#REF!</definedName>
    <definedName name="_Toc470707463" localSheetId="3">'Huambo Mun'!#REF!</definedName>
    <definedName name="_Toc470707464" localSheetId="3">'Huambo Mun'!#REF!</definedName>
    <definedName name="_Toc470707465" localSheetId="3">'Huambo Mun'!#REF!</definedName>
    <definedName name="_Toc470707466" localSheetId="3">'Huambo Mun'!#REF!</definedName>
    <definedName name="_Toc470707467" localSheetId="3">'Huambo Mun'!#REF!</definedName>
    <definedName name="_Toc470707468" localSheetId="3">'Huambo Mun'!#REF!</definedName>
    <definedName name="_Toc470707469" localSheetId="3">'Huambo Mun'!#REF!</definedName>
    <definedName name="_Toc470707470" localSheetId="3">'Huambo Mun'!#REF!</definedName>
    <definedName name="_Toc470707471" localSheetId="3">'Huambo Mun'!#REF!</definedName>
    <definedName name="_Toc470707472" localSheetId="3">'Huambo Mun'!#REF!</definedName>
    <definedName name="_Toc470707473" localSheetId="3">'Huambo Mun'!#REF!</definedName>
    <definedName name="_Toc470707474" localSheetId="3">'Huambo Mun'!#REF!</definedName>
    <definedName name="_Toc470707475" localSheetId="3">'Huambo Mun'!#REF!</definedName>
    <definedName name="_Toc470707484" localSheetId="3">'Huambo Mun'!#REF!</definedName>
    <definedName name="_Toc470777506" localSheetId="12">Chinjenje!#REF!</definedName>
    <definedName name="_Toc470777507" localSheetId="12">Chinjenje!#REF!</definedName>
    <definedName name="_Toc470777508" localSheetId="12">Chinjenje!#REF!</definedName>
    <definedName name="_Toc470777509" localSheetId="12">Chinjenje!#REF!</definedName>
    <definedName name="_Toc470777510" localSheetId="12">Chinjenje!#REF!</definedName>
    <definedName name="_Toc470777511" localSheetId="12">Chinjenje!#REF!</definedName>
    <definedName name="_Toc470777512" localSheetId="12">Chinjenje!#REF!</definedName>
    <definedName name="_Toc470777513" localSheetId="12">Chinjenje!#REF!</definedName>
    <definedName name="_Toc470777514" localSheetId="12">Chinjenje!#REF!</definedName>
    <definedName name="_Toc470777515" localSheetId="12">Chinjenje!#REF!</definedName>
    <definedName name="_Toc470777516" localSheetId="12">Chinjenje!#REF!</definedName>
    <definedName name="_Toc470777517" localSheetId="12">Chinjenje!#REF!</definedName>
    <definedName name="_Toc470777518" localSheetId="12">Chinjenje!#REF!</definedName>
    <definedName name="_Toc470777519" localSheetId="12">Chinjenje!#REF!</definedName>
    <definedName name="_Toc470777520" localSheetId="12">Chinjenje!#REF!</definedName>
    <definedName name="_Toc470777521" localSheetId="12">Chinjenje!#REF!</definedName>
    <definedName name="_Toc470777522" localSheetId="12">Chinjenje!#REF!</definedName>
    <definedName name="_Toc470777523" localSheetId="12">Chinjenje!#REF!</definedName>
    <definedName name="_Toc470777524" localSheetId="12">Chinjenje!#REF!</definedName>
    <definedName name="_Toc470777525" localSheetId="12">Chinjenje!#REF!</definedName>
    <definedName name="_Toc470777526" localSheetId="12">Chinjenje!#REF!</definedName>
    <definedName name="_Toc470777527" localSheetId="12">Chinjenje!#REF!</definedName>
    <definedName name="_Toc470777528" localSheetId="12">Chinjenje!#REF!</definedName>
    <definedName name="_Toc470777529" localSheetId="12">Chinjenje!#REF!</definedName>
    <definedName name="_Toc470777530" localSheetId="12">Chinjenje!#REF!</definedName>
    <definedName name="_Toc470777531" localSheetId="12">Chinjenje!#REF!</definedName>
    <definedName name="_Toc470777532" localSheetId="12">Chinjenje!#REF!</definedName>
    <definedName name="_Toc470777533" localSheetId="12">Chinjenje!#REF!</definedName>
    <definedName name="_Toc470777534" localSheetId="12">Chinjenje!#REF!</definedName>
    <definedName name="_Toc470777535" localSheetId="12">Chinjenje!#REF!</definedName>
    <definedName name="_Toc470777536" localSheetId="12">Chinjenje!#REF!</definedName>
    <definedName name="_Toc470777537" localSheetId="12">Chinjenje!#REF!</definedName>
    <definedName name="_Toc470777538" localSheetId="12">Chinjenje!#REF!</definedName>
    <definedName name="_Toc470777539" localSheetId="12">Chinjenje!#REF!</definedName>
    <definedName name="_Toc470777540" localSheetId="12">Chinjenje!#REF!</definedName>
    <definedName name="_Toc470777541" localSheetId="12">Chinjenje!#REF!</definedName>
    <definedName name="_Toc470777542" localSheetId="12">Chinjenje!#REF!</definedName>
    <definedName name="_Toc470777549" localSheetId="12">Chinjenje!#REF!</definedName>
    <definedName name="_Toc471738126" localSheetId="11">Ecunha!#REF!</definedName>
    <definedName name="_Toc471738127" localSheetId="11">Ecunha!#REF!</definedName>
    <definedName name="_Toc471738128" localSheetId="11">Ecunha!#REF!</definedName>
    <definedName name="_Toc471738129" localSheetId="11">Ecunha!#REF!</definedName>
    <definedName name="_Toc471738130" localSheetId="11">Ecunha!#REF!</definedName>
    <definedName name="_Toc471738131" localSheetId="11">Ecunha!#REF!</definedName>
    <definedName name="_Toc471738132" localSheetId="11">Ecunha!#REF!</definedName>
    <definedName name="_Toc471738133" localSheetId="11">Ecunha!#REF!</definedName>
    <definedName name="_Toc471738134" localSheetId="11">Ecunha!#REF!</definedName>
    <definedName name="_Toc471738135" localSheetId="11">Ecunha!#REF!</definedName>
    <definedName name="_Toc471738136" localSheetId="11">Ecunha!#REF!</definedName>
    <definedName name="_Toc471738137" localSheetId="11">Ecunha!#REF!</definedName>
    <definedName name="_Toc471738138" localSheetId="11">Ecunha!#REF!</definedName>
    <definedName name="_Toc471738139" localSheetId="11">Ecunha!#REF!</definedName>
    <definedName name="_Toc471738140" localSheetId="11">Ecunha!#REF!</definedName>
    <definedName name="_Toc471738141" localSheetId="11">Ecunha!#REF!</definedName>
    <definedName name="_Toc471738142" localSheetId="11">Ecunha!#REF!</definedName>
    <definedName name="_Toc471738143" localSheetId="11">Ecunha!#REF!</definedName>
    <definedName name="_Toc471738144" localSheetId="11">Ecunha!#REF!</definedName>
    <definedName name="_Toc471738145" localSheetId="11">Ecunha!#REF!</definedName>
    <definedName name="_Toc471738146" localSheetId="11">Ecunha!#REF!</definedName>
    <definedName name="_Toc471738147" localSheetId="11">Ecunha!#REF!</definedName>
    <definedName name="_Toc471738148" localSheetId="11">Ecunha!#REF!</definedName>
    <definedName name="_Toc471738149" localSheetId="11">Ecunha!#REF!</definedName>
    <definedName name="_Toc471738150" localSheetId="11">Ecunha!#REF!</definedName>
    <definedName name="_Toc471738151" localSheetId="11">Ecunha!#REF!</definedName>
    <definedName name="_Toc471738152" localSheetId="11">Ecunha!#REF!</definedName>
    <definedName name="_Toc471738153" localSheetId="11">Ecunha!#REF!</definedName>
    <definedName name="_Toc471738154" localSheetId="11">Ecunha!#REF!</definedName>
    <definedName name="_Toc471738155" localSheetId="11">Ecunha!#REF!</definedName>
    <definedName name="_Toc471738156" localSheetId="11">Ecunha!#REF!</definedName>
    <definedName name="_Toc471738157" localSheetId="11">Ecunha!#REF!</definedName>
    <definedName name="_Toc471738158" localSheetId="11">Ecunha!#REF!</definedName>
    <definedName name="_Toc471738159" localSheetId="11">Ecunha!#REF!</definedName>
    <definedName name="_Toc471738160" localSheetId="11">Ecunha!#REF!</definedName>
    <definedName name="_Toc471738161" localSheetId="11">Ecunha!#REF!</definedName>
    <definedName name="_Toc471738170" localSheetId="11">Ecunha!#REF!</definedName>
    <definedName name="_Toc472320885" localSheetId="4">Londuimbali!#REF!</definedName>
    <definedName name="_Toc472320886" localSheetId="4">Londuimbali!#REF!</definedName>
    <definedName name="_Toc472320887" localSheetId="4">Londuimbali!#REF!</definedName>
    <definedName name="_Toc472320888" localSheetId="4">Londuimbali!#REF!</definedName>
    <definedName name="_Toc472320889" localSheetId="4">Londuimbali!#REF!</definedName>
    <definedName name="_Toc472320890" localSheetId="4">Londuimbali!#REF!</definedName>
    <definedName name="_Toc472320891" localSheetId="4">Londuimbali!#REF!</definedName>
    <definedName name="_Toc472320892" localSheetId="4">Londuimbali!#REF!</definedName>
    <definedName name="_Toc472320893" localSheetId="4">Londuimbali!#REF!</definedName>
    <definedName name="_Toc472320894" localSheetId="4">Londuimbali!#REF!</definedName>
    <definedName name="_Toc472320895" localSheetId="4">Londuimbali!#REF!</definedName>
    <definedName name="_Toc472320896" localSheetId="4">Londuimbali!#REF!</definedName>
    <definedName name="_Toc472320897" localSheetId="4">Londuimbali!#REF!</definedName>
    <definedName name="_Toc472320898" localSheetId="4">Londuimbali!#REF!</definedName>
    <definedName name="_Toc472320899" localSheetId="4">Londuimbali!#REF!</definedName>
    <definedName name="_Toc472320900" localSheetId="4">Londuimbali!#REF!</definedName>
    <definedName name="_Toc472320901" localSheetId="4">Londuimbali!#REF!</definedName>
    <definedName name="_Toc472320902" localSheetId="4">Londuimbali!#REF!</definedName>
    <definedName name="_Toc472320903" localSheetId="4">Londuimbali!#REF!</definedName>
    <definedName name="_Toc472320904" localSheetId="4">Londuimbali!#REF!</definedName>
    <definedName name="_Toc472320905" localSheetId="4">Londuimbali!#REF!</definedName>
    <definedName name="_Toc472320906" localSheetId="4">Londuimbali!#REF!</definedName>
    <definedName name="_Toc472320907" localSheetId="4">Londuimbali!#REF!</definedName>
    <definedName name="_Toc472320908" localSheetId="4">Londuimbali!#REF!</definedName>
    <definedName name="_Toc472320909" localSheetId="4">Londuimbali!#REF!</definedName>
    <definedName name="_Toc472320910" localSheetId="4">Londuimbali!#REF!</definedName>
    <definedName name="_Toc472320911" localSheetId="4">Londuimbali!#REF!</definedName>
    <definedName name="_Toc472320912" localSheetId="4">Londuimbali!#REF!</definedName>
    <definedName name="_Toc472320913" localSheetId="4">Londuimbali!#REF!</definedName>
    <definedName name="_Toc472320914" localSheetId="4">Londuimbali!#REF!</definedName>
    <definedName name="_Toc472320915" localSheetId="4">Londuimbali!#REF!</definedName>
    <definedName name="_Toc472320916" localSheetId="4">Londuimbali!#REF!</definedName>
    <definedName name="_Toc472320917" localSheetId="4">Londuimbali!#REF!</definedName>
    <definedName name="_Toc472320918" localSheetId="4">Londuimbali!#REF!</definedName>
    <definedName name="_Toc472320919" localSheetId="4">Londuimbali!#REF!</definedName>
    <definedName name="_Toc472320920" localSheetId="4">Londuimbali!#REF!</definedName>
    <definedName name="_Toc472320921" localSheetId="4">Londuimbali!#REF!</definedName>
    <definedName name="_Toc472320929" localSheetId="4">Londuimbali!#REF!</definedName>
    <definedName name="OLE_LINK1" localSheetId="5">Caála!$M$11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7" l="1"/>
  <c r="D6" i="27"/>
  <c r="E6" i="27"/>
  <c r="F6" i="27"/>
  <c r="G6" i="27"/>
  <c r="H6" i="27"/>
  <c r="I6" i="27"/>
  <c r="J6" i="27"/>
  <c r="K6" i="27"/>
  <c r="L6" i="27"/>
  <c r="M6" i="27"/>
  <c r="N6" i="27"/>
  <c r="O6" i="27"/>
  <c r="P6" i="27"/>
  <c r="Q6" i="27"/>
  <c r="R6" i="27"/>
  <c r="S6" i="27"/>
  <c r="T6" i="27"/>
  <c r="U6" i="27"/>
  <c r="V6" i="27"/>
  <c r="W6" i="27"/>
  <c r="X6" i="27"/>
  <c r="Y6" i="27"/>
  <c r="Z6" i="27"/>
  <c r="AA6" i="27"/>
  <c r="AB6" i="27"/>
  <c r="B6" i="27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B5" i="26"/>
  <c r="C5" i="25"/>
  <c r="D5" i="25"/>
  <c r="E5" i="25"/>
  <c r="F5" i="25"/>
  <c r="G5" i="25"/>
  <c r="H5" i="25"/>
  <c r="I5" i="25"/>
  <c r="J5" i="25"/>
  <c r="K5" i="25"/>
  <c r="L5" i="25"/>
  <c r="M5" i="25"/>
  <c r="N5" i="25"/>
  <c r="O5" i="25"/>
  <c r="P5" i="25"/>
  <c r="Q5" i="25"/>
  <c r="R5" i="25"/>
  <c r="S5" i="25"/>
  <c r="T5" i="25"/>
  <c r="U5" i="25"/>
  <c r="V5" i="25"/>
  <c r="W5" i="25"/>
  <c r="X5" i="25"/>
  <c r="Y5" i="25"/>
  <c r="Z5" i="25"/>
  <c r="AA5" i="25"/>
  <c r="AB5" i="25"/>
  <c r="B5" i="25"/>
  <c r="C5" i="24"/>
  <c r="D5" i="24"/>
  <c r="E5" i="24"/>
  <c r="F5" i="24"/>
  <c r="G5" i="24"/>
  <c r="H5" i="24"/>
  <c r="I5" i="24"/>
  <c r="J5" i="24"/>
  <c r="K5" i="24"/>
  <c r="L5" i="24"/>
  <c r="M5" i="24"/>
  <c r="N5" i="24"/>
  <c r="O5" i="24"/>
  <c r="P5" i="24"/>
  <c r="Q5" i="24"/>
  <c r="R5" i="24"/>
  <c r="S5" i="24"/>
  <c r="T5" i="24"/>
  <c r="U5" i="24"/>
  <c r="V5" i="24"/>
  <c r="W5" i="24"/>
  <c r="X5" i="24"/>
  <c r="Y5" i="24"/>
  <c r="Z5" i="24"/>
  <c r="AA5" i="24"/>
  <c r="AB5" i="24"/>
  <c r="B5" i="24"/>
  <c r="B5" i="23"/>
  <c r="C5" i="22"/>
  <c r="D5" i="22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B5" i="22"/>
  <c r="U5" i="21"/>
  <c r="V5" i="21"/>
  <c r="W5" i="21"/>
  <c r="X5" i="21"/>
  <c r="Y5" i="21"/>
  <c r="Z5" i="21"/>
  <c r="AA5" i="21"/>
  <c r="AB5" i="21"/>
  <c r="T5" i="21"/>
  <c r="L5" i="21"/>
  <c r="M5" i="21"/>
  <c r="N5" i="21"/>
  <c r="O5" i="21"/>
  <c r="P5" i="21"/>
  <c r="Q5" i="21"/>
  <c r="R5" i="21"/>
  <c r="S5" i="21"/>
  <c r="K5" i="21"/>
  <c r="C5" i="21"/>
  <c r="D5" i="21"/>
  <c r="E5" i="21"/>
  <c r="F5" i="21"/>
  <c r="G5" i="21"/>
  <c r="H5" i="21"/>
  <c r="I5" i="21"/>
  <c r="J5" i="21"/>
  <c r="B5" i="21"/>
  <c r="AB5" i="23"/>
  <c r="AA5" i="23"/>
  <c r="Z5" i="23"/>
  <c r="Y5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K5" i="23"/>
  <c r="J5" i="23"/>
  <c r="I5" i="23"/>
  <c r="H5" i="23"/>
  <c r="G5" i="23"/>
  <c r="F5" i="23"/>
  <c r="E5" i="23"/>
  <c r="D5" i="23"/>
  <c r="C5" i="23"/>
  <c r="C5" i="11" l="1"/>
  <c r="D5" i="11"/>
  <c r="E5" i="11"/>
  <c r="F5" i="11"/>
  <c r="G5" i="11"/>
  <c r="H5" i="11"/>
  <c r="I5" i="11"/>
  <c r="J5" i="11"/>
  <c r="B5" i="11"/>
  <c r="L5" i="11"/>
  <c r="M5" i="11"/>
  <c r="N5" i="11"/>
  <c r="O5" i="11"/>
  <c r="P5" i="11"/>
  <c r="Q5" i="11"/>
  <c r="R5" i="11"/>
  <c r="S5" i="11"/>
  <c r="K5" i="11"/>
  <c r="U5" i="11"/>
  <c r="V5" i="11"/>
  <c r="W5" i="11"/>
  <c r="X5" i="11"/>
  <c r="Y5" i="11"/>
  <c r="Z5" i="11"/>
  <c r="AA5" i="11"/>
  <c r="AB5" i="11"/>
  <c r="T5" i="11"/>
  <c r="U5" i="13"/>
  <c r="V5" i="13"/>
  <c r="W5" i="13"/>
  <c r="X5" i="13"/>
  <c r="Y5" i="13"/>
  <c r="Z5" i="13"/>
  <c r="AA5" i="13"/>
  <c r="AB5" i="13"/>
  <c r="T5" i="13"/>
  <c r="L5" i="13"/>
  <c r="M5" i="13"/>
  <c r="N5" i="13"/>
  <c r="O5" i="13"/>
  <c r="P5" i="13"/>
  <c r="Q5" i="13"/>
  <c r="R5" i="13"/>
  <c r="S5" i="13"/>
  <c r="K5" i="13"/>
  <c r="C5" i="13"/>
  <c r="D5" i="13"/>
  <c r="E5" i="13"/>
  <c r="F5" i="13"/>
  <c r="G5" i="13"/>
  <c r="H5" i="13"/>
  <c r="I5" i="13"/>
  <c r="J5" i="13"/>
  <c r="B5" i="13"/>
  <c r="C5" i="20"/>
  <c r="D5" i="20"/>
  <c r="E5" i="20"/>
  <c r="F5" i="20"/>
  <c r="G5" i="20"/>
  <c r="H5" i="20"/>
  <c r="I5" i="20"/>
  <c r="J5" i="20"/>
  <c r="B5" i="20"/>
  <c r="L5" i="20"/>
  <c r="M5" i="20"/>
  <c r="N5" i="20"/>
  <c r="O5" i="20"/>
  <c r="P5" i="20"/>
  <c r="Q5" i="20"/>
  <c r="R5" i="20"/>
  <c r="S5" i="20"/>
  <c r="K5" i="20"/>
  <c r="U5" i="20"/>
  <c r="V5" i="20"/>
  <c r="W5" i="20"/>
  <c r="X5" i="20"/>
  <c r="Y5" i="20"/>
  <c r="Z5" i="20"/>
  <c r="AA5" i="20"/>
  <c r="AB5" i="20"/>
  <c r="T5" i="20"/>
  <c r="U5" i="15"/>
  <c r="V5" i="15"/>
  <c r="W5" i="15"/>
  <c r="X5" i="15"/>
  <c r="Y5" i="15"/>
  <c r="Z5" i="15"/>
  <c r="AA5" i="15"/>
  <c r="AB5" i="15"/>
  <c r="T5" i="15"/>
  <c r="L5" i="15"/>
  <c r="M5" i="15"/>
  <c r="N5" i="15"/>
  <c r="O5" i="15"/>
  <c r="P5" i="15"/>
  <c r="Q5" i="15"/>
  <c r="R5" i="15"/>
  <c r="S5" i="15"/>
  <c r="K5" i="15"/>
  <c r="C5" i="15"/>
  <c r="D5" i="15"/>
  <c r="E5" i="15"/>
  <c r="F5" i="15"/>
  <c r="G5" i="15"/>
  <c r="H5" i="15"/>
  <c r="I5" i="15"/>
  <c r="J5" i="15"/>
  <c r="B5" i="15"/>
  <c r="J5" i="16"/>
  <c r="C5" i="16"/>
  <c r="D5" i="16"/>
  <c r="E5" i="16"/>
  <c r="F5" i="16"/>
  <c r="G5" i="16"/>
  <c r="H5" i="16"/>
  <c r="I5" i="16"/>
  <c r="B5" i="16"/>
  <c r="L5" i="16"/>
  <c r="M5" i="16"/>
  <c r="N5" i="16"/>
  <c r="O5" i="16"/>
  <c r="P5" i="16"/>
  <c r="Q5" i="16"/>
  <c r="R5" i="16"/>
  <c r="S5" i="16"/>
  <c r="K5" i="16"/>
  <c r="U5" i="16"/>
  <c r="V5" i="16"/>
  <c r="W5" i="16"/>
  <c r="X5" i="16"/>
  <c r="Y5" i="16"/>
  <c r="Z5" i="16"/>
  <c r="AA5" i="16"/>
  <c r="AB5" i="16"/>
  <c r="T5" i="16"/>
  <c r="U5" i="17"/>
  <c r="V5" i="17"/>
  <c r="W5" i="17"/>
  <c r="X5" i="17"/>
  <c r="Y5" i="17"/>
  <c r="Z5" i="17"/>
  <c r="AA5" i="17"/>
  <c r="AB5" i="17"/>
  <c r="T5" i="17"/>
  <c r="L5" i="17"/>
  <c r="M5" i="17"/>
  <c r="N5" i="17"/>
  <c r="O5" i="17"/>
  <c r="P5" i="17"/>
  <c r="Q5" i="17"/>
  <c r="R5" i="17"/>
  <c r="S5" i="17"/>
  <c r="K5" i="17"/>
  <c r="C5" i="17"/>
  <c r="D5" i="17"/>
  <c r="E5" i="17"/>
  <c r="F5" i="17"/>
  <c r="G5" i="17"/>
  <c r="H5" i="17"/>
  <c r="I5" i="17"/>
  <c r="J5" i="17"/>
  <c r="B5" i="17"/>
  <c r="J5" i="18"/>
  <c r="C5" i="18"/>
  <c r="D5" i="18"/>
  <c r="E5" i="18"/>
  <c r="F5" i="18"/>
  <c r="G5" i="18"/>
  <c r="H5" i="18"/>
  <c r="I5" i="18"/>
  <c r="B5" i="18"/>
  <c r="L5" i="18"/>
  <c r="M5" i="18"/>
  <c r="N5" i="18"/>
  <c r="O5" i="18"/>
  <c r="P5" i="18"/>
  <c r="Q5" i="18"/>
  <c r="R5" i="18"/>
  <c r="S5" i="18"/>
  <c r="K5" i="18"/>
  <c r="U5" i="18"/>
  <c r="V5" i="18"/>
  <c r="W5" i="18"/>
  <c r="X5" i="18"/>
  <c r="Y5" i="18"/>
  <c r="Z5" i="18"/>
  <c r="AA5" i="18"/>
  <c r="AB5" i="18"/>
  <c r="T5" i="18"/>
  <c r="U5" i="4"/>
  <c r="V5" i="4"/>
  <c r="W5" i="4"/>
  <c r="X5" i="4"/>
  <c r="Y5" i="4"/>
  <c r="Z5" i="4"/>
  <c r="AA5" i="4"/>
  <c r="AB5" i="4"/>
  <c r="T5" i="4"/>
  <c r="L5" i="4"/>
  <c r="M5" i="4"/>
  <c r="N5" i="4"/>
  <c r="O5" i="4"/>
  <c r="P5" i="4"/>
  <c r="Q5" i="4"/>
  <c r="R5" i="4"/>
  <c r="S5" i="4"/>
  <c r="K5" i="4"/>
  <c r="C5" i="4"/>
  <c r="D5" i="4"/>
  <c r="E5" i="4"/>
  <c r="F5" i="4"/>
  <c r="G5" i="4"/>
  <c r="H5" i="4"/>
  <c r="I5" i="4"/>
  <c r="J5" i="4"/>
  <c r="B5" i="4"/>
  <c r="C5" i="3"/>
  <c r="D5" i="3"/>
  <c r="E5" i="3"/>
  <c r="F5" i="3"/>
  <c r="G5" i="3"/>
  <c r="H5" i="3"/>
  <c r="I5" i="3"/>
  <c r="J5" i="3"/>
  <c r="B5" i="3"/>
  <c r="L5" i="3"/>
  <c r="M5" i="3"/>
  <c r="N5" i="3"/>
  <c r="O5" i="3"/>
  <c r="P5" i="3"/>
  <c r="Q5" i="3"/>
  <c r="R5" i="3"/>
  <c r="S5" i="3"/>
  <c r="K5" i="3"/>
  <c r="U5" i="3"/>
  <c r="V5" i="3"/>
  <c r="W5" i="3"/>
  <c r="X5" i="3"/>
  <c r="Y5" i="3"/>
  <c r="Z5" i="3"/>
  <c r="AA5" i="3"/>
  <c r="AB5" i="3"/>
  <c r="T5" i="3"/>
  <c r="U5" i="2"/>
  <c r="V5" i="2"/>
  <c r="W5" i="2"/>
  <c r="X5" i="2"/>
  <c r="Y5" i="2"/>
  <c r="Z5" i="2"/>
  <c r="AA5" i="2"/>
  <c r="AB5" i="2"/>
  <c r="T5" i="2"/>
  <c r="L5" i="2"/>
  <c r="M5" i="2"/>
  <c r="N5" i="2"/>
  <c r="O5" i="2"/>
  <c r="P5" i="2"/>
  <c r="Q5" i="2"/>
  <c r="R5" i="2"/>
  <c r="S5" i="2"/>
  <c r="K5" i="2"/>
  <c r="C5" i="2"/>
  <c r="D5" i="2"/>
  <c r="E5" i="2"/>
  <c r="F5" i="2"/>
  <c r="G5" i="2"/>
  <c r="H5" i="2"/>
  <c r="I5" i="2"/>
  <c r="J5" i="2"/>
  <c r="B5" i="2"/>
  <c r="U5" i="1"/>
  <c r="V5" i="1"/>
  <c r="W5" i="1"/>
  <c r="X5" i="1"/>
  <c r="Y5" i="1"/>
  <c r="Z5" i="1"/>
  <c r="AA5" i="1"/>
  <c r="AB5" i="1"/>
  <c r="T5" i="1"/>
  <c r="L5" i="1"/>
  <c r="M5" i="1"/>
  <c r="N5" i="1"/>
  <c r="O5" i="1"/>
  <c r="P5" i="1"/>
  <c r="Q5" i="1"/>
  <c r="R5" i="1"/>
  <c r="S5" i="1"/>
  <c r="K5" i="1"/>
  <c r="C5" i="1"/>
  <c r="D5" i="1"/>
  <c r="E5" i="1"/>
  <c r="F5" i="1"/>
  <c r="G5" i="1"/>
  <c r="H5" i="1"/>
  <c r="I5" i="1"/>
  <c r="J5" i="1"/>
  <c r="B5" i="1"/>
  <c r="U5" i="19"/>
  <c r="V5" i="19"/>
  <c r="W5" i="19"/>
  <c r="X5" i="19"/>
  <c r="Y5" i="19"/>
  <c r="Z5" i="19"/>
  <c r="AA5" i="19"/>
  <c r="AB5" i="19"/>
  <c r="T5" i="19"/>
  <c r="L5" i="19"/>
  <c r="M5" i="19"/>
  <c r="N5" i="19"/>
  <c r="O5" i="19"/>
  <c r="P5" i="19"/>
  <c r="Q5" i="19"/>
  <c r="R5" i="19"/>
  <c r="S5" i="19"/>
  <c r="K5" i="19"/>
  <c r="C5" i="19"/>
  <c r="D5" i="19"/>
  <c r="E5" i="19"/>
  <c r="F5" i="19"/>
  <c r="G5" i="19"/>
  <c r="H5" i="19"/>
  <c r="I5" i="19"/>
  <c r="J5" i="19"/>
  <c r="B5" i="19"/>
</calcChain>
</file>

<file path=xl/sharedStrings.xml><?xml version="1.0" encoding="utf-8"?>
<sst xmlns="http://schemas.openxmlformats.org/spreadsheetml/2006/main" count="1248" uniqueCount="120">
  <si>
    <t>Total</t>
  </si>
  <si>
    <t>Urbana</t>
  </si>
  <si>
    <t>Rural</t>
  </si>
  <si>
    <t>Homens</t>
  </si>
  <si>
    <t>Mulheres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</si>
  <si>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</si>
  <si>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</si>
  <si>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</si>
  <si>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</si>
  <si>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</si>
  <si>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</si>
  <si>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</si>
  <si>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</si>
  <si>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</si>
  <si>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</si>
  <si>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</si>
  <si>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</si>
  <si>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</si>
  <si>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</si>
  <si>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</si>
  <si>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</si>
  <si>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18 ou mais anos</t>
  </si>
  <si>
    <t>18 anos</t>
  </si>
  <si>
    <t>Huambo</t>
  </si>
  <si>
    <t>Huambo 2025</t>
  </si>
  <si>
    <t>Huambo 2026</t>
  </si>
  <si>
    <t>Huambo 2027</t>
  </si>
  <si>
    <t>Bailundo 2025</t>
  </si>
  <si>
    <t>Bailundo</t>
  </si>
  <si>
    <t>80-84 anos</t>
  </si>
  <si>
    <t>85-89 anos</t>
  </si>
  <si>
    <t>95 ou mais anos</t>
  </si>
  <si>
    <t>90-94 anos</t>
  </si>
  <si>
    <t>Bailundo 2026</t>
  </si>
  <si>
    <t xml:space="preserve">Huambo 2025 </t>
  </si>
  <si>
    <t>Londuimbali 2025</t>
  </si>
  <si>
    <t>Londuimbali</t>
  </si>
  <si>
    <t>Londuimbali 2026</t>
  </si>
  <si>
    <t>Londuimbali 2027</t>
  </si>
  <si>
    <t>Caála</t>
  </si>
  <si>
    <t>Caála 2025</t>
  </si>
  <si>
    <t>Caála 2027</t>
  </si>
  <si>
    <t>Caála 2026</t>
  </si>
  <si>
    <t>Chicala Choloanga</t>
  </si>
  <si>
    <t>Chicala Choloanga 2025</t>
  </si>
  <si>
    <t>Chicala Choloanga 2026</t>
  </si>
  <si>
    <t>Chicala Choloanga 2027</t>
  </si>
  <si>
    <t>Cachiungo</t>
  </si>
  <si>
    <t>Cachiungo 2025</t>
  </si>
  <si>
    <t>Cachiungo 2026</t>
  </si>
  <si>
    <t>Cachiungo 2027</t>
  </si>
  <si>
    <t>Mungo</t>
  </si>
  <si>
    <t>Mungo 2025</t>
  </si>
  <si>
    <t>Mungo 2026</t>
  </si>
  <si>
    <t>Mungo 2027</t>
  </si>
  <si>
    <t xml:space="preserve">Grupos etários </t>
  </si>
  <si>
    <t>Longonjo</t>
  </si>
  <si>
    <t>Longonjo 2025</t>
  </si>
  <si>
    <t>Grupos etários</t>
  </si>
  <si>
    <t>Longonjo 2026</t>
  </si>
  <si>
    <t>Ucuma</t>
  </si>
  <si>
    <t>Ucuma 2025</t>
  </si>
  <si>
    <t>Ucuma 2026</t>
  </si>
  <si>
    <t>Ucuma 2027</t>
  </si>
  <si>
    <t>Ecunha</t>
  </si>
  <si>
    <t>Ecunha 2025</t>
  </si>
  <si>
    <t>Ecunha 2026</t>
  </si>
  <si>
    <t>Ecunha 2027</t>
  </si>
  <si>
    <t>Chinjenje</t>
  </si>
  <si>
    <t>Chinjenje 2025</t>
  </si>
  <si>
    <t>Chinjenje 2027</t>
  </si>
  <si>
    <t>Chinjenje 2026</t>
  </si>
  <si>
    <t>0 - 17 anos</t>
  </si>
  <si>
    <t>Bailundo 2027</t>
  </si>
  <si>
    <t>Bimbe</t>
  </si>
  <si>
    <t>Bimbe 2025</t>
  </si>
  <si>
    <t>Bimbe 2026</t>
  </si>
  <si>
    <t>Bimbe 2027</t>
  </si>
  <si>
    <t>Cuíma</t>
  </si>
  <si>
    <t>Cuíma 2025</t>
  </si>
  <si>
    <t>Cuíma 2026</t>
  </si>
  <si>
    <t>Cuíma 2027</t>
  </si>
  <si>
    <t>Sambo</t>
  </si>
  <si>
    <t>Sambo 2026</t>
  </si>
  <si>
    <t>Sambo 2027</t>
  </si>
  <si>
    <t>Sambo 2025</t>
  </si>
  <si>
    <t>Chilata</t>
  </si>
  <si>
    <t>Chilata 2025</t>
  </si>
  <si>
    <t>Chilata 2026</t>
  </si>
  <si>
    <t>Chilata 2027</t>
  </si>
  <si>
    <t>Alto Hama</t>
  </si>
  <si>
    <t>Alto Hama 2025</t>
  </si>
  <si>
    <t>Alto Hama 2026</t>
  </si>
  <si>
    <t>Alto Hama 2027</t>
  </si>
  <si>
    <t>Galanga</t>
  </si>
  <si>
    <t>Galanga 2025</t>
  </si>
  <si>
    <t>Galanga 2026</t>
  </si>
  <si>
    <t>Galanga 2027</t>
  </si>
  <si>
    <t>Municípios</t>
  </si>
  <si>
    <t>Quadro 1 - População estimada por grupos etários, segundo a área de residência e sexo, Bailundo 2025-2027</t>
  </si>
  <si>
    <t>Quadro 01- População estimada por grupos etários, segundo a área de residência e sexo, Huambo 2025-2027</t>
  </si>
  <si>
    <t>Quadro 2 - População estimada por grupos etários, segundo a área de residência e sexo, Huambo 2025-2027</t>
  </si>
  <si>
    <t>Quadro 3 - População estimada por grupos etários, segundo a área de residência e sexo, Londuimbali 2025-2027</t>
  </si>
  <si>
    <t>Quadro 4 - População estimada por grupos etários, segundo a área de residência e sexo, Caála 2025-2027</t>
  </si>
  <si>
    <t>Quadro 5 - População estimada por grupos etários, segundo a área de residência e sexo, Chicala Choloanga 2025-2027</t>
  </si>
  <si>
    <t>Quadro 6 - População estimada por grupos etários, segundo a área de residência e sexo, Cachiungo 2025-2027</t>
  </si>
  <si>
    <t>Quadro 7 - População estimada por grupos etários, segundo a área de residência e sexo, Mungo 2025-2027</t>
  </si>
  <si>
    <t>Quadro 8 - População estimada por grupos etários, segundo a área de residência e sexo, Longonjo 2025-2027</t>
  </si>
  <si>
    <t>Quadro 9 - População estimada por grupos etários, segundo a área de residência e sexo, Ucuma 2025</t>
  </si>
  <si>
    <t>Quadro 10 - População estimada por grupos etários, segundo a área de residência e sexo, Ecunha 2025-2027</t>
  </si>
  <si>
    <t>Quadro 11 - População estimada por grupos etários, segundo a área de residência e sexo, Chinjenje 2025-2027</t>
  </si>
  <si>
    <t>Quadro 12 - População estimada por grupos etários, segundo a área de residência e sexo, Bimbe 2025-2027</t>
  </si>
  <si>
    <t>Quadro 13- População estimada por grupos etários, segundo a área de residência e sexo, Cuíma 2025-2027</t>
  </si>
  <si>
    <t>Quadro 14 - População estimada por grupos etários, segundo a área de residência e sexo, Sambo 2025-2027</t>
  </si>
  <si>
    <t>Quadro 15 - População estimada por grupos etários, segundo a área de residência e sexo, Chilata 2025-2027</t>
  </si>
  <si>
    <t>Quadro 16 - População estimada por grupos etários, segundo a área de residência e sexo, Alto Hama 2025-2027</t>
  </si>
  <si>
    <t>Quadro 17 - População estimada por grupos etários, segundo a área de residência e sexo, Galanga 2025-2027</t>
  </si>
  <si>
    <t>Quadro 00 -  População estimada por municípios, segundo a área de residência e sexo, Huambo 2025-2027</t>
  </si>
  <si>
    <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</si>
  <si>
    <r>
      <t>Fonte:</t>
    </r>
    <r>
      <rPr>
        <sz val="9"/>
        <color rgb="FF000000"/>
        <rFont val="Calibri"/>
        <family val="2"/>
      </rPr>
      <t xml:space="preserve"> INE -  Direcção de Estatísticas Demográficas e Sociais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</si>
</sst>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#,##0_ ;\-#,##0\ "/>
    <numFmt numFmtId="167" formatCode="###\ \ ###\ \ ###"/>
  </numFmts>
  <fonts count="10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262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indent="1"/>
    </xf>
    <xf numFmtId="3" fontId="2" fillId="2" borderId="0" xfId="0" applyNumberFormat="1" applyFont="1" applyFill="1" applyAlignment="1">
      <alignment horizontal="right" vertical="center"/>
    </xf>
    <xf numFmtId="0" fontId="7" fillId="2" borderId="0" xfId="0" applyFont="1" applyFill="1"/>
    <xf numFmtId="0" fontId="1" fillId="2" borderId="0" xfId="0" applyFont="1" applyFill="1"/>
    <xf numFmtId="3" fontId="2" fillId="2" borderId="1" xfId="0" applyNumberFormat="1" applyFont="1" applyFill="1" applyBorder="1" applyAlignment="1">
      <alignment horizontal="right" vertical="center"/>
    </xf>
    <xf numFmtId="3" fontId="2" fillId="2" borderId="0" xfId="0" applyNumberFormat="1" applyFont="1" applyFill="1"/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5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/>
    </xf>
    <xf numFmtId="0" fontId="7" fillId="2" borderId="16" xfId="1" applyFont="1" applyFill="1" applyBorder="1" applyAlignment="1">
      <alignment horizontal="center" wrapText="1"/>
    </xf>
    <xf numFmtId="0" fontId="7" fillId="2" borderId="1" xfId="1" applyFont="1" applyFill="1" applyBorder="1" applyAlignment="1">
      <alignment horizontal="center"/>
    </xf>
    <xf numFmtId="0" fontId="7" fillId="2" borderId="15" xfId="1" applyFont="1" applyFill="1" applyBorder="1" applyAlignment="1">
      <alignment horizontal="center" wrapText="1"/>
    </xf>
    <xf numFmtId="0" fontId="7" fillId="2" borderId="17" xfId="1" applyFont="1" applyFill="1" applyBorder="1" applyAlignment="1">
      <alignment horizontal="center"/>
    </xf>
    <xf numFmtId="0" fontId="7" fillId="2" borderId="6" xfId="1" applyFont="1" applyFill="1" applyBorder="1" applyAlignment="1">
      <alignment horizontal="center" wrapText="1"/>
    </xf>
    <xf numFmtId="0" fontId="7" fillId="2" borderId="18" xfId="1" applyFont="1" applyFill="1" applyBorder="1" applyAlignment="1">
      <alignment horizontal="center" wrapText="1"/>
    </xf>
    <xf numFmtId="0" fontId="8" fillId="2" borderId="14" xfId="1" applyFont="1" applyFill="1" applyBorder="1" applyAlignment="1">
      <alignment vertical="center" wrapText="1"/>
    </xf>
    <xf numFmtId="165" fontId="8" fillId="2" borderId="1" xfId="2" applyNumberFormat="1" applyFont="1" applyFill="1" applyBorder="1" applyAlignment="1">
      <alignment vertical="center" wrapText="1"/>
    </xf>
    <xf numFmtId="0" fontId="7" fillId="2" borderId="20" xfId="1" applyFont="1" applyFill="1" applyBorder="1" applyAlignment="1">
      <alignment horizontal="left" vertical="top" wrapText="1" indent="1"/>
    </xf>
    <xf numFmtId="165" fontId="7" fillId="2" borderId="0" xfId="2" applyNumberFormat="1" applyFont="1" applyFill="1" applyBorder="1" applyAlignment="1">
      <alignment horizontal="right" vertical="center"/>
    </xf>
    <xf numFmtId="165" fontId="7" fillId="2" borderId="21" xfId="2" applyNumberFormat="1" applyFont="1" applyFill="1" applyBorder="1" applyAlignment="1">
      <alignment horizontal="right" vertical="center"/>
    </xf>
    <xf numFmtId="165" fontId="7" fillId="2" borderId="22" xfId="2" applyNumberFormat="1" applyFont="1" applyFill="1" applyBorder="1" applyAlignment="1">
      <alignment horizontal="right" vertical="center"/>
    </xf>
    <xf numFmtId="165" fontId="7" fillId="2" borderId="23" xfId="2" applyNumberFormat="1" applyFont="1" applyFill="1" applyBorder="1" applyAlignment="1">
      <alignment horizontal="right" vertical="center"/>
    </xf>
    <xf numFmtId="0" fontId="7" fillId="2" borderId="20" xfId="0" applyFont="1" applyFill="1" applyBorder="1" applyAlignment="1">
      <alignment horizontal="left" indent="1"/>
    </xf>
    <xf numFmtId="165" fontId="7" fillId="2" borderId="0" xfId="2" applyNumberFormat="1" applyFont="1" applyFill="1" applyBorder="1"/>
    <xf numFmtId="165" fontId="7" fillId="2" borderId="21" xfId="2" applyNumberFormat="1" applyFont="1" applyFill="1" applyBorder="1"/>
    <xf numFmtId="165" fontId="7" fillId="2" borderId="22" xfId="2" applyNumberFormat="1" applyFont="1" applyFill="1" applyBorder="1"/>
    <xf numFmtId="165" fontId="7" fillId="2" borderId="23" xfId="2" applyNumberFormat="1" applyFont="1" applyFill="1" applyBorder="1"/>
    <xf numFmtId="0" fontId="7" fillId="2" borderId="14" xfId="0" applyFont="1" applyFill="1" applyBorder="1" applyAlignment="1">
      <alignment horizontal="left" indent="1"/>
    </xf>
    <xf numFmtId="165" fontId="7" fillId="2" borderId="1" xfId="2" applyNumberFormat="1" applyFont="1" applyFill="1" applyBorder="1"/>
    <xf numFmtId="165" fontId="7" fillId="2" borderId="16" xfId="2" applyNumberFormat="1" applyFont="1" applyFill="1" applyBorder="1"/>
    <xf numFmtId="165" fontId="7" fillId="2" borderId="15" xfId="2" applyNumberFormat="1" applyFont="1" applyFill="1" applyBorder="1"/>
    <xf numFmtId="165" fontId="7" fillId="2" borderId="19" xfId="2" applyNumberFormat="1" applyFont="1" applyFill="1" applyBorder="1"/>
    <xf numFmtId="0" fontId="7" fillId="2" borderId="20" xfId="0" applyFont="1" applyFill="1" applyBorder="1" applyAlignment="1">
      <alignment horizontal="left" vertical="center" indent="1"/>
    </xf>
    <xf numFmtId="165" fontId="7" fillId="2" borderId="0" xfId="2" applyNumberFormat="1" applyFont="1" applyFill="1" applyBorder="1" applyAlignment="1">
      <alignment vertical="center"/>
    </xf>
    <xf numFmtId="165" fontId="7" fillId="2" borderId="21" xfId="2" applyNumberFormat="1" applyFont="1" applyFill="1" applyBorder="1" applyAlignment="1">
      <alignment vertical="center"/>
    </xf>
    <xf numFmtId="165" fontId="7" fillId="2" borderId="22" xfId="2" applyNumberFormat="1" applyFont="1" applyFill="1" applyBorder="1" applyAlignment="1">
      <alignment vertical="center"/>
    </xf>
    <xf numFmtId="165" fontId="7" fillId="2" borderId="23" xfId="2" applyNumberFormat="1" applyFont="1" applyFill="1" applyBorder="1" applyAlignment="1">
      <alignment vertical="center"/>
    </xf>
    <xf numFmtId="16" fontId="7" fillId="2" borderId="20" xfId="0" applyNumberFormat="1" applyFont="1" applyFill="1" applyBorder="1" applyAlignment="1">
      <alignment horizontal="left" vertical="center" indent="1"/>
    </xf>
    <xf numFmtId="0" fontId="7" fillId="2" borderId="14" xfId="0" applyFont="1" applyFill="1" applyBorder="1" applyAlignment="1">
      <alignment horizontal="left" vertical="center" indent="1"/>
    </xf>
    <xf numFmtId="165" fontId="7" fillId="2" borderId="1" xfId="2" applyNumberFormat="1" applyFont="1" applyFill="1" applyBorder="1" applyAlignment="1">
      <alignment vertical="center"/>
    </xf>
    <xf numFmtId="165" fontId="7" fillId="2" borderId="16" xfId="2" applyNumberFormat="1" applyFont="1" applyFill="1" applyBorder="1" applyAlignment="1">
      <alignment vertical="center"/>
    </xf>
    <xf numFmtId="165" fontId="7" fillId="2" borderId="15" xfId="2" applyNumberFormat="1" applyFont="1" applyFill="1" applyBorder="1" applyAlignment="1">
      <alignment vertical="center"/>
    </xf>
    <xf numFmtId="165" fontId="7" fillId="2" borderId="19" xfId="2" applyNumberFormat="1" applyFont="1" applyFill="1" applyBorder="1" applyAlignment="1">
      <alignment vertical="center"/>
    </xf>
    <xf numFmtId="164" fontId="7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vertical="center"/>
    </xf>
    <xf numFmtId="0" fontId="8" fillId="0" borderId="4" xfId="1" applyFont="1" applyBorder="1" applyAlignment="1">
      <alignment vertical="center" wrapText="1"/>
    </xf>
    <xf numFmtId="0" fontId="8" fillId="2" borderId="4" xfId="1" applyFont="1" applyFill="1" applyBorder="1" applyAlignment="1">
      <alignment vertical="center" wrapText="1"/>
    </xf>
    <xf numFmtId="0" fontId="4" fillId="2" borderId="0" xfId="0" applyFont="1" applyFill="1" applyAlignment="1">
      <alignment vertical="center"/>
    </xf>
    <xf numFmtId="0" fontId="8" fillId="2" borderId="1" xfId="0" applyFont="1" applyFill="1" applyBorder="1" applyAlignment="1">
      <alignment vertical="center"/>
    </xf>
    <xf numFmtId="3" fontId="2" fillId="2" borderId="20" xfId="0" applyNumberFormat="1" applyFont="1" applyFill="1" applyBorder="1" applyAlignment="1">
      <alignment horizontal="right" vertical="center"/>
    </xf>
    <xf numFmtId="3" fontId="2" fillId="2" borderId="22" xfId="0" applyNumberFormat="1" applyFont="1" applyFill="1" applyBorder="1" applyAlignment="1">
      <alignment horizontal="right" vertical="center"/>
    </xf>
    <xf numFmtId="0" fontId="2" fillId="2" borderId="20" xfId="0" applyFont="1" applyFill="1" applyBorder="1" applyAlignment="1">
      <alignment horizontal="left" vertical="center" indent="1"/>
    </xf>
    <xf numFmtId="3" fontId="2" fillId="2" borderId="14" xfId="0" applyNumberFormat="1" applyFont="1" applyFill="1" applyBorder="1" applyAlignment="1">
      <alignment horizontal="right" vertical="center"/>
    </xf>
    <xf numFmtId="3" fontId="2" fillId="2" borderId="21" xfId="0" applyNumberFormat="1" applyFont="1" applyFill="1" applyBorder="1" applyAlignment="1">
      <alignment horizontal="right" vertical="center"/>
    </xf>
    <xf numFmtId="3" fontId="2" fillId="2" borderId="23" xfId="0" applyNumberFormat="1" applyFont="1" applyFill="1" applyBorder="1" applyAlignment="1">
      <alignment horizontal="right" vertical="center"/>
    </xf>
    <xf numFmtId="3" fontId="2" fillId="2" borderId="19" xfId="0" applyNumberFormat="1" applyFont="1" applyFill="1" applyBorder="1" applyAlignment="1">
      <alignment horizontal="right" vertical="center"/>
    </xf>
    <xf numFmtId="3" fontId="1" fillId="2" borderId="6" xfId="0" applyNumberFormat="1" applyFont="1" applyFill="1" applyBorder="1" applyAlignment="1">
      <alignment horizontal="right" vertical="center" wrapText="1"/>
    </xf>
    <xf numFmtId="0" fontId="2" fillId="2" borderId="28" xfId="0" applyFont="1" applyFill="1" applyBorder="1"/>
    <xf numFmtId="0" fontId="1" fillId="2" borderId="9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horizontal="left" vertical="center" wrapText="1" indent="1"/>
    </xf>
    <xf numFmtId="0" fontId="7" fillId="2" borderId="3" xfId="0" applyFont="1" applyFill="1" applyBorder="1"/>
    <xf numFmtId="0" fontId="1" fillId="2" borderId="1" xfId="0" applyFont="1" applyFill="1" applyBorder="1"/>
    <xf numFmtId="0" fontId="8" fillId="2" borderId="25" xfId="0" applyFont="1" applyFill="1" applyBorder="1" applyAlignment="1">
      <alignment vertical="center"/>
    </xf>
    <xf numFmtId="0" fontId="2" fillId="2" borderId="30" xfId="0" applyFont="1" applyFill="1" applyBorder="1" applyAlignment="1">
      <alignment horizontal="left" vertical="center" wrapText="1" indent="1"/>
    </xf>
    <xf numFmtId="0" fontId="2" fillId="2" borderId="30" xfId="0" applyFont="1" applyFill="1" applyBorder="1" applyAlignment="1">
      <alignment horizontal="left" vertical="center" indent="1"/>
    </xf>
    <xf numFmtId="0" fontId="2" fillId="2" borderId="30" xfId="0" applyFont="1" applyFill="1" applyBorder="1"/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" fontId="2" fillId="2" borderId="0" xfId="0" applyNumberFormat="1" applyFont="1" applyFill="1" applyAlignment="1">
      <alignment horizontal="right" vertical="center"/>
    </xf>
    <xf numFmtId="1" fontId="2" fillId="2" borderId="21" xfId="0" applyNumberFormat="1" applyFont="1" applyFill="1" applyBorder="1" applyAlignment="1">
      <alignment horizontal="right" vertical="center"/>
    </xf>
    <xf numFmtId="1" fontId="2" fillId="2" borderId="1" xfId="0" applyNumberFormat="1" applyFont="1" applyFill="1" applyBorder="1" applyAlignment="1">
      <alignment horizontal="right" vertical="center"/>
    </xf>
    <xf numFmtId="1" fontId="2" fillId="2" borderId="16" xfId="0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wrapText="1"/>
    </xf>
    <xf numFmtId="0" fontId="7" fillId="2" borderId="21" xfId="1" applyFont="1" applyFill="1" applyBorder="1" applyAlignment="1">
      <alignment horizontal="center" wrapText="1"/>
    </xf>
    <xf numFmtId="0" fontId="7" fillId="2" borderId="0" xfId="1" applyFont="1" applyFill="1" applyAlignment="1">
      <alignment horizontal="center"/>
    </xf>
    <xf numFmtId="0" fontId="7" fillId="2" borderId="22" xfId="1" applyFont="1" applyFill="1" applyBorder="1" applyAlignment="1">
      <alignment horizontal="center" wrapText="1"/>
    </xf>
    <xf numFmtId="0" fontId="7" fillId="2" borderId="27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 wrapText="1"/>
    </xf>
    <xf numFmtId="0" fontId="7" fillId="2" borderId="24" xfId="1" applyFont="1" applyFill="1" applyBorder="1" applyAlignment="1">
      <alignment horizontal="center" wrapText="1"/>
    </xf>
    <xf numFmtId="1" fontId="2" fillId="2" borderId="22" xfId="0" applyNumberFormat="1" applyFont="1" applyFill="1" applyBorder="1" applyAlignment="1">
      <alignment horizontal="right" vertical="center"/>
    </xf>
    <xf numFmtId="1" fontId="2" fillId="2" borderId="15" xfId="0" applyNumberFormat="1" applyFont="1" applyFill="1" applyBorder="1" applyAlignment="1">
      <alignment horizontal="right" vertical="center"/>
    </xf>
    <xf numFmtId="0" fontId="1" fillId="2" borderId="19" xfId="0" applyFont="1" applyFill="1" applyBorder="1" applyAlignment="1">
      <alignment vertical="center" wrapText="1"/>
    </xf>
    <xf numFmtId="165" fontId="8" fillId="2" borderId="18" xfId="2" applyNumberFormat="1" applyFont="1" applyFill="1" applyBorder="1" applyAlignment="1">
      <alignment vertical="center" wrapText="1"/>
    </xf>
    <xf numFmtId="165" fontId="8" fillId="2" borderId="10" xfId="2" applyNumberFormat="1" applyFont="1" applyFill="1" applyBorder="1" applyAlignment="1">
      <alignment vertical="center" wrapText="1"/>
    </xf>
    <xf numFmtId="165" fontId="8" fillId="2" borderId="9" xfId="2" applyNumberFormat="1" applyFont="1" applyFill="1" applyBorder="1" applyAlignment="1">
      <alignment vertical="center" wrapText="1"/>
    </xf>
    <xf numFmtId="3" fontId="1" fillId="2" borderId="10" xfId="0" applyNumberFormat="1" applyFont="1" applyFill="1" applyBorder="1" applyAlignment="1">
      <alignment horizontal="right" vertical="center" wrapText="1"/>
    </xf>
    <xf numFmtId="165" fontId="8" fillId="2" borderId="17" xfId="2" applyNumberFormat="1" applyFont="1" applyFill="1" applyBorder="1" applyAlignment="1">
      <alignment vertical="center" wrapText="1"/>
    </xf>
    <xf numFmtId="165" fontId="8" fillId="2" borderId="6" xfId="2" applyNumberFormat="1" applyFont="1" applyFill="1" applyBorder="1" applyAlignment="1">
      <alignment vertical="center" wrapText="1"/>
    </xf>
    <xf numFmtId="3" fontId="1" fillId="2" borderId="17" xfId="0" applyNumberFormat="1" applyFont="1" applyFill="1" applyBorder="1" applyAlignment="1">
      <alignment horizontal="right" vertical="center" wrapText="1"/>
    </xf>
    <xf numFmtId="3" fontId="1" fillId="2" borderId="18" xfId="0" applyNumberFormat="1" applyFont="1" applyFill="1" applyBorder="1" applyAlignment="1">
      <alignment horizontal="right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/>
    </xf>
    <xf numFmtId="0" fontId="7" fillId="2" borderId="10" xfId="1" applyFont="1" applyFill="1" applyBorder="1" applyAlignment="1">
      <alignment horizont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20" xfId="0" applyFont="1" applyFill="1" applyBorder="1"/>
    <xf numFmtId="165" fontId="7" fillId="2" borderId="0" xfId="3" applyNumberFormat="1" applyFont="1" applyFill="1" applyBorder="1" applyAlignment="1">
      <alignment horizontal="right" vertical="center"/>
    </xf>
    <xf numFmtId="165" fontId="7" fillId="2" borderId="21" xfId="3" applyNumberFormat="1" applyFont="1" applyFill="1" applyBorder="1" applyAlignment="1">
      <alignment horizontal="right" vertical="center"/>
    </xf>
    <xf numFmtId="165" fontId="7" fillId="2" borderId="22" xfId="3" applyNumberFormat="1" applyFont="1" applyFill="1" applyBorder="1" applyAlignment="1">
      <alignment horizontal="right" vertical="center"/>
    </xf>
    <xf numFmtId="165" fontId="7" fillId="2" borderId="0" xfId="3" applyNumberFormat="1" applyFont="1" applyFill="1" applyBorder="1"/>
    <xf numFmtId="165" fontId="7" fillId="2" borderId="21" xfId="3" applyNumberFormat="1" applyFont="1" applyFill="1" applyBorder="1"/>
    <xf numFmtId="165" fontId="7" fillId="2" borderId="22" xfId="3" applyNumberFormat="1" applyFont="1" applyFill="1" applyBorder="1"/>
    <xf numFmtId="165" fontId="7" fillId="2" borderId="1" xfId="3" applyNumberFormat="1" applyFont="1" applyFill="1" applyBorder="1"/>
    <xf numFmtId="165" fontId="7" fillId="2" borderId="16" xfId="3" applyNumberFormat="1" applyFont="1" applyFill="1" applyBorder="1"/>
    <xf numFmtId="165" fontId="7" fillId="2" borderId="15" xfId="3" applyNumberFormat="1" applyFont="1" applyFill="1" applyBorder="1"/>
    <xf numFmtId="165" fontId="7" fillId="2" borderId="0" xfId="3" applyNumberFormat="1" applyFont="1" applyFill="1" applyBorder="1" applyAlignment="1">
      <alignment vertical="center"/>
    </xf>
    <xf numFmtId="165" fontId="7" fillId="2" borderId="21" xfId="3" applyNumberFormat="1" applyFont="1" applyFill="1" applyBorder="1" applyAlignment="1">
      <alignment vertical="center"/>
    </xf>
    <xf numFmtId="165" fontId="7" fillId="2" borderId="22" xfId="3" applyNumberFormat="1" applyFont="1" applyFill="1" applyBorder="1" applyAlignment="1">
      <alignment vertical="center"/>
    </xf>
    <xf numFmtId="165" fontId="4" fillId="2" borderId="0" xfId="3" applyNumberFormat="1" applyFont="1" applyFill="1" applyAlignment="1">
      <alignment vertical="center"/>
    </xf>
    <xf numFmtId="165" fontId="7" fillId="2" borderId="0" xfId="3" applyNumberFormat="1" applyFont="1" applyFill="1"/>
    <xf numFmtId="165" fontId="7" fillId="2" borderId="23" xfId="3" applyNumberFormat="1" applyFont="1" applyFill="1" applyBorder="1" applyAlignment="1">
      <alignment horizontal="right" vertical="center"/>
    </xf>
    <xf numFmtId="165" fontId="7" fillId="2" borderId="23" xfId="3" applyNumberFormat="1" applyFont="1" applyFill="1" applyBorder="1"/>
    <xf numFmtId="165" fontId="7" fillId="2" borderId="19" xfId="3" applyNumberFormat="1" applyFont="1" applyFill="1" applyBorder="1"/>
    <xf numFmtId="165" fontId="7" fillId="2" borderId="23" xfId="3" applyNumberFormat="1" applyFont="1" applyFill="1" applyBorder="1" applyAlignment="1">
      <alignment vertical="center"/>
    </xf>
    <xf numFmtId="165" fontId="7" fillId="2" borderId="0" xfId="3" applyNumberFormat="1" applyFont="1" applyFill="1" applyAlignment="1">
      <alignment horizontal="right"/>
    </xf>
    <xf numFmtId="165" fontId="4" fillId="2" borderId="0" xfId="3" applyNumberFormat="1" applyFont="1" applyFill="1" applyBorder="1" applyAlignment="1">
      <alignment vertical="center"/>
    </xf>
    <xf numFmtId="165" fontId="7" fillId="2" borderId="0" xfId="3" applyNumberFormat="1" applyFont="1" applyFill="1" applyBorder="1" applyAlignment="1">
      <alignment horizontal="right"/>
    </xf>
    <xf numFmtId="165" fontId="2" fillId="2" borderId="1" xfId="3" applyNumberFormat="1" applyFont="1" applyFill="1" applyBorder="1"/>
    <xf numFmtId="165" fontId="7" fillId="2" borderId="33" xfId="3" applyNumberFormat="1" applyFont="1" applyFill="1" applyBorder="1" applyAlignment="1">
      <alignment horizontal="right"/>
    </xf>
    <xf numFmtId="165" fontId="2" fillId="2" borderId="15" xfId="3" applyNumberFormat="1" applyFont="1" applyFill="1" applyBorder="1"/>
    <xf numFmtId="166" fontId="2" fillId="2" borderId="1" xfId="3" applyNumberFormat="1" applyFont="1" applyFill="1" applyBorder="1"/>
    <xf numFmtId="166" fontId="2" fillId="2" borderId="0" xfId="3" applyNumberFormat="1" applyFont="1" applyFill="1"/>
    <xf numFmtId="165" fontId="7" fillId="2" borderId="33" xfId="3" applyNumberFormat="1" applyFont="1" applyFill="1" applyBorder="1"/>
    <xf numFmtId="16" fontId="7" fillId="2" borderId="32" xfId="0" applyNumberFormat="1" applyFont="1" applyFill="1" applyBorder="1" applyAlignment="1">
      <alignment horizontal="left" vertical="center" indent="1"/>
    </xf>
    <xf numFmtId="165" fontId="4" fillId="2" borderId="2" xfId="3" applyNumberFormat="1" applyFont="1" applyFill="1" applyBorder="1" applyAlignment="1">
      <alignment vertical="center"/>
    </xf>
    <xf numFmtId="165" fontId="7" fillId="2" borderId="2" xfId="3" applyNumberFormat="1" applyFont="1" applyFill="1" applyBorder="1"/>
    <xf numFmtId="165" fontId="7" fillId="2" borderId="2" xfId="3" applyNumberFormat="1" applyFont="1" applyFill="1" applyBorder="1" applyAlignment="1">
      <alignment horizontal="right"/>
    </xf>
    <xf numFmtId="165" fontId="2" fillId="2" borderId="20" xfId="3" applyNumberFormat="1" applyFont="1" applyFill="1" applyBorder="1" applyAlignment="1">
      <alignment horizontal="right" vertical="center"/>
    </xf>
    <xf numFmtId="165" fontId="2" fillId="2" borderId="0" xfId="3" applyNumberFormat="1" applyFont="1" applyFill="1" applyAlignment="1">
      <alignment horizontal="right" vertical="center"/>
    </xf>
    <xf numFmtId="165" fontId="2" fillId="2" borderId="23" xfId="3" applyNumberFormat="1" applyFont="1" applyFill="1" applyBorder="1" applyAlignment="1">
      <alignment horizontal="right" vertical="center"/>
    </xf>
    <xf numFmtId="165" fontId="2" fillId="2" borderId="21" xfId="3" applyNumberFormat="1" applyFont="1" applyFill="1" applyBorder="1" applyAlignment="1">
      <alignment horizontal="right" vertical="center"/>
    </xf>
    <xf numFmtId="165" fontId="2" fillId="2" borderId="22" xfId="3" applyNumberFormat="1" applyFont="1" applyFill="1" applyBorder="1" applyAlignment="1">
      <alignment horizontal="right" vertical="center"/>
    </xf>
    <xf numFmtId="165" fontId="2" fillId="2" borderId="14" xfId="3" applyNumberFormat="1" applyFont="1" applyFill="1" applyBorder="1" applyAlignment="1">
      <alignment horizontal="right" vertical="center"/>
    </xf>
    <xf numFmtId="165" fontId="2" fillId="2" borderId="1" xfId="3" applyNumberFormat="1" applyFont="1" applyFill="1" applyBorder="1" applyAlignment="1">
      <alignment horizontal="right" vertical="center"/>
    </xf>
    <xf numFmtId="165" fontId="2" fillId="2" borderId="19" xfId="3" applyNumberFormat="1" applyFont="1" applyFill="1" applyBorder="1" applyAlignment="1">
      <alignment horizontal="right" vertical="center"/>
    </xf>
    <xf numFmtId="165" fontId="2" fillId="2" borderId="16" xfId="3" applyNumberFormat="1" applyFont="1" applyFill="1" applyBorder="1" applyAlignment="1">
      <alignment horizontal="right" vertical="center"/>
    </xf>
    <xf numFmtId="165" fontId="2" fillId="2" borderId="15" xfId="3" applyNumberFormat="1" applyFont="1" applyFill="1" applyBorder="1" applyAlignment="1">
      <alignment horizontal="right" vertical="center"/>
    </xf>
    <xf numFmtId="3" fontId="1" fillId="2" borderId="9" xfId="0" applyNumberFormat="1" applyFont="1" applyFill="1" applyBorder="1" applyAlignment="1">
      <alignment horizontal="right" vertical="center" wrapText="1"/>
    </xf>
    <xf numFmtId="0" fontId="2" fillId="2" borderId="20" xfId="0" applyFont="1" applyFill="1" applyBorder="1"/>
    <xf numFmtId="165" fontId="7" fillId="2" borderId="34" xfId="3" applyNumberFormat="1" applyFont="1" applyFill="1" applyBorder="1"/>
    <xf numFmtId="16" fontId="7" fillId="2" borderId="0" xfId="0" applyNumberFormat="1" applyFont="1" applyFill="1" applyAlignment="1">
      <alignment horizontal="left" vertical="center" indent="1"/>
    </xf>
    <xf numFmtId="165" fontId="7" fillId="2" borderId="20" xfId="2" applyNumberFormat="1" applyFont="1" applyFill="1" applyBorder="1" applyAlignment="1">
      <alignment vertical="center"/>
    </xf>
    <xf numFmtId="165" fontId="7" fillId="2" borderId="27" xfId="3" applyNumberFormat="1" applyFont="1" applyFill="1" applyBorder="1"/>
    <xf numFmtId="165" fontId="2" fillId="2" borderId="16" xfId="3" applyNumberFormat="1" applyFont="1" applyFill="1" applyBorder="1"/>
    <xf numFmtId="165" fontId="7" fillId="2" borderId="24" xfId="3" applyNumberFormat="1" applyFont="1" applyFill="1" applyBorder="1"/>
    <xf numFmtId="165" fontId="7" fillId="2" borderId="24" xfId="3" applyNumberFormat="1" applyFont="1" applyFill="1" applyBorder="1" applyAlignment="1">
      <alignment horizontal="right"/>
    </xf>
    <xf numFmtId="165" fontId="2" fillId="2" borderId="19" xfId="3" applyNumberFormat="1" applyFont="1" applyFill="1" applyBorder="1"/>
    <xf numFmtId="165" fontId="7" fillId="2" borderId="27" xfId="3" applyNumberFormat="1" applyFont="1" applyFill="1" applyBorder="1" applyAlignment="1">
      <alignment horizontal="right"/>
    </xf>
    <xf numFmtId="165" fontId="2" fillId="2" borderId="14" xfId="3" applyNumberFormat="1" applyFont="1" applyFill="1" applyBorder="1"/>
    <xf numFmtId="165" fontId="7" fillId="2" borderId="32" xfId="3" applyNumberFormat="1" applyFont="1" applyFill="1" applyBorder="1" applyAlignment="1">
      <alignment horizontal="right"/>
    </xf>
    <xf numFmtId="165" fontId="2" fillId="2" borderId="0" xfId="3" applyNumberFormat="1" applyFont="1" applyFill="1" applyBorder="1" applyAlignment="1">
      <alignment horizontal="right" vertical="center"/>
    </xf>
    <xf numFmtId="165" fontId="4" fillId="2" borderId="32" xfId="3" applyNumberFormat="1" applyFont="1" applyFill="1" applyBorder="1" applyAlignment="1">
      <alignment vertical="center"/>
    </xf>
    <xf numFmtId="16" fontId="7" fillId="2" borderId="35" xfId="0" applyNumberFormat="1" applyFont="1" applyFill="1" applyBorder="1" applyAlignment="1">
      <alignment horizontal="left" vertical="center" indent="1"/>
    </xf>
    <xf numFmtId="0" fontId="7" fillId="2" borderId="28" xfId="0" applyFont="1" applyFill="1" applyBorder="1" applyAlignment="1">
      <alignment horizontal="left" vertical="center" indent="1"/>
    </xf>
    <xf numFmtId="0" fontId="7" fillId="2" borderId="36" xfId="0" applyFont="1" applyFill="1" applyBorder="1" applyAlignment="1">
      <alignment horizontal="left" vertical="center" indent="1"/>
    </xf>
    <xf numFmtId="0" fontId="1" fillId="2" borderId="10" xfId="0" applyFont="1" applyFill="1" applyBorder="1" applyAlignment="1">
      <alignment vertical="center" wrapText="1"/>
    </xf>
    <xf numFmtId="165" fontId="2" fillId="2" borderId="24" xfId="3" applyNumberFormat="1" applyFont="1" applyFill="1" applyBorder="1" applyAlignment="1">
      <alignment horizontal="right" vertical="center"/>
    </xf>
    <xf numFmtId="165" fontId="2" fillId="2" borderId="0" xfId="3" applyNumberFormat="1" applyFont="1" applyFill="1"/>
    <xf numFmtId="0" fontId="8" fillId="2" borderId="26" xfId="0" applyFont="1" applyFill="1" applyBorder="1" applyAlignment="1">
      <alignment vertical="center"/>
    </xf>
    <xf numFmtId="0" fontId="2" fillId="2" borderId="23" xfId="0" applyFont="1" applyFill="1" applyBorder="1" applyAlignment="1">
      <alignment horizontal="left" vertical="center" wrapText="1" indent="1"/>
    </xf>
    <xf numFmtId="0" fontId="2" fillId="2" borderId="23" xfId="0" applyFont="1" applyFill="1" applyBorder="1" applyAlignment="1">
      <alignment horizontal="left" vertical="center" indent="1"/>
    </xf>
    <xf numFmtId="0" fontId="2" fillId="2" borderId="23" xfId="0" applyFont="1" applyFill="1" applyBorder="1"/>
    <xf numFmtId="0" fontId="8" fillId="2" borderId="37" xfId="1" applyFont="1" applyFill="1" applyBorder="1" applyAlignment="1">
      <alignment vertical="center" wrapText="1"/>
    </xf>
    <xf numFmtId="0" fontId="8" fillId="2" borderId="26" xfId="0" applyFont="1" applyFill="1" applyBorder="1" applyAlignment="1">
      <alignment horizontal="center"/>
    </xf>
    <xf numFmtId="0" fontId="7" fillId="2" borderId="23" xfId="1" applyFont="1" applyFill="1" applyBorder="1" applyAlignment="1">
      <alignment horizontal="center" vertical="center" wrapText="1"/>
    </xf>
    <xf numFmtId="165" fontId="2" fillId="2" borderId="23" xfId="3" applyNumberFormat="1" applyFont="1" applyFill="1" applyBorder="1"/>
    <xf numFmtId="166" fontId="2" fillId="2" borderId="19" xfId="3" applyNumberFormat="1" applyFont="1" applyFill="1" applyBorder="1" applyAlignment="1">
      <alignment horizontal="right" vertical="center"/>
    </xf>
    <xf numFmtId="166" fontId="2" fillId="2" borderId="1" xfId="3" applyNumberFormat="1" applyFont="1" applyFill="1" applyBorder="1" applyAlignment="1">
      <alignment horizontal="right" vertical="center"/>
    </xf>
    <xf numFmtId="166" fontId="2" fillId="2" borderId="16" xfId="3" applyNumberFormat="1" applyFont="1" applyFill="1" applyBorder="1" applyAlignment="1">
      <alignment horizontal="right" vertical="center"/>
    </xf>
    <xf numFmtId="0" fontId="2" fillId="2" borderId="19" xfId="0" applyFont="1" applyFill="1" applyBorder="1"/>
    <xf numFmtId="165" fontId="2" fillId="2" borderId="33" xfId="3" applyNumberFormat="1" applyFont="1" applyFill="1" applyBorder="1"/>
    <xf numFmtId="165" fontId="2" fillId="2" borderId="22" xfId="3" applyNumberFormat="1" applyFont="1" applyFill="1" applyBorder="1"/>
    <xf numFmtId="165" fontId="2" fillId="2" borderId="27" xfId="3" applyNumberFormat="1" applyFont="1" applyFill="1" applyBorder="1"/>
    <xf numFmtId="165" fontId="2" fillId="2" borderId="24" xfId="3" applyNumberFormat="1" applyFont="1" applyFill="1" applyBorder="1"/>
    <xf numFmtId="165" fontId="2" fillId="2" borderId="21" xfId="3" applyNumberFormat="1" applyFont="1" applyFill="1" applyBorder="1"/>
    <xf numFmtId="165" fontId="2" fillId="2" borderId="23" xfId="0" applyNumberFormat="1" applyFont="1" applyFill="1" applyBorder="1"/>
    <xf numFmtId="165" fontId="2" fillId="2" borderId="30" xfId="3" applyNumberFormat="1" applyFont="1" applyFill="1" applyBorder="1" applyAlignment="1">
      <alignment horizontal="left" vertical="center" wrapText="1" indent="1"/>
    </xf>
    <xf numFmtId="165" fontId="2" fillId="2" borderId="30" xfId="3" applyNumberFormat="1" applyFont="1" applyFill="1" applyBorder="1" applyAlignment="1">
      <alignment horizontal="left" vertical="center" indent="1"/>
    </xf>
    <xf numFmtId="165" fontId="7" fillId="2" borderId="20" xfId="3" applyNumberFormat="1" applyFont="1" applyFill="1" applyBorder="1" applyAlignment="1">
      <alignment horizontal="left" indent="1"/>
    </xf>
    <xf numFmtId="165" fontId="7" fillId="2" borderId="14" xfId="3" applyNumberFormat="1" applyFont="1" applyFill="1" applyBorder="1" applyAlignment="1">
      <alignment horizontal="left" indent="1"/>
    </xf>
    <xf numFmtId="165" fontId="2" fillId="2" borderId="30" xfId="3" applyNumberFormat="1" applyFont="1" applyFill="1" applyBorder="1"/>
    <xf numFmtId="165" fontId="2" fillId="2" borderId="0" xfId="0" applyNumberFormat="1" applyFont="1" applyFill="1"/>
    <xf numFmtId="165" fontId="2" fillId="2" borderId="23" xfId="3" applyNumberFormat="1" applyFont="1" applyFill="1" applyBorder="1" applyAlignment="1">
      <alignment horizontal="left" vertical="center" wrapText="1" indent="1"/>
    </xf>
    <xf numFmtId="165" fontId="2" fillId="2" borderId="23" xfId="3" applyNumberFormat="1" applyFont="1" applyFill="1" applyBorder="1" applyAlignment="1">
      <alignment horizontal="left" vertical="center" indent="1"/>
    </xf>
    <xf numFmtId="165" fontId="2" fillId="2" borderId="27" xfId="3" applyNumberFormat="1" applyFont="1" applyFill="1" applyBorder="1" applyAlignment="1">
      <alignment horizontal="right" vertical="center"/>
    </xf>
    <xf numFmtId="0" fontId="2" fillId="2" borderId="2" xfId="0" applyFont="1" applyFill="1" applyBorder="1"/>
    <xf numFmtId="165" fontId="2" fillId="2" borderId="0" xfId="3" applyNumberFormat="1" applyFont="1" applyFill="1" applyBorder="1"/>
    <xf numFmtId="0" fontId="7" fillId="2" borderId="33" xfId="1" applyFont="1" applyFill="1" applyBorder="1" applyAlignment="1">
      <alignment horizontal="center" wrapText="1"/>
    </xf>
    <xf numFmtId="166" fontId="2" fillId="2" borderId="0" xfId="3" applyNumberFormat="1" applyFont="1" applyFill="1" applyAlignment="1">
      <alignment horizontal="right" vertical="center"/>
    </xf>
    <xf numFmtId="165" fontId="2" fillId="2" borderId="31" xfId="3" applyNumberFormat="1" applyFont="1" applyFill="1" applyBorder="1"/>
    <xf numFmtId="166" fontId="2" fillId="2" borderId="23" xfId="3" applyNumberFormat="1" applyFont="1" applyFill="1" applyBorder="1" applyAlignment="1">
      <alignment horizontal="right" vertical="center"/>
    </xf>
    <xf numFmtId="166" fontId="2" fillId="2" borderId="21" xfId="3" applyNumberFormat="1" applyFont="1" applyFill="1" applyBorder="1" applyAlignment="1">
      <alignment horizontal="right" vertical="center"/>
    </xf>
    <xf numFmtId="3" fontId="7" fillId="2" borderId="0" xfId="0" applyNumberFormat="1" applyFont="1" applyFill="1"/>
    <xf numFmtId="165" fontId="2" fillId="2" borderId="20" xfId="3" applyNumberFormat="1" applyFont="1" applyFill="1" applyBorder="1"/>
    <xf numFmtId="0" fontId="8" fillId="2" borderId="38" xfId="0" applyFont="1" applyFill="1" applyBorder="1" applyAlignment="1">
      <alignment horizontal="center"/>
    </xf>
    <xf numFmtId="165" fontId="7" fillId="2" borderId="39" xfId="3" applyNumberFormat="1" applyFont="1" applyFill="1" applyBorder="1" applyAlignment="1">
      <alignment horizontal="left" indent="1"/>
    </xf>
    <xf numFmtId="165" fontId="7" fillId="2" borderId="40" xfId="3" applyNumberFormat="1" applyFont="1" applyFill="1" applyBorder="1" applyAlignment="1">
      <alignment horizontal="left" indent="1"/>
    </xf>
    <xf numFmtId="165" fontId="2" fillId="2" borderId="32" xfId="3" applyNumberFormat="1" applyFont="1" applyFill="1" applyBorder="1"/>
    <xf numFmtId="165" fontId="7" fillId="2" borderId="0" xfId="0" applyNumberFormat="1" applyFont="1" applyFill="1"/>
    <xf numFmtId="0" fontId="8" fillId="2" borderId="5" xfId="1" applyFont="1" applyFill="1" applyBorder="1" applyAlignment="1">
      <alignment vertical="top" wrapText="1"/>
    </xf>
    <xf numFmtId="0" fontId="8" fillId="2" borderId="0" xfId="0" applyFont="1" applyFill="1"/>
    <xf numFmtId="0" fontId="7" fillId="2" borderId="0" xfId="1" applyFont="1" applyFill="1" applyAlignment="1">
      <alignment horizontal="left" vertical="top" wrapText="1" indent="1"/>
    </xf>
    <xf numFmtId="0" fontId="7" fillId="2" borderId="1" xfId="1" applyFont="1" applyFill="1" applyBorder="1" applyAlignment="1">
      <alignment horizontal="left" vertical="top" wrapText="1" indent="1"/>
    </xf>
    <xf numFmtId="165" fontId="7" fillId="2" borderId="20" xfId="2" applyNumberFormat="1" applyFont="1" applyFill="1" applyBorder="1" applyAlignment="1">
      <alignment horizontal="right" vertical="center"/>
    </xf>
    <xf numFmtId="165" fontId="7" fillId="2" borderId="20" xfId="2" applyNumberFormat="1" applyFont="1" applyFill="1" applyBorder="1"/>
    <xf numFmtId="165" fontId="7" fillId="2" borderId="14" xfId="2" applyNumberFormat="1" applyFont="1" applyFill="1" applyBorder="1"/>
    <xf numFmtId="167" fontId="8" fillId="2" borderId="0" xfId="0" applyNumberFormat="1" applyFont="1" applyFill="1"/>
    <xf numFmtId="167" fontId="7" fillId="2" borderId="0" xfId="0" applyNumberFormat="1" applyFont="1" applyFill="1"/>
    <xf numFmtId="165" fontId="8" fillId="2" borderId="9" xfId="1" applyNumberFormat="1" applyFont="1" applyFill="1" applyBorder="1" applyAlignment="1">
      <alignment horizontal="center" vertical="center" wrapText="1"/>
    </xf>
    <xf numFmtId="165" fontId="8" fillId="2" borderId="6" xfId="1" applyNumberFormat="1" applyFont="1" applyFill="1" applyBorder="1" applyAlignment="1">
      <alignment horizontal="center" vertical="center" wrapText="1"/>
    </xf>
    <xf numFmtId="165" fontId="7" fillId="2" borderId="20" xfId="2" applyNumberFormat="1" applyFont="1" applyFill="1" applyBorder="1" applyAlignment="1">
      <alignment vertical="center" wrapText="1"/>
    </xf>
    <xf numFmtId="165" fontId="7" fillId="2" borderId="0" xfId="2" applyNumberFormat="1" applyFont="1" applyFill="1" applyBorder="1" applyAlignment="1">
      <alignment vertical="center" wrapText="1"/>
    </xf>
    <xf numFmtId="165" fontId="7" fillId="2" borderId="21" xfId="2" applyNumberFormat="1" applyFont="1" applyFill="1" applyBorder="1" applyAlignment="1">
      <alignment vertical="center" wrapText="1"/>
    </xf>
    <xf numFmtId="165" fontId="7" fillId="2" borderId="22" xfId="2" applyNumberFormat="1" applyFont="1" applyFill="1" applyBorder="1" applyAlignment="1">
      <alignment vertical="center" wrapText="1"/>
    </xf>
    <xf numFmtId="0" fontId="7" fillId="2" borderId="22" xfId="1" applyFont="1" applyFill="1" applyBorder="1" applyAlignment="1">
      <alignment horizontal="left" vertical="top" wrapText="1" indent="1"/>
    </xf>
    <xf numFmtId="0" fontId="8" fillId="2" borderId="20" xfId="0" applyFont="1" applyFill="1" applyBorder="1"/>
    <xf numFmtId="165" fontId="8" fillId="2" borderId="17" xfId="1" applyNumberFormat="1" applyFont="1" applyFill="1" applyBorder="1" applyAlignment="1">
      <alignment horizontal="center" vertical="center" wrapText="1"/>
    </xf>
    <xf numFmtId="165" fontId="7" fillId="2" borderId="24" xfId="2" applyNumberFormat="1" applyFont="1" applyFill="1" applyBorder="1" applyAlignment="1">
      <alignment vertical="center" wrapText="1"/>
    </xf>
    <xf numFmtId="165" fontId="8" fillId="2" borderId="18" xfId="1" applyNumberFormat="1" applyFont="1" applyFill="1" applyBorder="1" applyAlignment="1">
      <alignment horizontal="center" vertical="center" wrapText="1"/>
    </xf>
    <xf numFmtId="3" fontId="2" fillId="2" borderId="16" xfId="0" applyNumberFormat="1" applyFont="1" applyFill="1" applyBorder="1" applyAlignment="1">
      <alignment horizontal="right" vertical="center"/>
    </xf>
    <xf numFmtId="3" fontId="2" fillId="2" borderId="15" xfId="0" applyNumberFormat="1" applyFont="1" applyFill="1" applyBorder="1" applyAlignment="1">
      <alignment horizontal="right" vertical="center"/>
    </xf>
    <xf numFmtId="0" fontId="8" fillId="2" borderId="7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8" fillId="2" borderId="33" xfId="1" applyFont="1" applyFill="1" applyBorder="1" applyAlignment="1">
      <alignment horizontal="center" vertical="center" wrapText="1"/>
    </xf>
    <xf numFmtId="0" fontId="8" fillId="2" borderId="2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8" fillId="2" borderId="27" xfId="1" applyFont="1" applyFill="1" applyBorder="1" applyAlignment="1">
      <alignment horizontal="center" vertical="center" wrapText="1"/>
    </xf>
    <xf numFmtId="0" fontId="8" fillId="2" borderId="23" xfId="1" applyFont="1" applyFill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center" vertical="center" wrapText="1"/>
    </xf>
    <xf numFmtId="0" fontId="8" fillId="2" borderId="37" xfId="1" applyFont="1" applyFill="1" applyBorder="1" applyAlignment="1">
      <alignment horizontal="center" vertical="center" wrapText="1"/>
    </xf>
    <xf numFmtId="0" fontId="8" fillId="2" borderId="29" xfId="1" applyFont="1" applyFill="1" applyBorder="1" applyAlignment="1">
      <alignment horizontal="center" vertical="center" wrapText="1"/>
    </xf>
    <xf numFmtId="0" fontId="8" fillId="2" borderId="30" xfId="1" applyFont="1" applyFill="1" applyBorder="1" applyAlignment="1">
      <alignment horizontal="center" vertical="center" wrapText="1"/>
    </xf>
    <xf numFmtId="0" fontId="8" fillId="2" borderId="31" xfId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30" xfId="0" applyFont="1" applyFill="1" applyBorder="1" applyAlignment="1">
      <alignment vertical="center"/>
    </xf>
  </cellXfs>
  <cellStyles count="4">
    <cellStyle name="Normal" xfId="0" builtinId="0"/>
    <cellStyle name="Normal_Folha3 2" xfId="1" xr:uid="{00000000-0005-0000-0000-000002000000}"/>
    <cellStyle name="Vírgula" xfId="3" builtinId="3"/>
    <cellStyle name="Vírgula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6D54-9AA1-4CD0-AEE1-809820F38D9F}">
  <dimension ref="A2:HB24"/>
  <sheetViews>
    <sheetView workbookViewId="0">
      <pane xSplit="1" topLeftCell="B1" activePane="topRight" state="frozen"/>
      <selection pane="topRight" activeCell="A24" sqref="A24"/>
    </sheetView>
  </sheetViews>
  <sheetFormatPr defaultColWidth="8" defaultRowHeight="12"/>
  <cols>
    <col min="1" max="1" width="21.375" style="5" customWidth="1"/>
    <col min="2" max="5" width="8.75" style="5" bestFit="1" customWidth="1"/>
    <col min="6" max="6" width="7.625" style="5" customWidth="1"/>
    <col min="7" max="7" width="10.75" style="5" customWidth="1"/>
    <col min="8" max="8" width="8.75" style="5" bestFit="1" customWidth="1"/>
    <col min="9" max="9" width="7.625" style="5" customWidth="1"/>
    <col min="10" max="10" width="10.25" style="5" customWidth="1"/>
    <col min="11" max="14" width="8.75" style="5" bestFit="1" customWidth="1"/>
    <col min="15" max="15" width="8" style="5"/>
    <col min="16" max="16" width="10.25" style="5" customWidth="1"/>
    <col min="17" max="17" width="8.75" style="5" bestFit="1" customWidth="1"/>
    <col min="18" max="18" width="8" style="5"/>
    <col min="19" max="19" width="10.125" style="5" customWidth="1"/>
    <col min="20" max="23" width="8.75" style="5" bestFit="1" customWidth="1"/>
    <col min="24" max="24" width="8" style="5"/>
    <col min="25" max="25" width="9.875" style="5" customWidth="1"/>
    <col min="26" max="26" width="8.75" style="5" bestFit="1" customWidth="1"/>
    <col min="27" max="27" width="8" style="5"/>
    <col min="28" max="28" width="11" style="5" customWidth="1"/>
    <col min="29" max="16384" width="8" style="5"/>
  </cols>
  <sheetData>
    <row r="2" spans="1:29" ht="12.75" customHeight="1" thickBot="1">
      <c r="A2" s="238" t="s">
        <v>117</v>
      </c>
      <c r="B2" s="238"/>
      <c r="C2" s="238"/>
      <c r="D2" s="238"/>
      <c r="E2" s="238"/>
      <c r="F2" s="238"/>
      <c r="G2" s="238"/>
      <c r="H2" s="238"/>
      <c r="I2" s="238"/>
      <c r="J2" s="238"/>
    </row>
    <row r="3" spans="1:29" ht="12" customHeight="1">
      <c r="A3" s="235" t="s">
        <v>98</v>
      </c>
      <c r="B3" s="232" t="s">
        <v>24</v>
      </c>
      <c r="C3" s="233"/>
      <c r="D3" s="233"/>
      <c r="E3" s="233"/>
      <c r="F3" s="233"/>
      <c r="G3" s="233"/>
      <c r="H3" s="233"/>
      <c r="I3" s="233"/>
      <c r="J3" s="234"/>
      <c r="K3" s="232" t="s">
        <v>25</v>
      </c>
      <c r="L3" s="233"/>
      <c r="M3" s="233"/>
      <c r="N3" s="233"/>
      <c r="O3" s="233"/>
      <c r="P3" s="233"/>
      <c r="Q3" s="233"/>
      <c r="R3" s="233"/>
      <c r="S3" s="234"/>
      <c r="T3" s="232" t="s">
        <v>26</v>
      </c>
      <c r="U3" s="233"/>
      <c r="V3" s="233"/>
      <c r="W3" s="233"/>
      <c r="X3" s="233"/>
      <c r="Y3" s="233"/>
      <c r="Z3" s="233"/>
      <c r="AA3" s="233"/>
      <c r="AB3" s="234"/>
    </row>
    <row r="4" spans="1:29" ht="15" customHeight="1" thickBot="1">
      <c r="A4" s="236"/>
      <c r="B4" s="205"/>
      <c r="C4" s="11" t="s">
        <v>0</v>
      </c>
      <c r="D4" s="12"/>
      <c r="E4" s="13"/>
      <c r="F4" s="13" t="s">
        <v>1</v>
      </c>
      <c r="G4" s="14"/>
      <c r="H4" s="11"/>
      <c r="I4" s="11" t="s">
        <v>2</v>
      </c>
      <c r="J4" s="15"/>
      <c r="K4" s="11"/>
      <c r="L4" s="11" t="s">
        <v>0</v>
      </c>
      <c r="M4" s="12"/>
      <c r="N4" s="13"/>
      <c r="O4" s="13" t="s">
        <v>1</v>
      </c>
      <c r="P4" s="14"/>
      <c r="Q4" s="11"/>
      <c r="R4" s="11" t="s">
        <v>2</v>
      </c>
      <c r="S4" s="15"/>
      <c r="T4" s="11"/>
      <c r="U4" s="11" t="s">
        <v>0</v>
      </c>
      <c r="V4" s="12"/>
      <c r="W4" s="13"/>
      <c r="X4" s="13" t="s">
        <v>1</v>
      </c>
      <c r="Y4" s="14"/>
      <c r="Z4" s="11"/>
      <c r="AA4" s="11" t="s">
        <v>2</v>
      </c>
      <c r="AB4" s="15"/>
    </row>
    <row r="5" spans="1:29" s="211" customFormat="1" ht="15" customHeight="1" thickBot="1">
      <c r="A5" s="237"/>
      <c r="B5" s="105" t="s">
        <v>0</v>
      </c>
      <c r="C5" s="20" t="s">
        <v>3</v>
      </c>
      <c r="D5" s="20" t="s">
        <v>4</v>
      </c>
      <c r="E5" s="19" t="s">
        <v>0</v>
      </c>
      <c r="F5" s="20" t="s">
        <v>3</v>
      </c>
      <c r="G5" s="21" t="s">
        <v>4</v>
      </c>
      <c r="H5" s="103" t="s">
        <v>0</v>
      </c>
      <c r="I5" s="20" t="s">
        <v>3</v>
      </c>
      <c r="J5" s="104" t="s">
        <v>4</v>
      </c>
      <c r="K5" s="105" t="s">
        <v>0</v>
      </c>
      <c r="L5" s="20" t="s">
        <v>3</v>
      </c>
      <c r="M5" s="21" t="s">
        <v>4</v>
      </c>
      <c r="N5" s="103" t="s">
        <v>0</v>
      </c>
      <c r="O5" s="20" t="s">
        <v>3</v>
      </c>
      <c r="P5" s="21" t="s">
        <v>4</v>
      </c>
      <c r="Q5" s="103" t="s">
        <v>0</v>
      </c>
      <c r="R5" s="20" t="s">
        <v>3</v>
      </c>
      <c r="S5" s="104" t="s">
        <v>4</v>
      </c>
      <c r="T5" s="102" t="s">
        <v>0</v>
      </c>
      <c r="U5" s="20" t="s">
        <v>3</v>
      </c>
      <c r="V5" s="20" t="s">
        <v>4</v>
      </c>
      <c r="W5" s="19" t="s">
        <v>0</v>
      </c>
      <c r="X5" s="20" t="s">
        <v>3</v>
      </c>
      <c r="Y5" s="21" t="s">
        <v>4</v>
      </c>
      <c r="Z5" s="103" t="s">
        <v>0</v>
      </c>
      <c r="AA5" s="20" t="s">
        <v>3</v>
      </c>
      <c r="AB5" s="104" t="s">
        <v>4</v>
      </c>
    </row>
    <row r="6" spans="1:29" s="211" customFormat="1" ht="12.75" thickBot="1">
      <c r="A6" s="210" t="s">
        <v>23</v>
      </c>
      <c r="B6" s="219">
        <f>+B7+B8+B9+B10+B11+B12+B13+B14+B15+B16+B17+B18+B19+B20+B21+B22+B23</f>
        <v>2758711.7927989061</v>
      </c>
      <c r="C6" s="220">
        <f t="shared" ref="C6:AB6" si="0">+C7+C8+C9+C10+C11+C12+C13+C14+C15+C16+C17+C18+C19+C20+C21+C22+C23</f>
        <v>1328184.2340468012</v>
      </c>
      <c r="D6" s="229">
        <f t="shared" si="0"/>
        <v>1430527.5587430422</v>
      </c>
      <c r="E6" s="220">
        <f t="shared" si="0"/>
        <v>1329960.5548746414</v>
      </c>
      <c r="F6" s="220">
        <f t="shared" si="0"/>
        <v>638957.92734759965</v>
      </c>
      <c r="G6" s="229">
        <f t="shared" si="0"/>
        <v>691002.62752261502</v>
      </c>
      <c r="H6" s="220">
        <f t="shared" si="0"/>
        <v>1428751.2379209837</v>
      </c>
      <c r="I6" s="220">
        <f t="shared" si="0"/>
        <v>689226.30670029251</v>
      </c>
      <c r="J6" s="220">
        <f t="shared" si="0"/>
        <v>739524.93122153403</v>
      </c>
      <c r="K6" s="219">
        <f t="shared" si="0"/>
        <v>2851768.0355203399</v>
      </c>
      <c r="L6" s="220">
        <f t="shared" si="0"/>
        <v>1372986.2444607583</v>
      </c>
      <c r="M6" s="229">
        <f t="shared" si="0"/>
        <v>1478781.7910563522</v>
      </c>
      <c r="N6" s="220">
        <f t="shared" si="0"/>
        <v>1374822.4837382599</v>
      </c>
      <c r="O6" s="220">
        <f t="shared" si="0"/>
        <v>660511.11174871644</v>
      </c>
      <c r="P6" s="229">
        <f t="shared" si="0"/>
        <v>714311.37198817008</v>
      </c>
      <c r="Q6" s="220">
        <f t="shared" si="0"/>
        <v>1476945.551781036</v>
      </c>
      <c r="R6" s="220">
        <f t="shared" si="0"/>
        <v>712475.13271242299</v>
      </c>
      <c r="S6" s="220">
        <f t="shared" si="0"/>
        <v>764470.41906855465</v>
      </c>
      <c r="T6" s="219">
        <f t="shared" si="0"/>
        <v>2947679.4937306033</v>
      </c>
      <c r="U6" s="220">
        <f t="shared" si="0"/>
        <v>1419162.9008997802</v>
      </c>
      <c r="V6" s="229">
        <f t="shared" si="0"/>
        <v>1528516.5928358578</v>
      </c>
      <c r="W6" s="220">
        <f t="shared" si="0"/>
        <v>1421060.8970845672</v>
      </c>
      <c r="X6" s="220">
        <f t="shared" si="0"/>
        <v>682725.60574304964</v>
      </c>
      <c r="Y6" s="220">
        <f t="shared" si="0"/>
        <v>738335.29134550761</v>
      </c>
      <c r="Z6" s="227">
        <f t="shared" si="0"/>
        <v>1526618.5966469028</v>
      </c>
      <c r="AA6" s="220">
        <f t="shared" si="0"/>
        <v>736437.29515632195</v>
      </c>
      <c r="AB6" s="220">
        <f t="shared" si="0"/>
        <v>790181.30148988939</v>
      </c>
      <c r="AC6" s="226"/>
    </row>
    <row r="7" spans="1:29" ht="12" customHeight="1">
      <c r="A7" s="212" t="s">
        <v>28</v>
      </c>
      <c r="B7" s="221">
        <v>264477.85460205161</v>
      </c>
      <c r="C7" s="222">
        <v>127486.06325633496</v>
      </c>
      <c r="D7" s="223">
        <v>136991.79134505705</v>
      </c>
      <c r="E7" s="222">
        <v>101803.6203406368</v>
      </c>
      <c r="F7" s="222">
        <v>48962.041799718012</v>
      </c>
      <c r="G7" s="223">
        <v>52841.578541032002</v>
      </c>
      <c r="H7" s="222">
        <v>162674.23426094966</v>
      </c>
      <c r="I7" s="222">
        <v>78524.021456792514</v>
      </c>
      <c r="J7" s="224">
        <v>84150.212804179639</v>
      </c>
      <c r="K7" s="222">
        <v>273399.16182122711</v>
      </c>
      <c r="L7" s="222">
        <v>131786.39433037327</v>
      </c>
      <c r="M7" s="223">
        <v>141612.76749069995</v>
      </c>
      <c r="N7" s="222">
        <v>105237.63705439001</v>
      </c>
      <c r="O7" s="222">
        <v>50613.618328250559</v>
      </c>
      <c r="P7" s="223">
        <v>54624.018726138129</v>
      </c>
      <c r="Q7" s="222">
        <v>168161.52476673111</v>
      </c>
      <c r="R7" s="222">
        <v>81172.77600212142</v>
      </c>
      <c r="S7" s="224">
        <v>86988.748764541117</v>
      </c>
      <c r="T7" s="222">
        <v>282594.19871021627</v>
      </c>
      <c r="U7" s="222">
        <v>136218.67111297807</v>
      </c>
      <c r="V7" s="223">
        <v>146375.52759699023</v>
      </c>
      <c r="W7" s="222">
        <v>108777.01862516074</v>
      </c>
      <c r="X7" s="222">
        <v>52315.869661052697</v>
      </c>
      <c r="Y7" s="228">
        <v>56461.148964025044</v>
      </c>
      <c r="Z7" s="222">
        <v>173817.18008485562</v>
      </c>
      <c r="AA7" s="222">
        <v>83902.801451843276</v>
      </c>
      <c r="AB7" s="224">
        <v>89914.378632870808</v>
      </c>
    </row>
    <row r="8" spans="1:29" ht="12" customHeight="1">
      <c r="A8" s="212" t="s">
        <v>23</v>
      </c>
      <c r="B8" s="214">
        <v>857048.91281339095</v>
      </c>
      <c r="C8" s="25">
        <v>411729.21164653782</v>
      </c>
      <c r="D8" s="26">
        <v>445319.70115907711</v>
      </c>
      <c r="E8" s="25">
        <v>754492.3502142831</v>
      </c>
      <c r="F8" s="25">
        <v>362524.71367123991</v>
      </c>
      <c r="G8" s="26">
        <v>391967.63653860701</v>
      </c>
      <c r="H8" s="25">
        <v>102556.56259700845</v>
      </c>
      <c r="I8" s="25">
        <v>49204.497975953018</v>
      </c>
      <c r="J8" s="27">
        <v>53352.064621174191</v>
      </c>
      <c r="K8" s="25">
        <v>885958.69304360566</v>
      </c>
      <c r="L8" s="25">
        <v>425617.56836363999</v>
      </c>
      <c r="M8" s="26">
        <v>460341.12467720744</v>
      </c>
      <c r="N8" s="25">
        <v>779942.71565408935</v>
      </c>
      <c r="O8" s="25">
        <v>374753.31538258615</v>
      </c>
      <c r="P8" s="26">
        <v>405189.4002702462</v>
      </c>
      <c r="Q8" s="25">
        <v>106015.9773887973</v>
      </c>
      <c r="R8" s="25">
        <v>50864.252981424492</v>
      </c>
      <c r="S8" s="25">
        <v>55151.724407367139</v>
      </c>
      <c r="T8" s="214">
        <v>915755.50298570166</v>
      </c>
      <c r="U8" s="25">
        <v>439932.05717208615</v>
      </c>
      <c r="V8" s="26">
        <v>475823.44581986894</v>
      </c>
      <c r="W8" s="25">
        <v>806173.96666854655</v>
      </c>
      <c r="X8" s="25">
        <v>387357.12344309624</v>
      </c>
      <c r="Y8" s="26">
        <v>418816.84322970978</v>
      </c>
      <c r="Z8" s="25">
        <v>109581.53631883895</v>
      </c>
      <c r="AA8" s="25">
        <v>52574.933728817443</v>
      </c>
      <c r="AB8" s="25">
        <v>57006.602589959424</v>
      </c>
      <c r="AC8" s="106"/>
    </row>
    <row r="9" spans="1:29" ht="12" customHeight="1">
      <c r="A9" s="225" t="s">
        <v>36</v>
      </c>
      <c r="B9" s="25">
        <v>79665.693667857005</v>
      </c>
      <c r="C9" s="25">
        <v>38320.933049572835</v>
      </c>
      <c r="D9" s="26">
        <v>41344.760618304019</v>
      </c>
      <c r="E9" s="25">
        <v>34601.644044816581</v>
      </c>
      <c r="F9" s="25">
        <v>16618.801051950159</v>
      </c>
      <c r="G9" s="26">
        <v>17982.842992857553</v>
      </c>
      <c r="H9" s="25">
        <v>45064.049623060746</v>
      </c>
      <c r="I9" s="25">
        <v>21702.131997610559</v>
      </c>
      <c r="J9" s="27">
        <v>23361.917625432394</v>
      </c>
      <c r="K9" s="25">
        <v>82352.958842189546</v>
      </c>
      <c r="L9" s="25">
        <v>39613.566102656296</v>
      </c>
      <c r="M9" s="26">
        <v>42739.392739545423</v>
      </c>
      <c r="N9" s="25">
        <v>35768.818881759034</v>
      </c>
      <c r="O9" s="25">
        <v>17179.382693187265</v>
      </c>
      <c r="P9" s="26">
        <v>18589.436188571362</v>
      </c>
      <c r="Q9" s="25">
        <v>46584.13996044283</v>
      </c>
      <c r="R9" s="25">
        <v>22434.183409472615</v>
      </c>
      <c r="S9" s="27">
        <v>24149.956550980205</v>
      </c>
      <c r="T9" s="25">
        <v>85122.676530464712</v>
      </c>
      <c r="U9" s="25">
        <v>40945.860609998432</v>
      </c>
      <c r="V9" s="26">
        <v>44176.815920447189</v>
      </c>
      <c r="W9" s="25">
        <v>36971.8057778824</v>
      </c>
      <c r="X9" s="25">
        <v>17757.164484972054</v>
      </c>
      <c r="Y9" s="26">
        <v>19214.641292917011</v>
      </c>
      <c r="Z9" s="25">
        <v>48150.870752561932</v>
      </c>
      <c r="AA9" s="25">
        <v>23188.696125033897</v>
      </c>
      <c r="AB9" s="25">
        <v>24962.17462753705</v>
      </c>
      <c r="AC9" s="106"/>
    </row>
    <row r="10" spans="1:29" ht="12" customHeight="1">
      <c r="A10" s="225" t="s">
        <v>39</v>
      </c>
      <c r="B10" s="25">
        <v>269953.00899055059</v>
      </c>
      <c r="C10" s="25">
        <v>130270.12714174579</v>
      </c>
      <c r="D10" s="26">
        <v>139682.88184826492</v>
      </c>
      <c r="E10" s="25">
        <v>179737.29018870942</v>
      </c>
      <c r="F10" s="25">
        <v>86400.923798206029</v>
      </c>
      <c r="G10" s="26">
        <v>93336.366390400915</v>
      </c>
      <c r="H10" s="25">
        <v>90215.71880157612</v>
      </c>
      <c r="I10" s="25">
        <v>43869.203343682464</v>
      </c>
      <c r="J10" s="27">
        <v>46346.515457959882</v>
      </c>
      <c r="K10" s="25">
        <v>279059.00288020738</v>
      </c>
      <c r="L10" s="25">
        <v>134664.36962956341</v>
      </c>
      <c r="M10" s="26">
        <v>144394.63325055354</v>
      </c>
      <c r="N10" s="25">
        <v>185800.14784074799</v>
      </c>
      <c r="O10" s="25">
        <v>89315.380233149917</v>
      </c>
      <c r="P10" s="26">
        <v>96484.767607473477</v>
      </c>
      <c r="Q10" s="25">
        <v>93258.85503944532</v>
      </c>
      <c r="R10" s="25">
        <v>45348.98939640625</v>
      </c>
      <c r="S10" s="27">
        <v>47909.865643045821</v>
      </c>
      <c r="T10" s="25">
        <v>288444.3931228866</v>
      </c>
      <c r="U10" s="25">
        <v>139193.43928041047</v>
      </c>
      <c r="V10" s="26">
        <v>149250.95384224047</v>
      </c>
      <c r="W10" s="25">
        <v>192049.0302513022</v>
      </c>
      <c r="X10" s="25">
        <v>92319.26002017346</v>
      </c>
      <c r="Y10" s="26">
        <v>99729.770230944428</v>
      </c>
      <c r="Z10" s="25">
        <v>96395.362871387377</v>
      </c>
      <c r="AA10" s="25">
        <v>46874.179260145866</v>
      </c>
      <c r="AB10" s="25">
        <v>49521.18361119664</v>
      </c>
      <c r="AC10" s="106"/>
    </row>
    <row r="11" spans="1:29" ht="12" customHeight="1">
      <c r="A11" s="225" t="s">
        <v>43</v>
      </c>
      <c r="B11" s="25">
        <v>61313.85622715114</v>
      </c>
      <c r="C11" s="25">
        <v>29490.875276487648</v>
      </c>
      <c r="D11" s="26">
        <v>31822.980950628826</v>
      </c>
      <c r="E11" s="25">
        <v>11649.304567321595</v>
      </c>
      <c r="F11" s="25">
        <v>5581.1202408233403</v>
      </c>
      <c r="G11" s="26">
        <v>6068.1843264991612</v>
      </c>
      <c r="H11" s="25">
        <v>49664.55165981342</v>
      </c>
      <c r="I11" s="25">
        <v>23909.755035662565</v>
      </c>
      <c r="J11" s="25">
        <v>25754.796624127775</v>
      </c>
      <c r="K11" s="214">
        <v>63382.081368412546</v>
      </c>
      <c r="L11" s="25">
        <v>30485.654816375649</v>
      </c>
      <c r="M11" s="26">
        <v>32896.426552060489</v>
      </c>
      <c r="N11" s="25">
        <v>12042.256276244263</v>
      </c>
      <c r="O11" s="25">
        <v>5769.3813274535551</v>
      </c>
      <c r="P11" s="26">
        <v>6272.8749487909172</v>
      </c>
      <c r="Q11" s="25">
        <v>51339.825092175699</v>
      </c>
      <c r="R11" s="25">
        <v>24716.273488920982</v>
      </c>
      <c r="S11" s="27">
        <v>26623.551603268832</v>
      </c>
      <c r="T11" s="25">
        <v>65513.765212590348</v>
      </c>
      <c r="U11" s="25">
        <v>31510.956864650463</v>
      </c>
      <c r="V11" s="26">
        <v>34002.808347954808</v>
      </c>
      <c r="W11" s="25">
        <v>12447.264799116725</v>
      </c>
      <c r="X11" s="25">
        <v>5963.418769915912</v>
      </c>
      <c r="Y11" s="26">
        <v>6483.8460292008403</v>
      </c>
      <c r="Z11" s="25">
        <v>53066.500413481968</v>
      </c>
      <c r="AA11" s="25">
        <v>25547.538094736567</v>
      </c>
      <c r="AB11" s="25">
        <v>27518.962318756359</v>
      </c>
      <c r="AC11" s="106"/>
    </row>
    <row r="12" spans="1:29" ht="12" customHeight="1">
      <c r="A12" s="212" t="s">
        <v>47</v>
      </c>
      <c r="B12" s="214">
        <v>157258.23994741333</v>
      </c>
      <c r="C12" s="25">
        <v>75476.6318555701</v>
      </c>
      <c r="D12" s="25">
        <v>81781.608091893257</v>
      </c>
      <c r="E12" s="28">
        <v>27922.03309834818</v>
      </c>
      <c r="F12" s="25">
        <v>13367.684371292151</v>
      </c>
      <c r="G12" s="26">
        <v>14554.34872705055</v>
      </c>
      <c r="H12" s="25">
        <v>129336.206848956</v>
      </c>
      <c r="I12" s="25">
        <v>62108.947484301352</v>
      </c>
      <c r="J12" s="27">
        <v>67227.259364885002</v>
      </c>
      <c r="K12" s="25">
        <v>162562.83935702246</v>
      </c>
      <c r="L12" s="25">
        <v>78022.592543563747</v>
      </c>
      <c r="M12" s="25">
        <v>84540.246813392179</v>
      </c>
      <c r="N12" s="28">
        <v>28863.89280844128</v>
      </c>
      <c r="O12" s="25">
        <v>13818.60007940895</v>
      </c>
      <c r="P12" s="26">
        <v>15045.292729029728</v>
      </c>
      <c r="Q12" s="25">
        <v>133698.94654852964</v>
      </c>
      <c r="R12" s="25">
        <v>64203.992464158495</v>
      </c>
      <c r="S12" s="27">
        <v>69494.95408436234</v>
      </c>
      <c r="T12" s="25">
        <v>168030.19812543422</v>
      </c>
      <c r="U12" s="25">
        <v>80646.670144307514</v>
      </c>
      <c r="V12" s="25">
        <v>87383.52798097083</v>
      </c>
      <c r="W12" s="28">
        <v>29834.651304394378</v>
      </c>
      <c r="X12" s="25">
        <v>14283.351092669625</v>
      </c>
      <c r="Y12" s="26">
        <v>15551.300211729715</v>
      </c>
      <c r="Z12" s="25">
        <v>138195.54682095782</v>
      </c>
      <c r="AA12" s="25">
        <v>66363.319051621322</v>
      </c>
      <c r="AB12" s="27">
        <v>71832.227769221034</v>
      </c>
    </row>
    <row r="13" spans="1:29" ht="12" customHeight="1">
      <c r="A13" s="212" t="s">
        <v>51</v>
      </c>
      <c r="B13" s="214">
        <v>170264.61704272486</v>
      </c>
      <c r="C13" s="25">
        <v>82447.835652775393</v>
      </c>
      <c r="D13" s="25">
        <v>87816.781389915777</v>
      </c>
      <c r="E13" s="33">
        <v>25125.625842071244</v>
      </c>
      <c r="F13" s="30">
        <v>12094.710013494127</v>
      </c>
      <c r="G13" s="31">
        <v>13030.915828574172</v>
      </c>
      <c r="H13" s="30">
        <v>145138.99120055049</v>
      </c>
      <c r="I13" s="30">
        <v>70353.125639316524</v>
      </c>
      <c r="J13" s="32">
        <v>74785.865561380589</v>
      </c>
      <c r="K13" s="25">
        <v>176007.94462505713</v>
      </c>
      <c r="L13" s="25">
        <v>85228.947411789108</v>
      </c>
      <c r="M13" s="25">
        <v>90778.99721317584</v>
      </c>
      <c r="N13" s="33">
        <v>25973.157774584954</v>
      </c>
      <c r="O13" s="30">
        <v>12502.686038265458</v>
      </c>
      <c r="P13" s="31">
        <v>13470.471736317328</v>
      </c>
      <c r="Q13" s="30">
        <v>150034.78685043173</v>
      </c>
      <c r="R13" s="30">
        <v>72726.261373526097</v>
      </c>
      <c r="S13" s="32">
        <v>77308.525476858369</v>
      </c>
      <c r="T13" s="25">
        <v>181927.4929250147</v>
      </c>
      <c r="U13" s="25">
        <v>88095.391150042386</v>
      </c>
      <c r="V13" s="25">
        <v>93832.101774815586</v>
      </c>
      <c r="W13" s="33">
        <v>26846.694263365916</v>
      </c>
      <c r="X13" s="30">
        <v>12923.179863354055</v>
      </c>
      <c r="Y13" s="31">
        <v>13923.514400015145</v>
      </c>
      <c r="Z13" s="30">
        <v>155080.79866158075</v>
      </c>
      <c r="AA13" s="30">
        <v>75172.21128667322</v>
      </c>
      <c r="AB13" s="32">
        <v>79908.587374785304</v>
      </c>
    </row>
    <row r="14" spans="1:29" ht="12" customHeight="1">
      <c r="A14" s="212" t="s">
        <v>56</v>
      </c>
      <c r="B14" s="215">
        <v>78084.249910058163</v>
      </c>
      <c r="C14" s="30">
        <v>37521.722897247069</v>
      </c>
      <c r="D14" s="30">
        <v>40562.527012822997</v>
      </c>
      <c r="E14" s="28">
        <v>32893.396562877198</v>
      </c>
      <c r="F14" s="25">
        <v>15682.565813554023</v>
      </c>
      <c r="G14" s="26">
        <v>17210.830749315515</v>
      </c>
      <c r="H14" s="25">
        <v>45190.853347193093</v>
      </c>
      <c r="I14" s="25">
        <v>21839.157083681115</v>
      </c>
      <c r="J14" s="27">
        <v>23351.6962634929</v>
      </c>
      <c r="K14" s="30">
        <v>80718.170180953544</v>
      </c>
      <c r="L14" s="30">
        <v>38787.397174094454</v>
      </c>
      <c r="M14" s="30">
        <v>41930.773006868767</v>
      </c>
      <c r="N14" s="28">
        <v>34002.949181824355</v>
      </c>
      <c r="O14" s="25">
        <v>16211.566579318602</v>
      </c>
      <c r="P14" s="26">
        <v>17791.382602505306</v>
      </c>
      <c r="Q14" s="25">
        <v>46715.220999139397</v>
      </c>
      <c r="R14" s="25">
        <v>22575.830594778818</v>
      </c>
      <c r="S14" s="27">
        <v>24139.390404369493</v>
      </c>
      <c r="T14" s="30">
        <v>83432.906200863974</v>
      </c>
      <c r="U14" s="30">
        <v>40091.90573752932</v>
      </c>
      <c r="V14" s="30">
        <v>43341.000463314966</v>
      </c>
      <c r="W14" s="28">
        <v>35146.545855522432</v>
      </c>
      <c r="X14" s="25">
        <v>16756.798509541677</v>
      </c>
      <c r="Y14" s="26">
        <v>18389.74734598786</v>
      </c>
      <c r="Z14" s="25">
        <v>48286.360345321809</v>
      </c>
      <c r="AA14" s="25">
        <v>23335.107227995508</v>
      </c>
      <c r="AB14" s="27">
        <v>24951.253117335356</v>
      </c>
    </row>
    <row r="15" spans="1:29" ht="12" customHeight="1">
      <c r="A15" s="212" t="s">
        <v>60</v>
      </c>
      <c r="B15" s="215">
        <v>93559.069139153726</v>
      </c>
      <c r="C15" s="30">
        <v>45430.904832874927</v>
      </c>
      <c r="D15" s="30">
        <v>48128.164306358405</v>
      </c>
      <c r="E15" s="33">
        <v>15190.511656369183</v>
      </c>
      <c r="F15" s="30">
        <v>7365.0270608702967</v>
      </c>
      <c r="G15" s="31">
        <v>7825.4845955008441</v>
      </c>
      <c r="H15" s="30">
        <v>78368.557482827164</v>
      </c>
      <c r="I15" s="30">
        <v>38065.877771995249</v>
      </c>
      <c r="J15" s="32">
        <v>40302.679710848068</v>
      </c>
      <c r="K15" s="30">
        <v>96714.98251502098</v>
      </c>
      <c r="L15" s="30">
        <v>46963.369847284222</v>
      </c>
      <c r="M15" s="30">
        <v>49751.612667741945</v>
      </c>
      <c r="N15" s="33">
        <v>15702.914562507241</v>
      </c>
      <c r="O15" s="30">
        <v>7613.4624891913663</v>
      </c>
      <c r="P15" s="31">
        <v>8089.452073316671</v>
      </c>
      <c r="Q15" s="30">
        <v>81012.067952512109</v>
      </c>
      <c r="R15" s="30">
        <v>39349.907358098928</v>
      </c>
      <c r="S15" s="32">
        <v>41662.160594431756</v>
      </c>
      <c r="T15" s="30">
        <v>99967.72779048697</v>
      </c>
      <c r="U15" s="30">
        <v>48542.855004760313</v>
      </c>
      <c r="V15" s="30">
        <v>51424.87278567694</v>
      </c>
      <c r="W15" s="33">
        <v>16231.039366187253</v>
      </c>
      <c r="X15" s="30">
        <v>7869.5205837841113</v>
      </c>
      <c r="Y15" s="31">
        <v>8361.5187824037675</v>
      </c>
      <c r="Z15" s="30">
        <v>83736.688424280728</v>
      </c>
      <c r="AA15" s="30">
        <v>40673.334420981308</v>
      </c>
      <c r="AB15" s="32">
        <v>43063.354003278917</v>
      </c>
    </row>
    <row r="16" spans="1:29" ht="12" customHeight="1">
      <c r="A16" s="212" t="s">
        <v>64</v>
      </c>
      <c r="B16" s="215">
        <v>219970.39139393615</v>
      </c>
      <c r="C16" s="30">
        <v>106072.10670837344</v>
      </c>
      <c r="D16" s="30">
        <v>113898.28468518182</v>
      </c>
      <c r="E16" s="33">
        <v>79481.470283029295</v>
      </c>
      <c r="F16" s="30">
        <v>38493.898023086884</v>
      </c>
      <c r="G16" s="31">
        <v>40987.572259958572</v>
      </c>
      <c r="H16" s="30">
        <v>140488.92111058833</v>
      </c>
      <c r="I16" s="30">
        <v>67578.208685403442</v>
      </c>
      <c r="J16" s="32">
        <v>72910.712425358492</v>
      </c>
      <c r="K16" s="30">
        <v>227390.38292304054</v>
      </c>
      <c r="L16" s="30">
        <v>109650.10703961043</v>
      </c>
      <c r="M16" s="30">
        <v>117740.27588324503</v>
      </c>
      <c r="N16" s="33">
        <v>82162.521275770327</v>
      </c>
      <c r="O16" s="30">
        <v>39792.365491564218</v>
      </c>
      <c r="P16" s="31">
        <v>42370.155784219802</v>
      </c>
      <c r="Q16" s="30">
        <v>145227.86164710126</v>
      </c>
      <c r="R16" s="30">
        <v>69857.741548042104</v>
      </c>
      <c r="S16" s="32">
        <v>75370.12009902409</v>
      </c>
      <c r="T16" s="30">
        <v>235038.03972359578</v>
      </c>
      <c r="U16" s="30">
        <v>113337.89003201164</v>
      </c>
      <c r="V16" s="30">
        <v>121700.1496913654</v>
      </c>
      <c r="W16" s="33">
        <v>84925.834114686048</v>
      </c>
      <c r="X16" s="30">
        <v>41130.67342983892</v>
      </c>
      <c r="Y16" s="31">
        <v>43795.160684820476</v>
      </c>
      <c r="Z16" s="30">
        <v>150112.20560870325</v>
      </c>
      <c r="AA16" s="30">
        <v>72207.216602101427</v>
      </c>
      <c r="AB16" s="32">
        <v>77904.989006471515</v>
      </c>
    </row>
    <row r="17" spans="1:210" ht="12" customHeight="1">
      <c r="A17" s="212" t="s">
        <v>68</v>
      </c>
      <c r="B17" s="215">
        <v>47730.729848923685</v>
      </c>
      <c r="C17" s="30">
        <v>22786.966511717652</v>
      </c>
      <c r="D17" s="30">
        <v>24943.763337184824</v>
      </c>
      <c r="E17" s="33">
        <v>12033.614093521654</v>
      </c>
      <c r="F17" s="30">
        <v>5659.0359828852124</v>
      </c>
      <c r="G17" s="31">
        <v>6374.5781106373033</v>
      </c>
      <c r="H17" s="30">
        <v>35697.11575538625</v>
      </c>
      <c r="I17" s="30">
        <v>17127.930528830617</v>
      </c>
      <c r="J17" s="32">
        <v>18569.185226545836</v>
      </c>
      <c r="K17" s="30">
        <v>49340.772041011209</v>
      </c>
      <c r="L17" s="30">
        <v>23555.611316236525</v>
      </c>
      <c r="M17" s="30">
        <v>25785.16072478412</v>
      </c>
      <c r="N17" s="33">
        <v>12439.529244528208</v>
      </c>
      <c r="O17" s="30">
        <v>5849.9253057176411</v>
      </c>
      <c r="P17" s="31">
        <v>6589.6039388105964</v>
      </c>
      <c r="Q17" s="30">
        <v>36901.242796490485</v>
      </c>
      <c r="R17" s="30">
        <v>17705.686010517977</v>
      </c>
      <c r="S17" s="32">
        <v>19195.556785972443</v>
      </c>
      <c r="T17" s="30">
        <v>51000.214652362214</v>
      </c>
      <c r="U17" s="30">
        <v>24347.840208036585</v>
      </c>
      <c r="V17" s="30">
        <v>26652.374444336107</v>
      </c>
      <c r="W17" s="33">
        <v>12857.898962709107</v>
      </c>
      <c r="X17" s="30">
        <v>6046.6716257288626</v>
      </c>
      <c r="Y17" s="31">
        <v>6811.2273369803142</v>
      </c>
      <c r="Z17" s="30">
        <v>38142.315689661009</v>
      </c>
      <c r="AA17" s="30">
        <v>18301.168582309801</v>
      </c>
      <c r="AB17" s="32">
        <v>19841.147107357738</v>
      </c>
    </row>
    <row r="18" spans="1:210" ht="12" customHeight="1">
      <c r="A18" s="212" t="s">
        <v>74</v>
      </c>
      <c r="B18" s="215">
        <v>108455.38842026881</v>
      </c>
      <c r="C18" s="30">
        <v>52376.638774057319</v>
      </c>
      <c r="D18" s="30">
        <v>56078.749646357697</v>
      </c>
      <c r="E18" s="33">
        <v>6111.9378826903157</v>
      </c>
      <c r="F18" s="30">
        <v>2981.7278250737272</v>
      </c>
      <c r="G18" s="31">
        <v>3130.210057616755</v>
      </c>
      <c r="H18" s="30">
        <v>102343.45053759593</v>
      </c>
      <c r="I18" s="30">
        <v>49394.910948980098</v>
      </c>
      <c r="J18" s="32">
        <v>52948.539588736952</v>
      </c>
      <c r="K18" s="30">
        <v>112113.78107160742</v>
      </c>
      <c r="L18" s="30">
        <v>54143.395716021565</v>
      </c>
      <c r="M18" s="30">
        <v>57970.385355583916</v>
      </c>
      <c r="N18" s="33">
        <v>6318.1043900511095</v>
      </c>
      <c r="O18" s="30">
        <v>3082.3067941986142</v>
      </c>
      <c r="P18" s="31">
        <v>3235.79759585278</v>
      </c>
      <c r="Q18" s="30">
        <v>105795.67668155645</v>
      </c>
      <c r="R18" s="30">
        <v>51061.08892182562</v>
      </c>
      <c r="S18" s="32">
        <v>54734.587759733251</v>
      </c>
      <c r="T18" s="30">
        <v>115884.42303640871</v>
      </c>
      <c r="U18" s="30">
        <v>55964.361506743211</v>
      </c>
      <c r="V18" s="30">
        <v>59920.061529593127</v>
      </c>
      <c r="W18" s="33">
        <v>6530.5966396487647</v>
      </c>
      <c r="X18" s="30">
        <v>3185.9717962646414</v>
      </c>
      <c r="Y18" s="31">
        <v>3344.6248433839651</v>
      </c>
      <c r="Z18" s="30">
        <v>109353.82639675279</v>
      </c>
      <c r="AA18" s="30">
        <v>52778.389710480915</v>
      </c>
      <c r="AB18" s="32">
        <v>56575.436686211222</v>
      </c>
    </row>
    <row r="19" spans="1:210" ht="12" customHeight="1">
      <c r="A19" s="212" t="s">
        <v>78</v>
      </c>
      <c r="B19" s="215">
        <v>105799.03768982596</v>
      </c>
      <c r="C19" s="30">
        <v>51599.363444808558</v>
      </c>
      <c r="D19" s="30">
        <v>54199.674245150069</v>
      </c>
      <c r="E19" s="33">
        <v>18097.159523761995</v>
      </c>
      <c r="F19" s="30">
        <v>8921.1582580696231</v>
      </c>
      <c r="G19" s="31">
        <v>9176.0012656935942</v>
      </c>
      <c r="H19" s="30">
        <v>87701.878166116279</v>
      </c>
      <c r="I19" s="30">
        <v>42678.205186727682</v>
      </c>
      <c r="J19" s="32">
        <v>45023.672979444171</v>
      </c>
      <c r="K19" s="30">
        <v>109367.82691865503</v>
      </c>
      <c r="L19" s="30">
        <v>53339.901511031683</v>
      </c>
      <c r="M19" s="30">
        <v>56027.925407617251</v>
      </c>
      <c r="N19" s="33">
        <v>18707.608818860837</v>
      </c>
      <c r="O19" s="30">
        <v>9222.0847522491222</v>
      </c>
      <c r="P19" s="31">
        <v>9485.5240666118152</v>
      </c>
      <c r="Q19" s="30">
        <v>90660.218099794307</v>
      </c>
      <c r="R19" s="30">
        <v>44117.8167587883</v>
      </c>
      <c r="S19" s="32">
        <v>46542.401341009907</v>
      </c>
      <c r="T19" s="30">
        <v>113046.11618725891</v>
      </c>
      <c r="U19" s="30">
        <v>55133.843960473889</v>
      </c>
      <c r="V19" s="30">
        <v>57912.272226705798</v>
      </c>
      <c r="W19" s="33">
        <v>19336.788338078277</v>
      </c>
      <c r="X19" s="30">
        <v>9532.2444795986266</v>
      </c>
      <c r="Y19" s="31">
        <v>9804.5438584815493</v>
      </c>
      <c r="Z19" s="30">
        <v>93709.327849152643</v>
      </c>
      <c r="AA19" s="30">
        <v>45601.599480882614</v>
      </c>
      <c r="AB19" s="32">
        <v>48107.728368231983</v>
      </c>
    </row>
    <row r="20" spans="1:210" ht="12" customHeight="1">
      <c r="A20" s="212" t="s">
        <v>82</v>
      </c>
      <c r="B20" s="215">
        <v>80649.426285514521</v>
      </c>
      <c r="C20" s="30">
        <v>39039.212352310984</v>
      </c>
      <c r="D20" s="30">
        <v>41610.213933231098</v>
      </c>
      <c r="E20" s="33">
        <v>1874.9832068084556</v>
      </c>
      <c r="F20" s="30">
        <v>880.15206911126188</v>
      </c>
      <c r="G20" s="31">
        <v>994.83113769719705</v>
      </c>
      <c r="H20" s="30">
        <v>78774.443078711862</v>
      </c>
      <c r="I20" s="30">
        <v>38159.060283198523</v>
      </c>
      <c r="J20" s="32">
        <v>40615.382795532634</v>
      </c>
      <c r="K20" s="30">
        <v>83369.87450618764</v>
      </c>
      <c r="L20" s="30">
        <v>40356.074240502596</v>
      </c>
      <c r="M20" s="30">
        <v>43013.800265700105</v>
      </c>
      <c r="N20" s="33">
        <v>1938.229716594346</v>
      </c>
      <c r="O20" s="30">
        <v>909.84115979214971</v>
      </c>
      <c r="P20" s="31">
        <v>1028.3885568021583</v>
      </c>
      <c r="Q20" s="30">
        <v>81431.644789593513</v>
      </c>
      <c r="R20" s="30">
        <v>39446.233080711158</v>
      </c>
      <c r="S20" s="32">
        <v>41985.411708898173</v>
      </c>
      <c r="T20" s="30">
        <v>86173.793385796205</v>
      </c>
      <c r="U20" s="30">
        <v>41713.340988694988</v>
      </c>
      <c r="V20" s="30">
        <v>44460.452397077825</v>
      </c>
      <c r="W20" s="33">
        <v>2003.4167991889472</v>
      </c>
      <c r="X20" s="30">
        <v>940.44119152396456</v>
      </c>
      <c r="Y20" s="31">
        <v>1062.9756076649385</v>
      </c>
      <c r="Z20" s="30">
        <v>84170.376586605344</v>
      </c>
      <c r="AA20" s="30">
        <v>40772.899797171762</v>
      </c>
      <c r="AB20" s="32">
        <v>43397.476789413478</v>
      </c>
    </row>
    <row r="21" spans="1:210" ht="12" customHeight="1">
      <c r="A21" s="212" t="s">
        <v>86</v>
      </c>
      <c r="B21" s="215">
        <v>51821.072934908021</v>
      </c>
      <c r="C21" s="30">
        <v>24885.34630916825</v>
      </c>
      <c r="D21" s="30">
        <v>26935.72662571376</v>
      </c>
      <c r="E21" s="33">
        <v>3168.0027960780899</v>
      </c>
      <c r="F21" s="30">
        <v>1510.7881631413873</v>
      </c>
      <c r="G21" s="31">
        <v>1657.2146329366251</v>
      </c>
      <c r="H21" s="30">
        <v>48653.070138825802</v>
      </c>
      <c r="I21" s="30">
        <v>23374.558146026313</v>
      </c>
      <c r="J21" s="32">
        <v>25278.511992776555</v>
      </c>
      <c r="K21" s="30">
        <v>53569.089655544063</v>
      </c>
      <c r="L21" s="30">
        <v>25724.77318678076</v>
      </c>
      <c r="M21" s="30">
        <v>27844.316468777848</v>
      </c>
      <c r="N21" s="33">
        <v>3274.8651504267254</v>
      </c>
      <c r="O21" s="30">
        <v>1561.7497280223638</v>
      </c>
      <c r="P21" s="31">
        <v>1713.1154224043626</v>
      </c>
      <c r="Q21" s="30">
        <v>50294.22450511955</v>
      </c>
      <c r="R21" s="30">
        <v>24163.023458758191</v>
      </c>
      <c r="S21" s="32">
        <v>26131.201046373084</v>
      </c>
      <c r="T21" s="30">
        <v>55370.740224607878</v>
      </c>
      <c r="U21" s="30">
        <v>26589.955935805418</v>
      </c>
      <c r="V21" s="30">
        <v>28780.784288814946</v>
      </c>
      <c r="W21" s="33">
        <v>3385.0063288531951</v>
      </c>
      <c r="X21" s="30">
        <v>1614.2749306033968</v>
      </c>
      <c r="Y21" s="31">
        <v>1770.7313982498779</v>
      </c>
      <c r="Z21" s="30">
        <v>51985.733895756777</v>
      </c>
      <c r="AA21" s="30">
        <v>24975.681005202689</v>
      </c>
      <c r="AB21" s="32">
        <v>27010.052890565548</v>
      </c>
    </row>
    <row r="22" spans="1:210" ht="12" customHeight="1">
      <c r="A22" s="212" t="s">
        <v>90</v>
      </c>
      <c r="B22" s="215">
        <v>49179.688561060932</v>
      </c>
      <c r="C22" s="30">
        <v>23183.3539006176</v>
      </c>
      <c r="D22" s="30">
        <v>25996.334660420685</v>
      </c>
      <c r="E22" s="33">
        <v>14924.268036262676</v>
      </c>
      <c r="F22" s="30">
        <v>6791.0652215617574</v>
      </c>
      <c r="G22" s="31">
        <v>8133.2028147027786</v>
      </c>
      <c r="H22" s="30">
        <v>34255.420524777306</v>
      </c>
      <c r="I22" s="30">
        <v>16392.288679053519</v>
      </c>
      <c r="J22" s="32">
        <v>17863.131845715627</v>
      </c>
      <c r="K22" s="30">
        <v>50838.606700956414</v>
      </c>
      <c r="L22" s="30">
        <v>23965.369554956014</v>
      </c>
      <c r="M22" s="30">
        <v>26873.237146014155</v>
      </c>
      <c r="N22" s="33">
        <v>15427.690072778769</v>
      </c>
      <c r="O22" s="30">
        <v>7020.1398988347155</v>
      </c>
      <c r="P22" s="31">
        <v>8407.5501739444735</v>
      </c>
      <c r="Q22" s="30">
        <v>35410.916628188519</v>
      </c>
      <c r="R22" s="30">
        <v>16945.229656119664</v>
      </c>
      <c r="S22" s="32">
        <v>18465.686972068601</v>
      </c>
      <c r="T22" s="30">
        <v>52548.424905487947</v>
      </c>
      <c r="U22" s="30">
        <v>24771.379550162212</v>
      </c>
      <c r="V22" s="30">
        <v>27777.045355337428</v>
      </c>
      <c r="W22" s="33">
        <v>15946.558449632377</v>
      </c>
      <c r="X22" s="30">
        <v>7256.2432025314083</v>
      </c>
      <c r="Y22" s="31">
        <v>8690.3152471011163</v>
      </c>
      <c r="Z22" s="30">
        <v>36601.866455866635</v>
      </c>
      <c r="AA22" s="30">
        <v>17515.136347633201</v>
      </c>
      <c r="AB22" s="32">
        <v>19086.730108238909</v>
      </c>
    </row>
    <row r="23" spans="1:210" ht="12" customHeight="1" thickBot="1">
      <c r="A23" s="213" t="s">
        <v>94</v>
      </c>
      <c r="B23" s="216">
        <v>63480.555324116642</v>
      </c>
      <c r="C23" s="35">
        <v>30066.940436600529</v>
      </c>
      <c r="D23" s="35">
        <v>33413.614887479787</v>
      </c>
      <c r="E23" s="38">
        <v>10853.342537055834</v>
      </c>
      <c r="F23" s="35">
        <v>5122.5139835219397</v>
      </c>
      <c r="G23" s="36">
        <v>5730.8285535344739</v>
      </c>
      <c r="H23" s="35">
        <v>52627.212787046621</v>
      </c>
      <c r="I23" s="35">
        <v>24944.426453076896</v>
      </c>
      <c r="J23" s="37">
        <v>27682.786333943543</v>
      </c>
      <c r="K23" s="35">
        <v>65621.867069641012</v>
      </c>
      <c r="L23" s="35">
        <v>31081.151676278598</v>
      </c>
      <c r="M23" s="35">
        <v>34540.715393384147</v>
      </c>
      <c r="N23" s="38">
        <v>11219.44503466071</v>
      </c>
      <c r="O23" s="35">
        <v>5295.3054675258409</v>
      </c>
      <c r="P23" s="36">
        <v>5924.1395671349292</v>
      </c>
      <c r="Q23" s="35">
        <v>54402.42203498671</v>
      </c>
      <c r="R23" s="35">
        <v>25785.84620875186</v>
      </c>
      <c r="S23" s="37">
        <v>28616.575826250009</v>
      </c>
      <c r="T23" s="35">
        <v>67828.880011426227</v>
      </c>
      <c r="U23" s="35">
        <v>32126.481641089307</v>
      </c>
      <c r="V23" s="35">
        <v>35702.398370347197</v>
      </c>
      <c r="W23" s="38">
        <v>11596.780540291802</v>
      </c>
      <c r="X23" s="35">
        <v>5473.398658399994</v>
      </c>
      <c r="Y23" s="36">
        <v>6123.3818818918789</v>
      </c>
      <c r="Z23" s="35">
        <v>56232.09947113711</v>
      </c>
      <c r="AA23" s="35">
        <v>26653.082982691154</v>
      </c>
      <c r="AB23" s="37">
        <v>29579.016488457983</v>
      </c>
    </row>
    <row r="24" spans="1:210">
      <c r="A24" s="260" t="s">
        <v>118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BD24" s="217"/>
      <c r="BE24" s="217"/>
      <c r="BF24" s="217"/>
      <c r="BG24" s="217"/>
      <c r="BH24" s="217"/>
      <c r="BI24" s="217"/>
      <c r="BJ24" s="217"/>
      <c r="BK24" s="217"/>
      <c r="BL24" s="217"/>
      <c r="DO24" s="217"/>
      <c r="DP24" s="217"/>
      <c r="DQ24" s="217"/>
      <c r="DR24" s="217"/>
      <c r="DS24" s="217"/>
      <c r="DT24" s="217"/>
      <c r="DU24" s="217"/>
      <c r="DV24" s="217"/>
      <c r="DW24" s="217"/>
      <c r="DX24" s="217"/>
      <c r="DY24" s="217"/>
      <c r="DZ24" s="217"/>
      <c r="EA24" s="217"/>
      <c r="EB24" s="217"/>
      <c r="EC24" s="217"/>
      <c r="ED24" s="217"/>
      <c r="EE24" s="217"/>
      <c r="EF24" s="217"/>
      <c r="EP24" s="218"/>
      <c r="GR24" s="218"/>
      <c r="GS24" s="218"/>
      <c r="HA24" s="218"/>
      <c r="HB24" s="218"/>
    </row>
  </sheetData>
  <mergeCells count="5">
    <mergeCell ref="T3:AB3"/>
    <mergeCell ref="A3:A5"/>
    <mergeCell ref="A2:J2"/>
    <mergeCell ref="B3:J3"/>
    <mergeCell ref="K3:S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67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9" sqref="A29"/>
    </sheetView>
  </sheetViews>
  <sheetFormatPr defaultRowHeight="12" customHeight="1"/>
  <cols>
    <col min="1" max="1" width="22.375" style="5" customWidth="1"/>
    <col min="2" max="28" width="10.25" style="5" customWidth="1"/>
    <col min="29" max="166" width="9" style="5"/>
    <col min="167" max="167" width="10.875" style="5" customWidth="1"/>
    <col min="168" max="170" width="8.375" style="5" customWidth="1"/>
    <col min="171" max="171" width="0.75" style="5" customWidth="1"/>
    <col min="172" max="174" width="8.375" style="5" customWidth="1"/>
    <col min="175" max="175" width="0.75" style="5" customWidth="1"/>
    <col min="176" max="178" width="8.375" style="5" customWidth="1"/>
    <col min="179" max="422" width="9" style="5"/>
    <col min="423" max="423" width="10.875" style="5" customWidth="1"/>
    <col min="424" max="426" width="8.375" style="5" customWidth="1"/>
    <col min="427" max="427" width="0.75" style="5" customWidth="1"/>
    <col min="428" max="430" width="8.375" style="5" customWidth="1"/>
    <col min="431" max="431" width="0.75" style="5" customWidth="1"/>
    <col min="432" max="434" width="8.375" style="5" customWidth="1"/>
    <col min="435" max="678" width="9" style="5"/>
    <col min="679" max="679" width="10.875" style="5" customWidth="1"/>
    <col min="680" max="682" width="8.375" style="5" customWidth="1"/>
    <col min="683" max="683" width="0.75" style="5" customWidth="1"/>
    <col min="684" max="686" width="8.375" style="5" customWidth="1"/>
    <col min="687" max="687" width="0.75" style="5" customWidth="1"/>
    <col min="688" max="690" width="8.375" style="5" customWidth="1"/>
    <col min="691" max="934" width="9" style="5"/>
    <col min="935" max="935" width="10.875" style="5" customWidth="1"/>
    <col min="936" max="938" width="8.375" style="5" customWidth="1"/>
    <col min="939" max="939" width="0.75" style="5" customWidth="1"/>
    <col min="940" max="942" width="8.375" style="5" customWidth="1"/>
    <col min="943" max="943" width="0.75" style="5" customWidth="1"/>
    <col min="944" max="946" width="8.375" style="5" customWidth="1"/>
    <col min="947" max="1190" width="9" style="5"/>
    <col min="1191" max="1191" width="10.875" style="5" customWidth="1"/>
    <col min="1192" max="1194" width="8.375" style="5" customWidth="1"/>
    <col min="1195" max="1195" width="0.75" style="5" customWidth="1"/>
    <col min="1196" max="1198" width="8.375" style="5" customWidth="1"/>
    <col min="1199" max="1199" width="0.75" style="5" customWidth="1"/>
    <col min="1200" max="1202" width="8.375" style="5" customWidth="1"/>
    <col min="1203" max="1446" width="9" style="5"/>
    <col min="1447" max="1447" width="10.875" style="5" customWidth="1"/>
    <col min="1448" max="1450" width="8.375" style="5" customWidth="1"/>
    <col min="1451" max="1451" width="0.75" style="5" customWidth="1"/>
    <col min="1452" max="1454" width="8.375" style="5" customWidth="1"/>
    <col min="1455" max="1455" width="0.75" style="5" customWidth="1"/>
    <col min="1456" max="1458" width="8.375" style="5" customWidth="1"/>
    <col min="1459" max="1702" width="9" style="5"/>
    <col min="1703" max="1703" width="10.875" style="5" customWidth="1"/>
    <col min="1704" max="1706" width="8.375" style="5" customWidth="1"/>
    <col min="1707" max="1707" width="0.75" style="5" customWidth="1"/>
    <col min="1708" max="1710" width="8.375" style="5" customWidth="1"/>
    <col min="1711" max="1711" width="0.75" style="5" customWidth="1"/>
    <col min="1712" max="1714" width="8.375" style="5" customWidth="1"/>
    <col min="1715" max="1958" width="9" style="5"/>
    <col min="1959" max="1959" width="10.875" style="5" customWidth="1"/>
    <col min="1960" max="1962" width="8.375" style="5" customWidth="1"/>
    <col min="1963" max="1963" width="0.75" style="5" customWidth="1"/>
    <col min="1964" max="1966" width="8.375" style="5" customWidth="1"/>
    <col min="1967" max="1967" width="0.75" style="5" customWidth="1"/>
    <col min="1968" max="1970" width="8.375" style="5" customWidth="1"/>
    <col min="1971" max="2214" width="9" style="5"/>
    <col min="2215" max="2215" width="10.875" style="5" customWidth="1"/>
    <col min="2216" max="2218" width="8.375" style="5" customWidth="1"/>
    <col min="2219" max="2219" width="0.75" style="5" customWidth="1"/>
    <col min="2220" max="2222" width="8.375" style="5" customWidth="1"/>
    <col min="2223" max="2223" width="0.75" style="5" customWidth="1"/>
    <col min="2224" max="2226" width="8.375" style="5" customWidth="1"/>
    <col min="2227" max="2470" width="9" style="5"/>
    <col min="2471" max="2471" width="10.875" style="5" customWidth="1"/>
    <col min="2472" max="2474" width="8.375" style="5" customWidth="1"/>
    <col min="2475" max="2475" width="0.75" style="5" customWidth="1"/>
    <col min="2476" max="2478" width="8.375" style="5" customWidth="1"/>
    <col min="2479" max="2479" width="0.75" style="5" customWidth="1"/>
    <col min="2480" max="2482" width="8.375" style="5" customWidth="1"/>
    <col min="2483" max="2726" width="9" style="5"/>
    <col min="2727" max="2727" width="10.875" style="5" customWidth="1"/>
    <col min="2728" max="2730" width="8.375" style="5" customWidth="1"/>
    <col min="2731" max="2731" width="0.75" style="5" customWidth="1"/>
    <col min="2732" max="2734" width="8.375" style="5" customWidth="1"/>
    <col min="2735" max="2735" width="0.75" style="5" customWidth="1"/>
    <col min="2736" max="2738" width="8.375" style="5" customWidth="1"/>
    <col min="2739" max="2982" width="9" style="5"/>
    <col min="2983" max="2983" width="10.875" style="5" customWidth="1"/>
    <col min="2984" max="2986" width="8.375" style="5" customWidth="1"/>
    <col min="2987" max="2987" width="0.75" style="5" customWidth="1"/>
    <col min="2988" max="2990" width="8.375" style="5" customWidth="1"/>
    <col min="2991" max="2991" width="0.75" style="5" customWidth="1"/>
    <col min="2992" max="2994" width="8.375" style="5" customWidth="1"/>
    <col min="2995" max="3238" width="9" style="5"/>
    <col min="3239" max="3239" width="10.875" style="5" customWidth="1"/>
    <col min="3240" max="3242" width="8.375" style="5" customWidth="1"/>
    <col min="3243" max="3243" width="0.75" style="5" customWidth="1"/>
    <col min="3244" max="3246" width="8.375" style="5" customWidth="1"/>
    <col min="3247" max="3247" width="0.75" style="5" customWidth="1"/>
    <col min="3248" max="3250" width="8.375" style="5" customWidth="1"/>
    <col min="3251" max="3494" width="9" style="5"/>
    <col min="3495" max="3495" width="10.875" style="5" customWidth="1"/>
    <col min="3496" max="3498" width="8.375" style="5" customWidth="1"/>
    <col min="3499" max="3499" width="0.75" style="5" customWidth="1"/>
    <col min="3500" max="3502" width="8.375" style="5" customWidth="1"/>
    <col min="3503" max="3503" width="0.75" style="5" customWidth="1"/>
    <col min="3504" max="3506" width="8.375" style="5" customWidth="1"/>
    <col min="3507" max="3750" width="9" style="5"/>
    <col min="3751" max="3751" width="10.875" style="5" customWidth="1"/>
    <col min="3752" max="3754" width="8.375" style="5" customWidth="1"/>
    <col min="3755" max="3755" width="0.75" style="5" customWidth="1"/>
    <col min="3756" max="3758" width="8.375" style="5" customWidth="1"/>
    <col min="3759" max="3759" width="0.75" style="5" customWidth="1"/>
    <col min="3760" max="3762" width="8.375" style="5" customWidth="1"/>
    <col min="3763" max="4006" width="9" style="5"/>
    <col min="4007" max="4007" width="10.875" style="5" customWidth="1"/>
    <col min="4008" max="4010" width="8.375" style="5" customWidth="1"/>
    <col min="4011" max="4011" width="0.75" style="5" customWidth="1"/>
    <col min="4012" max="4014" width="8.375" style="5" customWidth="1"/>
    <col min="4015" max="4015" width="0.75" style="5" customWidth="1"/>
    <col min="4016" max="4018" width="8.375" style="5" customWidth="1"/>
    <col min="4019" max="4262" width="9" style="5"/>
    <col min="4263" max="4263" width="10.875" style="5" customWidth="1"/>
    <col min="4264" max="4266" width="8.375" style="5" customWidth="1"/>
    <col min="4267" max="4267" width="0.75" style="5" customWidth="1"/>
    <col min="4268" max="4270" width="8.375" style="5" customWidth="1"/>
    <col min="4271" max="4271" width="0.75" style="5" customWidth="1"/>
    <col min="4272" max="4274" width="8.375" style="5" customWidth="1"/>
    <col min="4275" max="4518" width="9" style="5"/>
    <col min="4519" max="4519" width="10.875" style="5" customWidth="1"/>
    <col min="4520" max="4522" width="8.375" style="5" customWidth="1"/>
    <col min="4523" max="4523" width="0.75" style="5" customWidth="1"/>
    <col min="4524" max="4526" width="8.375" style="5" customWidth="1"/>
    <col min="4527" max="4527" width="0.75" style="5" customWidth="1"/>
    <col min="4528" max="4530" width="8.375" style="5" customWidth="1"/>
    <col min="4531" max="4774" width="9" style="5"/>
    <col min="4775" max="4775" width="10.875" style="5" customWidth="1"/>
    <col min="4776" max="4778" width="8.375" style="5" customWidth="1"/>
    <col min="4779" max="4779" width="0.75" style="5" customWidth="1"/>
    <col min="4780" max="4782" width="8.375" style="5" customWidth="1"/>
    <col min="4783" max="4783" width="0.75" style="5" customWidth="1"/>
    <col min="4784" max="4786" width="8.375" style="5" customWidth="1"/>
    <col min="4787" max="5030" width="9" style="5"/>
    <col min="5031" max="5031" width="10.875" style="5" customWidth="1"/>
    <col min="5032" max="5034" width="8.375" style="5" customWidth="1"/>
    <col min="5035" max="5035" width="0.75" style="5" customWidth="1"/>
    <col min="5036" max="5038" width="8.375" style="5" customWidth="1"/>
    <col min="5039" max="5039" width="0.75" style="5" customWidth="1"/>
    <col min="5040" max="5042" width="8.375" style="5" customWidth="1"/>
    <col min="5043" max="5286" width="9" style="5"/>
    <col min="5287" max="5287" width="10.875" style="5" customWidth="1"/>
    <col min="5288" max="5290" width="8.375" style="5" customWidth="1"/>
    <col min="5291" max="5291" width="0.75" style="5" customWidth="1"/>
    <col min="5292" max="5294" width="8.375" style="5" customWidth="1"/>
    <col min="5295" max="5295" width="0.75" style="5" customWidth="1"/>
    <col min="5296" max="5298" width="8.375" style="5" customWidth="1"/>
    <col min="5299" max="5542" width="9" style="5"/>
    <col min="5543" max="5543" width="10.875" style="5" customWidth="1"/>
    <col min="5544" max="5546" width="8.375" style="5" customWidth="1"/>
    <col min="5547" max="5547" width="0.75" style="5" customWidth="1"/>
    <col min="5548" max="5550" width="8.375" style="5" customWidth="1"/>
    <col min="5551" max="5551" width="0.75" style="5" customWidth="1"/>
    <col min="5552" max="5554" width="8.375" style="5" customWidth="1"/>
    <col min="5555" max="5798" width="9" style="5"/>
    <col min="5799" max="5799" width="10.875" style="5" customWidth="1"/>
    <col min="5800" max="5802" width="8.375" style="5" customWidth="1"/>
    <col min="5803" max="5803" width="0.75" style="5" customWidth="1"/>
    <col min="5804" max="5806" width="8.375" style="5" customWidth="1"/>
    <col min="5807" max="5807" width="0.75" style="5" customWidth="1"/>
    <col min="5808" max="5810" width="8.375" style="5" customWidth="1"/>
    <col min="5811" max="6054" width="9" style="5"/>
    <col min="6055" max="6055" width="10.875" style="5" customWidth="1"/>
    <col min="6056" max="6058" width="8.375" style="5" customWidth="1"/>
    <col min="6059" max="6059" width="0.75" style="5" customWidth="1"/>
    <col min="6060" max="6062" width="8.375" style="5" customWidth="1"/>
    <col min="6063" max="6063" width="0.75" style="5" customWidth="1"/>
    <col min="6064" max="6066" width="8.375" style="5" customWidth="1"/>
    <col min="6067" max="6310" width="9" style="5"/>
    <col min="6311" max="6311" width="10.875" style="5" customWidth="1"/>
    <col min="6312" max="6314" width="8.375" style="5" customWidth="1"/>
    <col min="6315" max="6315" width="0.75" style="5" customWidth="1"/>
    <col min="6316" max="6318" width="8.375" style="5" customWidth="1"/>
    <col min="6319" max="6319" width="0.75" style="5" customWidth="1"/>
    <col min="6320" max="6322" width="8.375" style="5" customWidth="1"/>
    <col min="6323" max="6566" width="9" style="5"/>
    <col min="6567" max="6567" width="10.875" style="5" customWidth="1"/>
    <col min="6568" max="6570" width="8.375" style="5" customWidth="1"/>
    <col min="6571" max="6571" width="0.75" style="5" customWidth="1"/>
    <col min="6572" max="6574" width="8.375" style="5" customWidth="1"/>
    <col min="6575" max="6575" width="0.75" style="5" customWidth="1"/>
    <col min="6576" max="6578" width="8.375" style="5" customWidth="1"/>
    <col min="6579" max="6822" width="9" style="5"/>
    <col min="6823" max="6823" width="10.875" style="5" customWidth="1"/>
    <col min="6824" max="6826" width="8.375" style="5" customWidth="1"/>
    <col min="6827" max="6827" width="0.75" style="5" customWidth="1"/>
    <col min="6828" max="6830" width="8.375" style="5" customWidth="1"/>
    <col min="6831" max="6831" width="0.75" style="5" customWidth="1"/>
    <col min="6832" max="6834" width="8.375" style="5" customWidth="1"/>
    <col min="6835" max="7078" width="9" style="5"/>
    <col min="7079" max="7079" width="10.875" style="5" customWidth="1"/>
    <col min="7080" max="7082" width="8.375" style="5" customWidth="1"/>
    <col min="7083" max="7083" width="0.75" style="5" customWidth="1"/>
    <col min="7084" max="7086" width="8.375" style="5" customWidth="1"/>
    <col min="7087" max="7087" width="0.75" style="5" customWidth="1"/>
    <col min="7088" max="7090" width="8.375" style="5" customWidth="1"/>
    <col min="7091" max="7334" width="9" style="5"/>
    <col min="7335" max="7335" width="10.875" style="5" customWidth="1"/>
    <col min="7336" max="7338" width="8.375" style="5" customWidth="1"/>
    <col min="7339" max="7339" width="0.75" style="5" customWidth="1"/>
    <col min="7340" max="7342" width="8.375" style="5" customWidth="1"/>
    <col min="7343" max="7343" width="0.75" style="5" customWidth="1"/>
    <col min="7344" max="7346" width="8.375" style="5" customWidth="1"/>
    <col min="7347" max="7590" width="9" style="5"/>
    <col min="7591" max="7591" width="10.875" style="5" customWidth="1"/>
    <col min="7592" max="7594" width="8.375" style="5" customWidth="1"/>
    <col min="7595" max="7595" width="0.75" style="5" customWidth="1"/>
    <col min="7596" max="7598" width="8.375" style="5" customWidth="1"/>
    <col min="7599" max="7599" width="0.75" style="5" customWidth="1"/>
    <col min="7600" max="7602" width="8.375" style="5" customWidth="1"/>
    <col min="7603" max="7846" width="9" style="5"/>
    <col min="7847" max="7847" width="10.875" style="5" customWidth="1"/>
    <col min="7848" max="7850" width="8.375" style="5" customWidth="1"/>
    <col min="7851" max="7851" width="0.75" style="5" customWidth="1"/>
    <col min="7852" max="7854" width="8.375" style="5" customWidth="1"/>
    <col min="7855" max="7855" width="0.75" style="5" customWidth="1"/>
    <col min="7856" max="7858" width="8.375" style="5" customWidth="1"/>
    <col min="7859" max="8102" width="9" style="5"/>
    <col min="8103" max="8103" width="10.875" style="5" customWidth="1"/>
    <col min="8104" max="8106" width="8.375" style="5" customWidth="1"/>
    <col min="8107" max="8107" width="0.75" style="5" customWidth="1"/>
    <col min="8108" max="8110" width="8.375" style="5" customWidth="1"/>
    <col min="8111" max="8111" width="0.75" style="5" customWidth="1"/>
    <col min="8112" max="8114" width="8.375" style="5" customWidth="1"/>
    <col min="8115" max="8358" width="9" style="5"/>
    <col min="8359" max="8359" width="10.875" style="5" customWidth="1"/>
    <col min="8360" max="8362" width="8.375" style="5" customWidth="1"/>
    <col min="8363" max="8363" width="0.75" style="5" customWidth="1"/>
    <col min="8364" max="8366" width="8.375" style="5" customWidth="1"/>
    <col min="8367" max="8367" width="0.75" style="5" customWidth="1"/>
    <col min="8368" max="8370" width="8.375" style="5" customWidth="1"/>
    <col min="8371" max="8614" width="9" style="5"/>
    <col min="8615" max="8615" width="10.875" style="5" customWidth="1"/>
    <col min="8616" max="8618" width="8.375" style="5" customWidth="1"/>
    <col min="8619" max="8619" width="0.75" style="5" customWidth="1"/>
    <col min="8620" max="8622" width="8.375" style="5" customWidth="1"/>
    <col min="8623" max="8623" width="0.75" style="5" customWidth="1"/>
    <col min="8624" max="8626" width="8.375" style="5" customWidth="1"/>
    <col min="8627" max="8870" width="9" style="5"/>
    <col min="8871" max="8871" width="10.875" style="5" customWidth="1"/>
    <col min="8872" max="8874" width="8.375" style="5" customWidth="1"/>
    <col min="8875" max="8875" width="0.75" style="5" customWidth="1"/>
    <col min="8876" max="8878" width="8.375" style="5" customWidth="1"/>
    <col min="8879" max="8879" width="0.75" style="5" customWidth="1"/>
    <col min="8880" max="8882" width="8.375" style="5" customWidth="1"/>
    <col min="8883" max="9126" width="9" style="5"/>
    <col min="9127" max="9127" width="10.875" style="5" customWidth="1"/>
    <col min="9128" max="9130" width="8.375" style="5" customWidth="1"/>
    <col min="9131" max="9131" width="0.75" style="5" customWidth="1"/>
    <col min="9132" max="9134" width="8.375" style="5" customWidth="1"/>
    <col min="9135" max="9135" width="0.75" style="5" customWidth="1"/>
    <col min="9136" max="9138" width="8.375" style="5" customWidth="1"/>
    <col min="9139" max="9382" width="9" style="5"/>
    <col min="9383" max="9383" width="10.875" style="5" customWidth="1"/>
    <col min="9384" max="9386" width="8.375" style="5" customWidth="1"/>
    <col min="9387" max="9387" width="0.75" style="5" customWidth="1"/>
    <col min="9388" max="9390" width="8.375" style="5" customWidth="1"/>
    <col min="9391" max="9391" width="0.75" style="5" customWidth="1"/>
    <col min="9392" max="9394" width="8.375" style="5" customWidth="1"/>
    <col min="9395" max="9638" width="9" style="5"/>
    <col min="9639" max="9639" width="10.875" style="5" customWidth="1"/>
    <col min="9640" max="9642" width="8.375" style="5" customWidth="1"/>
    <col min="9643" max="9643" width="0.75" style="5" customWidth="1"/>
    <col min="9644" max="9646" width="8.375" style="5" customWidth="1"/>
    <col min="9647" max="9647" width="0.75" style="5" customWidth="1"/>
    <col min="9648" max="9650" width="8.375" style="5" customWidth="1"/>
    <col min="9651" max="9894" width="9" style="5"/>
    <col min="9895" max="9895" width="10.875" style="5" customWidth="1"/>
    <col min="9896" max="9898" width="8.375" style="5" customWidth="1"/>
    <col min="9899" max="9899" width="0.75" style="5" customWidth="1"/>
    <col min="9900" max="9902" width="8.375" style="5" customWidth="1"/>
    <col min="9903" max="9903" width="0.75" style="5" customWidth="1"/>
    <col min="9904" max="9906" width="8.375" style="5" customWidth="1"/>
    <col min="9907" max="10150" width="9" style="5"/>
    <col min="10151" max="10151" width="10.875" style="5" customWidth="1"/>
    <col min="10152" max="10154" width="8.375" style="5" customWidth="1"/>
    <col min="10155" max="10155" width="0.75" style="5" customWidth="1"/>
    <col min="10156" max="10158" width="8.375" style="5" customWidth="1"/>
    <col min="10159" max="10159" width="0.75" style="5" customWidth="1"/>
    <col min="10160" max="10162" width="8.375" style="5" customWidth="1"/>
    <col min="10163" max="10406" width="9" style="5"/>
    <col min="10407" max="10407" width="10.875" style="5" customWidth="1"/>
    <col min="10408" max="10410" width="8.375" style="5" customWidth="1"/>
    <col min="10411" max="10411" width="0.75" style="5" customWidth="1"/>
    <col min="10412" max="10414" width="8.375" style="5" customWidth="1"/>
    <col min="10415" max="10415" width="0.75" style="5" customWidth="1"/>
    <col min="10416" max="10418" width="8.375" style="5" customWidth="1"/>
    <col min="10419" max="10662" width="9" style="5"/>
    <col min="10663" max="10663" width="10.875" style="5" customWidth="1"/>
    <col min="10664" max="10666" width="8.375" style="5" customWidth="1"/>
    <col min="10667" max="10667" width="0.75" style="5" customWidth="1"/>
    <col min="10668" max="10670" width="8.375" style="5" customWidth="1"/>
    <col min="10671" max="10671" width="0.75" style="5" customWidth="1"/>
    <col min="10672" max="10674" width="8.375" style="5" customWidth="1"/>
    <col min="10675" max="10918" width="9" style="5"/>
    <col min="10919" max="10919" width="10.875" style="5" customWidth="1"/>
    <col min="10920" max="10922" width="8.375" style="5" customWidth="1"/>
    <col min="10923" max="10923" width="0.75" style="5" customWidth="1"/>
    <col min="10924" max="10926" width="8.375" style="5" customWidth="1"/>
    <col min="10927" max="10927" width="0.75" style="5" customWidth="1"/>
    <col min="10928" max="10930" width="8.375" style="5" customWidth="1"/>
    <col min="10931" max="11174" width="9" style="5"/>
    <col min="11175" max="11175" width="10.875" style="5" customWidth="1"/>
    <col min="11176" max="11178" width="8.375" style="5" customWidth="1"/>
    <col min="11179" max="11179" width="0.75" style="5" customWidth="1"/>
    <col min="11180" max="11182" width="8.375" style="5" customWidth="1"/>
    <col min="11183" max="11183" width="0.75" style="5" customWidth="1"/>
    <col min="11184" max="11186" width="8.375" style="5" customWidth="1"/>
    <col min="11187" max="11430" width="9" style="5"/>
    <col min="11431" max="11431" width="10.875" style="5" customWidth="1"/>
    <col min="11432" max="11434" width="8.375" style="5" customWidth="1"/>
    <col min="11435" max="11435" width="0.75" style="5" customWidth="1"/>
    <col min="11436" max="11438" width="8.375" style="5" customWidth="1"/>
    <col min="11439" max="11439" width="0.75" style="5" customWidth="1"/>
    <col min="11440" max="11442" width="8.375" style="5" customWidth="1"/>
    <col min="11443" max="11686" width="9" style="5"/>
    <col min="11687" max="11687" width="10.875" style="5" customWidth="1"/>
    <col min="11688" max="11690" width="8.375" style="5" customWidth="1"/>
    <col min="11691" max="11691" width="0.75" style="5" customWidth="1"/>
    <col min="11692" max="11694" width="8.375" style="5" customWidth="1"/>
    <col min="11695" max="11695" width="0.75" style="5" customWidth="1"/>
    <col min="11696" max="11698" width="8.375" style="5" customWidth="1"/>
    <col min="11699" max="11942" width="9" style="5"/>
    <col min="11943" max="11943" width="10.875" style="5" customWidth="1"/>
    <col min="11944" max="11946" width="8.375" style="5" customWidth="1"/>
    <col min="11947" max="11947" width="0.75" style="5" customWidth="1"/>
    <col min="11948" max="11950" width="8.375" style="5" customWidth="1"/>
    <col min="11951" max="11951" width="0.75" style="5" customWidth="1"/>
    <col min="11952" max="11954" width="8.375" style="5" customWidth="1"/>
    <col min="11955" max="12198" width="9" style="5"/>
    <col min="12199" max="12199" width="10.875" style="5" customWidth="1"/>
    <col min="12200" max="12202" width="8.375" style="5" customWidth="1"/>
    <col min="12203" max="12203" width="0.75" style="5" customWidth="1"/>
    <col min="12204" max="12206" width="8.375" style="5" customWidth="1"/>
    <col min="12207" max="12207" width="0.75" style="5" customWidth="1"/>
    <col min="12208" max="12210" width="8.375" style="5" customWidth="1"/>
    <col min="12211" max="12454" width="9" style="5"/>
    <col min="12455" max="12455" width="10.875" style="5" customWidth="1"/>
    <col min="12456" max="12458" width="8.375" style="5" customWidth="1"/>
    <col min="12459" max="12459" width="0.75" style="5" customWidth="1"/>
    <col min="12460" max="12462" width="8.375" style="5" customWidth="1"/>
    <col min="12463" max="12463" width="0.75" style="5" customWidth="1"/>
    <col min="12464" max="12466" width="8.375" style="5" customWidth="1"/>
    <col min="12467" max="12710" width="9" style="5"/>
    <col min="12711" max="12711" width="10.875" style="5" customWidth="1"/>
    <col min="12712" max="12714" width="8.375" style="5" customWidth="1"/>
    <col min="12715" max="12715" width="0.75" style="5" customWidth="1"/>
    <col min="12716" max="12718" width="8.375" style="5" customWidth="1"/>
    <col min="12719" max="12719" width="0.75" style="5" customWidth="1"/>
    <col min="12720" max="12722" width="8.375" style="5" customWidth="1"/>
    <col min="12723" max="12966" width="9" style="5"/>
    <col min="12967" max="12967" width="10.875" style="5" customWidth="1"/>
    <col min="12968" max="12970" width="8.375" style="5" customWidth="1"/>
    <col min="12971" max="12971" width="0.75" style="5" customWidth="1"/>
    <col min="12972" max="12974" width="8.375" style="5" customWidth="1"/>
    <col min="12975" max="12975" width="0.75" style="5" customWidth="1"/>
    <col min="12976" max="12978" width="8.375" style="5" customWidth="1"/>
    <col min="12979" max="13222" width="9" style="5"/>
    <col min="13223" max="13223" width="10.875" style="5" customWidth="1"/>
    <col min="13224" max="13226" width="8.375" style="5" customWidth="1"/>
    <col min="13227" max="13227" width="0.75" style="5" customWidth="1"/>
    <col min="13228" max="13230" width="8.375" style="5" customWidth="1"/>
    <col min="13231" max="13231" width="0.75" style="5" customWidth="1"/>
    <col min="13232" max="13234" width="8.375" style="5" customWidth="1"/>
    <col min="13235" max="13478" width="9" style="5"/>
    <col min="13479" max="13479" width="10.875" style="5" customWidth="1"/>
    <col min="13480" max="13482" width="8.375" style="5" customWidth="1"/>
    <col min="13483" max="13483" width="0.75" style="5" customWidth="1"/>
    <col min="13484" max="13486" width="8.375" style="5" customWidth="1"/>
    <col min="13487" max="13487" width="0.75" style="5" customWidth="1"/>
    <col min="13488" max="13490" width="8.375" style="5" customWidth="1"/>
    <col min="13491" max="13734" width="9" style="5"/>
    <col min="13735" max="13735" width="10.875" style="5" customWidth="1"/>
    <col min="13736" max="13738" width="8.375" style="5" customWidth="1"/>
    <col min="13739" max="13739" width="0.75" style="5" customWidth="1"/>
    <col min="13740" max="13742" width="8.375" style="5" customWidth="1"/>
    <col min="13743" max="13743" width="0.75" style="5" customWidth="1"/>
    <col min="13744" max="13746" width="8.375" style="5" customWidth="1"/>
    <col min="13747" max="13990" width="9" style="5"/>
    <col min="13991" max="13991" width="10.875" style="5" customWidth="1"/>
    <col min="13992" max="13994" width="8.375" style="5" customWidth="1"/>
    <col min="13995" max="13995" width="0.75" style="5" customWidth="1"/>
    <col min="13996" max="13998" width="8.375" style="5" customWidth="1"/>
    <col min="13999" max="13999" width="0.75" style="5" customWidth="1"/>
    <col min="14000" max="14002" width="8.375" style="5" customWidth="1"/>
    <col min="14003" max="14246" width="9" style="5"/>
    <col min="14247" max="14247" width="10.875" style="5" customWidth="1"/>
    <col min="14248" max="14250" width="8.375" style="5" customWidth="1"/>
    <col min="14251" max="14251" width="0.75" style="5" customWidth="1"/>
    <col min="14252" max="14254" width="8.375" style="5" customWidth="1"/>
    <col min="14255" max="14255" width="0.75" style="5" customWidth="1"/>
    <col min="14256" max="14258" width="8.375" style="5" customWidth="1"/>
    <col min="14259" max="14502" width="9" style="5"/>
    <col min="14503" max="14503" width="10.875" style="5" customWidth="1"/>
    <col min="14504" max="14506" width="8.375" style="5" customWidth="1"/>
    <col min="14507" max="14507" width="0.75" style="5" customWidth="1"/>
    <col min="14508" max="14510" width="8.375" style="5" customWidth="1"/>
    <col min="14511" max="14511" width="0.75" style="5" customWidth="1"/>
    <col min="14512" max="14514" width="8.375" style="5" customWidth="1"/>
    <col min="14515" max="14758" width="9" style="5"/>
    <col min="14759" max="14759" width="10.875" style="5" customWidth="1"/>
    <col min="14760" max="14762" width="8.375" style="5" customWidth="1"/>
    <col min="14763" max="14763" width="0.75" style="5" customWidth="1"/>
    <col min="14764" max="14766" width="8.375" style="5" customWidth="1"/>
    <col min="14767" max="14767" width="0.75" style="5" customWidth="1"/>
    <col min="14768" max="14770" width="8.375" style="5" customWidth="1"/>
    <col min="14771" max="15014" width="9" style="5"/>
    <col min="15015" max="15015" width="10.875" style="5" customWidth="1"/>
    <col min="15016" max="15018" width="8.375" style="5" customWidth="1"/>
    <col min="15019" max="15019" width="0.75" style="5" customWidth="1"/>
    <col min="15020" max="15022" width="8.375" style="5" customWidth="1"/>
    <col min="15023" max="15023" width="0.75" style="5" customWidth="1"/>
    <col min="15024" max="15026" width="8.375" style="5" customWidth="1"/>
    <col min="15027" max="15270" width="9" style="5"/>
    <col min="15271" max="15271" width="10.875" style="5" customWidth="1"/>
    <col min="15272" max="15274" width="8.375" style="5" customWidth="1"/>
    <col min="15275" max="15275" width="0.75" style="5" customWidth="1"/>
    <col min="15276" max="15278" width="8.375" style="5" customWidth="1"/>
    <col min="15279" max="15279" width="0.75" style="5" customWidth="1"/>
    <col min="15280" max="15282" width="8.375" style="5" customWidth="1"/>
    <col min="15283" max="15526" width="9" style="5"/>
    <col min="15527" max="15527" width="10.875" style="5" customWidth="1"/>
    <col min="15528" max="15530" width="8.375" style="5" customWidth="1"/>
    <col min="15531" max="15531" width="0.75" style="5" customWidth="1"/>
    <col min="15532" max="15534" width="8.375" style="5" customWidth="1"/>
    <col min="15535" max="15535" width="0.75" style="5" customWidth="1"/>
    <col min="15536" max="15538" width="8.375" style="5" customWidth="1"/>
    <col min="15539" max="15782" width="9" style="5"/>
    <col min="15783" max="15783" width="10.875" style="5" customWidth="1"/>
    <col min="15784" max="15786" width="8.375" style="5" customWidth="1"/>
    <col min="15787" max="15787" width="0.75" style="5" customWidth="1"/>
    <col min="15788" max="15790" width="8.375" style="5" customWidth="1"/>
    <col min="15791" max="15791" width="0.75" style="5" customWidth="1"/>
    <col min="15792" max="15794" width="8.375" style="5" customWidth="1"/>
    <col min="15795" max="16384" width="9" style="5"/>
  </cols>
  <sheetData>
    <row r="1" spans="1:28" ht="30" customHeight="1" thickBot="1">
      <c r="A1" s="51" t="s">
        <v>100</v>
      </c>
      <c r="B1" s="52"/>
      <c r="C1" s="52"/>
      <c r="D1" s="52"/>
      <c r="E1" s="52"/>
      <c r="F1" s="52"/>
      <c r="G1" s="52"/>
      <c r="H1" s="52"/>
      <c r="I1" s="52"/>
      <c r="J1" s="52"/>
    </row>
    <row r="2" spans="1:28" ht="11.1" customHeight="1">
      <c r="A2" s="232" t="s">
        <v>24</v>
      </c>
      <c r="B2" s="233"/>
      <c r="C2" s="233"/>
      <c r="D2" s="233"/>
      <c r="E2" s="233"/>
      <c r="F2" s="233"/>
      <c r="G2" s="233"/>
      <c r="H2" s="233"/>
      <c r="I2" s="233"/>
      <c r="J2" s="234"/>
      <c r="K2" s="232" t="s">
        <v>25</v>
      </c>
      <c r="L2" s="233"/>
      <c r="M2" s="233"/>
      <c r="N2" s="233"/>
      <c r="O2" s="233"/>
      <c r="P2" s="233"/>
      <c r="Q2" s="233"/>
      <c r="R2" s="233"/>
      <c r="S2" s="234"/>
      <c r="T2" s="232" t="s">
        <v>26</v>
      </c>
      <c r="U2" s="233"/>
      <c r="V2" s="233"/>
      <c r="W2" s="233"/>
      <c r="X2" s="233"/>
      <c r="Y2" s="233"/>
      <c r="Z2" s="233"/>
      <c r="AA2" s="233"/>
      <c r="AB2" s="234"/>
    </row>
    <row r="3" spans="1:28" ht="17.25" customHeight="1" thickBot="1">
      <c r="A3" s="239" t="s">
        <v>55</v>
      </c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5"/>
      <c r="K3" s="11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5"/>
    </row>
    <row r="4" spans="1:28" ht="12.75" customHeight="1" thickBot="1">
      <c r="A4" s="240"/>
      <c r="B4" s="102" t="s">
        <v>0</v>
      </c>
      <c r="C4" s="20" t="s">
        <v>3</v>
      </c>
      <c r="D4" s="21" t="s">
        <v>4</v>
      </c>
      <c r="E4" s="103" t="s">
        <v>0</v>
      </c>
      <c r="F4" s="20" t="s">
        <v>3</v>
      </c>
      <c r="G4" s="21" t="s">
        <v>4</v>
      </c>
      <c r="H4" s="103" t="s">
        <v>0</v>
      </c>
      <c r="I4" s="20" t="s">
        <v>3</v>
      </c>
      <c r="J4" s="104" t="s">
        <v>4</v>
      </c>
      <c r="K4" s="102" t="s">
        <v>0</v>
      </c>
      <c r="L4" s="20" t="s">
        <v>3</v>
      </c>
      <c r="M4" s="20" t="s">
        <v>4</v>
      </c>
      <c r="N4" s="19" t="s">
        <v>0</v>
      </c>
      <c r="O4" s="20" t="s">
        <v>3</v>
      </c>
      <c r="P4" s="21" t="s">
        <v>4</v>
      </c>
      <c r="Q4" s="103" t="s">
        <v>0</v>
      </c>
      <c r="R4" s="20" t="s">
        <v>3</v>
      </c>
      <c r="S4" s="104" t="s">
        <v>4</v>
      </c>
      <c r="T4" s="102" t="s">
        <v>0</v>
      </c>
      <c r="U4" s="20" t="s">
        <v>3</v>
      </c>
      <c r="V4" s="20" t="s">
        <v>4</v>
      </c>
      <c r="W4" s="19" t="s">
        <v>0</v>
      </c>
      <c r="X4" s="20" t="s">
        <v>3</v>
      </c>
      <c r="Y4" s="21" t="s">
        <v>4</v>
      </c>
      <c r="Z4" s="103" t="s">
        <v>0</v>
      </c>
      <c r="AA4" s="20" t="s">
        <v>3</v>
      </c>
      <c r="AB4" s="104" t="s">
        <v>4</v>
      </c>
    </row>
    <row r="5" spans="1:28" ht="16.5" customHeight="1" thickBot="1">
      <c r="A5" s="22" t="s">
        <v>24</v>
      </c>
      <c r="B5" s="23">
        <f>+B6+B7+B8+B9+B10+B11+B12+B13+B14+B15+B16+B17+B18+B19+B20+B21+B22+B23+B24+B25</f>
        <v>2758711.7927898117</v>
      </c>
      <c r="C5" s="23">
        <f t="shared" ref="C5:J5" si="0">+C6+C7+C8+C9+C10+C11+C12+C13+C14+C15+C16+C17+C18+C19+C20+C21+C22+C23+C24+C25</f>
        <v>1328184.2340492399</v>
      </c>
      <c r="D5" s="94">
        <f t="shared" si="0"/>
        <v>1430527.558746011</v>
      </c>
      <c r="E5" s="23">
        <f t="shared" si="0"/>
        <v>1329960.5548729503</v>
      </c>
      <c r="F5" s="23">
        <f t="shared" si="0"/>
        <v>638957.92734862526</v>
      </c>
      <c r="G5" s="23">
        <f t="shared" si="0"/>
        <v>691002.62752403074</v>
      </c>
      <c r="H5" s="98">
        <f t="shared" si="0"/>
        <v>1428751.2379222829</v>
      </c>
      <c r="I5" s="23">
        <f t="shared" si="0"/>
        <v>689226.30670005979</v>
      </c>
      <c r="J5" s="95">
        <f t="shared" si="0"/>
        <v>739524.93122132239</v>
      </c>
      <c r="K5" s="23">
        <f>+K6+K7+K8+K9+K10+K11+K12+K13+K14+K15+K16+K17+K18+K19+K20+K21+K22+K23+K24+K25</f>
        <v>2851768.0355159896</v>
      </c>
      <c r="L5" s="23">
        <f t="shared" ref="L5:S5" si="1">+L6+L7+L8+L9+L10+L11+L12+L13+L14+L15+L16+L17+L18+L19+L20+L21+L22+L23+L24+L25</f>
        <v>1372986.2444616163</v>
      </c>
      <c r="M5" s="23">
        <f t="shared" si="1"/>
        <v>1478781.7910573503</v>
      </c>
      <c r="N5" s="98">
        <f t="shared" si="1"/>
        <v>1374822.4837380745</v>
      </c>
      <c r="O5" s="23">
        <f t="shared" si="1"/>
        <v>660511.11174924148</v>
      </c>
      <c r="P5" s="23">
        <f t="shared" si="1"/>
        <v>714311.37198885193</v>
      </c>
      <c r="Q5" s="98">
        <f t="shared" si="1"/>
        <v>1476945.5517808704</v>
      </c>
      <c r="R5" s="23">
        <f t="shared" si="1"/>
        <v>712475.13271246641</v>
      </c>
      <c r="S5" s="95">
        <f t="shared" si="1"/>
        <v>764470.41906856478</v>
      </c>
      <c r="T5" s="99">
        <f>+T6+T7+T8+T9+T10+T11+T12+T13+T14+T15+T16+T17+T18+T19+T20+T21+T22+T23+T24+T25</f>
        <v>2947679.4937338238</v>
      </c>
      <c r="U5" s="99">
        <f t="shared" ref="U5:AB5" si="2">+U6+U7+U8+U9+U10+U11+U12+U13+U14+U15+U16+U17+U18+U19+U20+U21+U22+U23+U24+U25</f>
        <v>1419162.9009011907</v>
      </c>
      <c r="V5" s="99">
        <f t="shared" si="2"/>
        <v>1528516.5928370345</v>
      </c>
      <c r="W5" s="98">
        <f t="shared" si="2"/>
        <v>1421060.8970889812</v>
      </c>
      <c r="X5" s="99">
        <f t="shared" si="2"/>
        <v>682725.60574233602</v>
      </c>
      <c r="Y5" s="94">
        <f t="shared" si="2"/>
        <v>738335.29134468711</v>
      </c>
      <c r="Z5" s="99">
        <f t="shared" si="2"/>
        <v>1526618.596649087</v>
      </c>
      <c r="AA5" s="99">
        <f t="shared" si="2"/>
        <v>736437.29515648005</v>
      </c>
      <c r="AB5" s="95">
        <f t="shared" si="2"/>
        <v>790181.30149009498</v>
      </c>
    </row>
    <row r="6" spans="1:28" ht="12" customHeight="1">
      <c r="A6" s="24" t="s">
        <v>5</v>
      </c>
      <c r="B6" s="25">
        <v>449027.05770781386</v>
      </c>
      <c r="C6" s="25">
        <v>223425.45507778993</v>
      </c>
      <c r="D6" s="26">
        <v>225601.60262883801</v>
      </c>
      <c r="E6" s="25">
        <v>197177.78625115179</v>
      </c>
      <c r="F6" s="25">
        <v>98195.6425147134</v>
      </c>
      <c r="G6" s="26">
        <v>98982.143736036145</v>
      </c>
      <c r="H6" s="25">
        <v>251849.27145547615</v>
      </c>
      <c r="I6" s="25">
        <v>125229.81256235765</v>
      </c>
      <c r="J6" s="27">
        <v>126619.45889205673</v>
      </c>
      <c r="K6" s="25">
        <v>464173.53693595633</v>
      </c>
      <c r="L6" s="25">
        <v>230961.9920338082</v>
      </c>
      <c r="M6" s="25">
        <v>233211.54490222124</v>
      </c>
      <c r="N6" s="28">
        <v>203828.94277449592</v>
      </c>
      <c r="O6" s="25">
        <v>101507.95573589724</v>
      </c>
      <c r="P6" s="26">
        <v>102320.9870386718</v>
      </c>
      <c r="Q6" s="25">
        <v>260344.59416153352</v>
      </c>
      <c r="R6" s="25">
        <v>129454.03629798407</v>
      </c>
      <c r="S6" s="27">
        <v>130890.55786362255</v>
      </c>
      <c r="T6" s="25">
        <v>479784.75083248236</v>
      </c>
      <c r="U6" s="25">
        <v>238729.77018907011</v>
      </c>
      <c r="V6" s="25">
        <v>241054.98064719824</v>
      </c>
      <c r="W6" s="28">
        <v>210684.17464671424</v>
      </c>
      <c r="X6" s="25">
        <v>104921.89962389207</v>
      </c>
      <c r="Y6" s="26">
        <v>105762.27502227479</v>
      </c>
      <c r="Z6" s="25">
        <v>269100.57618939702</v>
      </c>
      <c r="AA6" s="25">
        <v>133807.87056434492</v>
      </c>
      <c r="AB6" s="27">
        <v>135292.70562408085</v>
      </c>
    </row>
    <row r="7" spans="1:28" ht="12" customHeight="1">
      <c r="A7" s="24" t="s">
        <v>6</v>
      </c>
      <c r="B7" s="25">
        <v>399720.67990634829</v>
      </c>
      <c r="C7" s="25">
        <v>199626.61075744667</v>
      </c>
      <c r="D7" s="26">
        <v>200094.06915235461</v>
      </c>
      <c r="E7" s="25">
        <v>188046.07741758449</v>
      </c>
      <c r="F7" s="25">
        <v>93815.215456856589</v>
      </c>
      <c r="G7" s="26">
        <v>94230.861960703303</v>
      </c>
      <c r="H7" s="25">
        <v>211674.6024922168</v>
      </c>
      <c r="I7" s="25">
        <v>105811.39530056549</v>
      </c>
      <c r="J7" s="27">
        <v>105863.20719162672</v>
      </c>
      <c r="K7" s="25">
        <v>413203.9675444421</v>
      </c>
      <c r="L7" s="25">
        <v>206360.37047599757</v>
      </c>
      <c r="M7" s="25">
        <v>206843.59707183781</v>
      </c>
      <c r="N7" s="28">
        <v>194389.20520269423</v>
      </c>
      <c r="O7" s="25">
        <v>96979.769102307269</v>
      </c>
      <c r="P7" s="26">
        <v>97409.436100086401</v>
      </c>
      <c r="Q7" s="25">
        <v>218814.76234514115</v>
      </c>
      <c r="R7" s="25">
        <v>109380.60137338974</v>
      </c>
      <c r="S7" s="27">
        <v>109434.16097145085</v>
      </c>
      <c r="T7" s="25">
        <v>427100.95866915933</v>
      </c>
      <c r="U7" s="25">
        <v>213300.74003063171</v>
      </c>
      <c r="V7" s="25">
        <v>213800.21863816417</v>
      </c>
      <c r="W7" s="28">
        <v>200926.95718688442</v>
      </c>
      <c r="X7" s="25">
        <v>100241.41975419741</v>
      </c>
      <c r="Y7" s="26">
        <v>100685.53743232356</v>
      </c>
      <c r="Z7" s="25">
        <v>226174.00148191146</v>
      </c>
      <c r="AA7" s="25">
        <v>113059.32027607085</v>
      </c>
      <c r="AB7" s="27">
        <v>113114.68120547716</v>
      </c>
    </row>
    <row r="8" spans="1:28" ht="12" customHeight="1">
      <c r="A8" s="24" t="s">
        <v>7</v>
      </c>
      <c r="B8" s="25">
        <v>392654.68934113276</v>
      </c>
      <c r="C8" s="25">
        <v>195854.70508818951</v>
      </c>
      <c r="D8" s="26">
        <v>196799.98425621763</v>
      </c>
      <c r="E8" s="25">
        <v>195722.29692214416</v>
      </c>
      <c r="F8" s="25">
        <v>96403.507259203994</v>
      </c>
      <c r="G8" s="26">
        <v>99318.789662915573</v>
      </c>
      <c r="H8" s="25">
        <v>196932.39242226299</v>
      </c>
      <c r="I8" s="25">
        <v>99451.197828960925</v>
      </c>
      <c r="J8" s="27">
        <v>97481.194593277469</v>
      </c>
      <c r="K8" s="25">
        <v>405899.62858237547</v>
      </c>
      <c r="L8" s="25">
        <v>202461.23173714872</v>
      </c>
      <c r="M8" s="25">
        <v>203438.39684844142</v>
      </c>
      <c r="N8" s="28">
        <v>202324.35720877032</v>
      </c>
      <c r="O8" s="25">
        <v>99655.368578782305</v>
      </c>
      <c r="P8" s="26">
        <v>102668.98862968746</v>
      </c>
      <c r="Q8" s="25">
        <v>203575.27137681982</v>
      </c>
      <c r="R8" s="25">
        <v>102805.86315806585</v>
      </c>
      <c r="S8" s="27">
        <v>100769.40821845341</v>
      </c>
      <c r="T8" s="25">
        <v>419550.95814101485</v>
      </c>
      <c r="U8" s="25">
        <v>209270.46436985262</v>
      </c>
      <c r="V8" s="25">
        <v>210280.49377079878</v>
      </c>
      <c r="W8" s="28">
        <v>209128.98643914761</v>
      </c>
      <c r="X8" s="25">
        <v>103007.00573876133</v>
      </c>
      <c r="Y8" s="26">
        <v>106121.98070002283</v>
      </c>
      <c r="Z8" s="25">
        <v>210421.97170150379</v>
      </c>
      <c r="AA8" s="25">
        <v>106263.45863072784</v>
      </c>
      <c r="AB8" s="27">
        <v>104158.5130704125</v>
      </c>
    </row>
    <row r="9" spans="1:28" ht="12" customHeight="1">
      <c r="A9" s="24" t="s">
        <v>8</v>
      </c>
      <c r="B9" s="25">
        <v>339397.78704206203</v>
      </c>
      <c r="C9" s="25">
        <v>163869.24117984623</v>
      </c>
      <c r="D9" s="26">
        <v>175528.54586283234</v>
      </c>
      <c r="E9" s="25">
        <v>172760.03253516642</v>
      </c>
      <c r="F9" s="25">
        <v>83679.515550496144</v>
      </c>
      <c r="G9" s="26">
        <v>89080.516984457718</v>
      </c>
      <c r="H9" s="25">
        <v>166637.75450751215</v>
      </c>
      <c r="I9" s="25">
        <v>80189.725629250708</v>
      </c>
      <c r="J9" s="27">
        <v>86448.028878126817</v>
      </c>
      <c r="K9" s="25">
        <v>350846.27649161807</v>
      </c>
      <c r="L9" s="25">
        <v>169396.84138822733</v>
      </c>
      <c r="M9" s="25">
        <v>181449.4351016033</v>
      </c>
      <c r="N9" s="28">
        <v>178587.53490809383</v>
      </c>
      <c r="O9" s="25">
        <v>86502.174057397468</v>
      </c>
      <c r="P9" s="26">
        <v>92085.36085109369</v>
      </c>
      <c r="Q9" s="25">
        <v>172258.7415817368</v>
      </c>
      <c r="R9" s="25">
        <v>82894.667331227189</v>
      </c>
      <c r="S9" s="27">
        <v>89364.074250906939</v>
      </c>
      <c r="T9" s="25">
        <v>362646.03634949063</v>
      </c>
      <c r="U9" s="25">
        <v>175094.04322058457</v>
      </c>
      <c r="V9" s="25">
        <v>187551.99312853423</v>
      </c>
      <c r="W9" s="28">
        <v>184593.8407092152</v>
      </c>
      <c r="X9" s="25">
        <v>89411.439309565714</v>
      </c>
      <c r="Y9" s="26">
        <v>95182.401399277689</v>
      </c>
      <c r="Z9" s="25">
        <v>178052.1956399036</v>
      </c>
      <c r="AA9" s="25">
        <v>85682.603910647056</v>
      </c>
      <c r="AB9" s="27">
        <v>92369.591728884741</v>
      </c>
    </row>
    <row r="10" spans="1:28" ht="12" customHeight="1">
      <c r="A10" s="24" t="s">
        <v>9</v>
      </c>
      <c r="B10" s="25">
        <v>259906.88151254211</v>
      </c>
      <c r="C10" s="25">
        <v>123319.46051073675</v>
      </c>
      <c r="D10" s="26">
        <v>136587.42100059165</v>
      </c>
      <c r="E10" s="25">
        <v>135218.44834126625</v>
      </c>
      <c r="F10" s="25">
        <v>63077.594795506033</v>
      </c>
      <c r="G10" s="26">
        <v>72140.853546003345</v>
      </c>
      <c r="H10" s="25">
        <v>124688.43317004525</v>
      </c>
      <c r="I10" s="25">
        <v>60241.865715492357</v>
      </c>
      <c r="J10" s="27">
        <v>64446.56745482298</v>
      </c>
      <c r="K10" s="25">
        <v>268674.00170079502</v>
      </c>
      <c r="L10" s="25">
        <v>127479.24468248888</v>
      </c>
      <c r="M10" s="25">
        <v>141194.75701708155</v>
      </c>
      <c r="N10" s="28">
        <v>139779.60648139991</v>
      </c>
      <c r="O10" s="25">
        <v>65205.313967615948</v>
      </c>
      <c r="P10" s="26">
        <v>74574.292513976558</v>
      </c>
      <c r="Q10" s="25">
        <v>128894.3952181536</v>
      </c>
      <c r="R10" s="25">
        <v>62273.930715150076</v>
      </c>
      <c r="S10" s="27">
        <v>66620.464503282652</v>
      </c>
      <c r="T10" s="25">
        <v>277710.12068461336</v>
      </c>
      <c r="U10" s="25">
        <v>131766.66220676375</v>
      </c>
      <c r="V10" s="25">
        <v>145943.45847864839</v>
      </c>
      <c r="W10" s="28">
        <v>144480.71320534614</v>
      </c>
      <c r="X10" s="25">
        <v>67398.317279145325</v>
      </c>
      <c r="Y10" s="26">
        <v>77082.395925999284</v>
      </c>
      <c r="Z10" s="25">
        <v>133229.407480066</v>
      </c>
      <c r="AA10" s="25">
        <v>64368.344927276674</v>
      </c>
      <c r="AB10" s="27">
        <v>68861.062552464486</v>
      </c>
    </row>
    <row r="11" spans="1:28" ht="12" customHeight="1">
      <c r="A11" s="29" t="s">
        <v>10</v>
      </c>
      <c r="B11" s="25">
        <v>194398.83009332555</v>
      </c>
      <c r="C11" s="25">
        <v>92607.112614426005</v>
      </c>
      <c r="D11" s="26">
        <v>101791.71747842687</v>
      </c>
      <c r="E11" s="30">
        <v>99272.902034707804</v>
      </c>
      <c r="F11" s="30">
        <v>46003.136317467724</v>
      </c>
      <c r="G11" s="31">
        <v>53269.765717353206</v>
      </c>
      <c r="H11" s="30">
        <v>95125.928058145073</v>
      </c>
      <c r="I11" s="30">
        <v>46603.97629703024</v>
      </c>
      <c r="J11" s="32">
        <v>48521.951761202348</v>
      </c>
      <c r="K11" s="25">
        <v>200956.24749593996</v>
      </c>
      <c r="L11" s="25">
        <v>95730.914807924579</v>
      </c>
      <c r="M11" s="25">
        <v>105225.33268747896</v>
      </c>
      <c r="N11" s="33">
        <v>102621.55313046418</v>
      </c>
      <c r="O11" s="30">
        <v>47554.903715024389</v>
      </c>
      <c r="P11" s="31">
        <v>55066.649415568427</v>
      </c>
      <c r="Q11" s="30">
        <v>98334.694364939365</v>
      </c>
      <c r="R11" s="30">
        <v>48176.011092987661</v>
      </c>
      <c r="S11" s="32">
        <v>50158.683272054732</v>
      </c>
      <c r="T11" s="25">
        <v>207714.86407780051</v>
      </c>
      <c r="U11" s="25">
        <v>98950.563643813788</v>
      </c>
      <c r="V11" s="25">
        <v>108764.30043451618</v>
      </c>
      <c r="W11" s="33">
        <v>106072.94983696337</v>
      </c>
      <c r="X11" s="30">
        <v>49154.283504528663</v>
      </c>
      <c r="Y11" s="31">
        <v>56918.666332222667</v>
      </c>
      <c r="Z11" s="30">
        <v>101641.9142413666</v>
      </c>
      <c r="AA11" s="30">
        <v>49796.280139114257</v>
      </c>
      <c r="AB11" s="32">
        <v>51845.634102065917</v>
      </c>
    </row>
    <row r="12" spans="1:28" ht="12" customHeight="1">
      <c r="A12" s="29" t="s">
        <v>11</v>
      </c>
      <c r="B12" s="30">
        <v>152917.59264586054</v>
      </c>
      <c r="C12" s="30">
        <v>73030.804646760604</v>
      </c>
      <c r="D12" s="31">
        <v>79886.787999466207</v>
      </c>
      <c r="E12" s="25">
        <v>78711.582489656721</v>
      </c>
      <c r="F12" s="25">
        <v>36748.960516195199</v>
      </c>
      <c r="G12" s="26">
        <v>41962.621973519505</v>
      </c>
      <c r="H12" s="25">
        <v>74206.01015657009</v>
      </c>
      <c r="I12" s="25">
        <v>36281.84413058994</v>
      </c>
      <c r="J12" s="27">
        <v>37924.166026011604</v>
      </c>
      <c r="K12" s="30">
        <v>158075.77432227862</v>
      </c>
      <c r="L12" s="30">
        <v>75494.263244216214</v>
      </c>
      <c r="M12" s="30">
        <v>82581.511077973759</v>
      </c>
      <c r="N12" s="28">
        <v>81366.663801495131</v>
      </c>
      <c r="O12" s="25">
        <v>37988.568147042184</v>
      </c>
      <c r="P12" s="26">
        <v>43378.095654364297</v>
      </c>
      <c r="Q12" s="25">
        <v>76709.110520694841</v>
      </c>
      <c r="R12" s="25">
        <v>37505.69509708538</v>
      </c>
      <c r="S12" s="27">
        <v>39203.415423520812</v>
      </c>
      <c r="T12" s="30">
        <v>163392.22286689526</v>
      </c>
      <c r="U12" s="30">
        <v>78033.307368377049</v>
      </c>
      <c r="V12" s="30">
        <v>85358.915498590504</v>
      </c>
      <c r="W12" s="28">
        <v>84103.2101395723</v>
      </c>
      <c r="X12" s="25">
        <v>39266.210269770876</v>
      </c>
      <c r="Y12" s="26">
        <v>44836.999869873718</v>
      </c>
      <c r="Z12" s="25">
        <v>79289.012727395253</v>
      </c>
      <c r="AA12" s="25">
        <v>38767.097098678467</v>
      </c>
      <c r="AB12" s="27">
        <v>40521.91562878908</v>
      </c>
    </row>
    <row r="13" spans="1:28" ht="12" customHeight="1">
      <c r="A13" s="29" t="s">
        <v>12</v>
      </c>
      <c r="B13" s="30">
        <v>117872.74190696757</v>
      </c>
      <c r="C13" s="30">
        <v>54525.334079506443</v>
      </c>
      <c r="D13" s="31">
        <v>63347.407827749681</v>
      </c>
      <c r="E13" s="30">
        <v>61645.769565901952</v>
      </c>
      <c r="F13" s="30">
        <v>28274.134663071214</v>
      </c>
      <c r="G13" s="31">
        <v>33371.634902811144</v>
      </c>
      <c r="H13" s="30">
        <v>56226.972341354172</v>
      </c>
      <c r="I13" s="30">
        <v>26251.199416415635</v>
      </c>
      <c r="J13" s="32">
        <v>29975.772924918943</v>
      </c>
      <c r="K13" s="30">
        <v>121848.79859813835</v>
      </c>
      <c r="L13" s="30">
        <v>56364.570325953915</v>
      </c>
      <c r="M13" s="30">
        <v>65484.228272095788</v>
      </c>
      <c r="N13" s="33">
        <v>63725.190732967429</v>
      </c>
      <c r="O13" s="30">
        <v>29227.871383550239</v>
      </c>
      <c r="P13" s="31">
        <v>34497.319349338621</v>
      </c>
      <c r="Q13" s="30">
        <v>58123.607865082275</v>
      </c>
      <c r="R13" s="30">
        <v>27136.698942341143</v>
      </c>
      <c r="S13" s="32">
        <v>30986.908922673589</v>
      </c>
      <c r="T13" s="30">
        <v>125946.8513880338</v>
      </c>
      <c r="U13" s="30">
        <v>58260.239280787559</v>
      </c>
      <c r="V13" s="30">
        <v>67686.612107318535</v>
      </c>
      <c r="W13" s="33">
        <v>65868.414126910473</v>
      </c>
      <c r="X13" s="30">
        <v>30210.871308515838</v>
      </c>
      <c r="Y13" s="31">
        <v>35657.542818459886</v>
      </c>
      <c r="Z13" s="30">
        <v>60078.437261195621</v>
      </c>
      <c r="AA13" s="30">
        <v>28049.367972323973</v>
      </c>
      <c r="AB13" s="32">
        <v>32029.069288928909</v>
      </c>
    </row>
    <row r="14" spans="1:28" ht="12" customHeight="1">
      <c r="A14" s="29" t="s">
        <v>13</v>
      </c>
      <c r="B14" s="30">
        <v>87850.010192118498</v>
      </c>
      <c r="C14" s="30">
        <v>40914.699499992363</v>
      </c>
      <c r="D14" s="31">
        <v>46935.310692237923</v>
      </c>
      <c r="E14" s="30">
        <v>45740.333060279496</v>
      </c>
      <c r="F14" s="30">
        <v>21782.699812318766</v>
      </c>
      <c r="G14" s="31">
        <v>23957.633247941136</v>
      </c>
      <c r="H14" s="30">
        <v>42109.67713195079</v>
      </c>
      <c r="I14" s="30">
        <v>19131.999687654003</v>
      </c>
      <c r="J14" s="32">
        <v>22977.677444277193</v>
      </c>
      <c r="K14" s="30">
        <v>90813.346881999285</v>
      </c>
      <c r="L14" s="30">
        <v>42294.824896789243</v>
      </c>
      <c r="M14" s="30">
        <v>48518.521985121391</v>
      </c>
      <c r="N14" s="33">
        <v>47283.235637745121</v>
      </c>
      <c r="O14" s="30">
        <v>22517.468919487088</v>
      </c>
      <c r="P14" s="31">
        <v>24765.766718221363</v>
      </c>
      <c r="Q14" s="30">
        <v>43530.111244165513</v>
      </c>
      <c r="R14" s="30">
        <v>19777.355977279691</v>
      </c>
      <c r="S14" s="32">
        <v>23752.75526685984</v>
      </c>
      <c r="T14" s="30">
        <v>93867.606701023004</v>
      </c>
      <c r="U14" s="30">
        <v>43717.296247952123</v>
      </c>
      <c r="V14" s="30">
        <v>50150.310453143175</v>
      </c>
      <c r="W14" s="33">
        <v>48873.478610692488</v>
      </c>
      <c r="X14" s="30">
        <v>23274.782716569676</v>
      </c>
      <c r="Y14" s="31">
        <v>25598.695894149201</v>
      </c>
      <c r="Z14" s="30">
        <v>44994.12809040281</v>
      </c>
      <c r="AA14" s="30">
        <v>20442.51353139463</v>
      </c>
      <c r="AB14" s="32">
        <v>24551.614559023881</v>
      </c>
    </row>
    <row r="15" spans="1:28" ht="12" customHeight="1">
      <c r="A15" s="29" t="s">
        <v>14</v>
      </c>
      <c r="B15" s="30">
        <v>91403.831274697586</v>
      </c>
      <c r="C15" s="30">
        <v>40738.027892085353</v>
      </c>
      <c r="D15" s="31">
        <v>50665.803382764258</v>
      </c>
      <c r="E15" s="30">
        <v>41943.119283900065</v>
      </c>
      <c r="F15" s="30">
        <v>19568.506625196511</v>
      </c>
      <c r="G15" s="31">
        <v>22374.61265870346</v>
      </c>
      <c r="H15" s="30">
        <v>49460.711990949545</v>
      </c>
      <c r="I15" s="30">
        <v>21169.521266888747</v>
      </c>
      <c r="J15" s="32">
        <v>28291.190724060703</v>
      </c>
      <c r="K15" s="30">
        <v>94487.044654159647</v>
      </c>
      <c r="L15" s="30">
        <v>42112.193842129986</v>
      </c>
      <c r="M15" s="30">
        <v>52374.850811956712</v>
      </c>
      <c r="N15" s="33">
        <v>43357.935104419521</v>
      </c>
      <c r="O15" s="30">
        <v>20228.587068199089</v>
      </c>
      <c r="P15" s="31">
        <v>23129.348036249092</v>
      </c>
      <c r="Q15" s="30">
        <v>51129.109549667177</v>
      </c>
      <c r="R15" s="30">
        <v>21883.606773956013</v>
      </c>
      <c r="S15" s="32">
        <v>29245.502775761928</v>
      </c>
      <c r="T15" s="30">
        <v>97664.85930175586</v>
      </c>
      <c r="U15" s="30">
        <v>43528.52289477671</v>
      </c>
      <c r="V15" s="30">
        <v>54136.33640713372</v>
      </c>
      <c r="W15" s="33">
        <v>44816.161274766207</v>
      </c>
      <c r="X15" s="30">
        <v>20908.920552250733</v>
      </c>
      <c r="Y15" s="31">
        <v>23907.240722493218</v>
      </c>
      <c r="Z15" s="30">
        <v>52848.698027144223</v>
      </c>
      <c r="AA15" s="30">
        <v>22619.60234250372</v>
      </c>
      <c r="AB15" s="32">
        <v>30229.095684618245</v>
      </c>
    </row>
    <row r="16" spans="1:28" ht="12" customHeight="1">
      <c r="A16" s="29" t="s">
        <v>15</v>
      </c>
      <c r="B16" s="30">
        <v>72272.077484634632</v>
      </c>
      <c r="C16" s="30">
        <v>33169.707518645315</v>
      </c>
      <c r="D16" s="31">
        <v>39102.369966028833</v>
      </c>
      <c r="E16" s="30">
        <v>32454.571148554038</v>
      </c>
      <c r="F16" s="30">
        <v>15463.277428028938</v>
      </c>
      <c r="G16" s="31">
        <v>16991.293720525005</v>
      </c>
      <c r="H16" s="30">
        <v>39817.50633612011</v>
      </c>
      <c r="I16" s="30">
        <v>17706.430090616283</v>
      </c>
      <c r="J16" s="32">
        <v>22111.076245503733</v>
      </c>
      <c r="K16" s="30">
        <v>74709.942868848899</v>
      </c>
      <c r="L16" s="30">
        <v>34288.580596313674</v>
      </c>
      <c r="M16" s="30">
        <v>40421.362272574785</v>
      </c>
      <c r="N16" s="33">
        <v>33549.321407809206</v>
      </c>
      <c r="O16" s="30">
        <v>15984.881207533346</v>
      </c>
      <c r="P16" s="31">
        <v>17564.440200276622</v>
      </c>
      <c r="Q16" s="30">
        <v>41160.621461079252</v>
      </c>
      <c r="R16" s="30">
        <v>18303.699388783192</v>
      </c>
      <c r="S16" s="32">
        <v>22856.92207231847</v>
      </c>
      <c r="T16" s="30">
        <v>77222.60851154229</v>
      </c>
      <c r="U16" s="30">
        <v>35441.783705458685</v>
      </c>
      <c r="V16" s="30">
        <v>41780.824806125667</v>
      </c>
      <c r="W16" s="33">
        <v>34677.661545670257</v>
      </c>
      <c r="X16" s="30">
        <v>16522.489192081171</v>
      </c>
      <c r="Y16" s="31">
        <v>18155.172353566828</v>
      </c>
      <c r="Z16" s="30">
        <v>42544.946965914096</v>
      </c>
      <c r="AA16" s="30">
        <v>18919.294513355257</v>
      </c>
      <c r="AB16" s="32">
        <v>23625.652452536582</v>
      </c>
    </row>
    <row r="17" spans="1:28" ht="12" customHeight="1">
      <c r="A17" s="29" t="s">
        <v>16</v>
      </c>
      <c r="B17" s="30">
        <v>60524.292304714596</v>
      </c>
      <c r="C17" s="30">
        <v>26937.628113541919</v>
      </c>
      <c r="D17" s="31">
        <v>33586.664191172582</v>
      </c>
      <c r="E17" s="30">
        <v>25185.667732833877</v>
      </c>
      <c r="F17" s="30">
        <v>11645.092587022569</v>
      </c>
      <c r="G17" s="31">
        <v>13540.575145811214</v>
      </c>
      <c r="H17" s="30">
        <v>35338.624571880624</v>
      </c>
      <c r="I17" s="30">
        <v>15292.535526519256</v>
      </c>
      <c r="J17" s="32">
        <v>20046.089045361274</v>
      </c>
      <c r="K17" s="30">
        <v>62565.88405417747</v>
      </c>
      <c r="L17" s="30">
        <v>27846.282097169908</v>
      </c>
      <c r="M17" s="30">
        <v>34719.60195708531</v>
      </c>
      <c r="N17" s="33">
        <v>26035.224984842393</v>
      </c>
      <c r="O17" s="30">
        <v>12037.902218378889</v>
      </c>
      <c r="P17" s="31">
        <v>13997.322766462048</v>
      </c>
      <c r="Q17" s="30">
        <v>36530.659069407673</v>
      </c>
      <c r="R17" s="30">
        <v>15808.379878789563</v>
      </c>
      <c r="S17" s="32">
        <v>20722.279190627352</v>
      </c>
      <c r="T17" s="30">
        <v>64670.117322694619</v>
      </c>
      <c r="U17" s="30">
        <v>28782.816025779939</v>
      </c>
      <c r="V17" s="30">
        <v>35887.301296892423</v>
      </c>
      <c r="W17" s="33">
        <v>26910.848935363996</v>
      </c>
      <c r="X17" s="30">
        <v>12442.764304358063</v>
      </c>
      <c r="Y17" s="31">
        <v>14468.084630991734</v>
      </c>
      <c r="Z17" s="30">
        <v>37759.268387308366</v>
      </c>
      <c r="AA17" s="30">
        <v>16340.051721405101</v>
      </c>
      <c r="AB17" s="32">
        <v>21419.216665881067</v>
      </c>
    </row>
    <row r="18" spans="1:28" ht="12" customHeight="1">
      <c r="A18" s="29" t="s">
        <v>17</v>
      </c>
      <c r="B18" s="30">
        <v>51038.218689680303</v>
      </c>
      <c r="C18" s="30">
        <v>22786.620290607258</v>
      </c>
      <c r="D18" s="31">
        <v>28251.598399072951</v>
      </c>
      <c r="E18" s="30">
        <v>20633.787619398223</v>
      </c>
      <c r="F18" s="30">
        <v>9342.5514369535958</v>
      </c>
      <c r="G18" s="31">
        <v>11291.236182444532</v>
      </c>
      <c r="H18" s="30">
        <v>30404.431070281986</v>
      </c>
      <c r="I18" s="30">
        <v>13444.068853653567</v>
      </c>
      <c r="J18" s="32">
        <v>16960.362216628324</v>
      </c>
      <c r="K18" s="30">
        <v>52759.828347838797</v>
      </c>
      <c r="L18" s="30">
        <v>23555.253416478656</v>
      </c>
      <c r="M18" s="30">
        <v>29204.574931415544</v>
      </c>
      <c r="N18" s="33">
        <v>21329.801880143998</v>
      </c>
      <c r="O18" s="30">
        <v>9657.6922706094647</v>
      </c>
      <c r="P18" s="31">
        <v>11672.109609533078</v>
      </c>
      <c r="Q18" s="30">
        <v>31430.026467750202</v>
      </c>
      <c r="R18" s="30">
        <v>13897.561145867736</v>
      </c>
      <c r="S18" s="32">
        <v>17532.465321881009</v>
      </c>
      <c r="T18" s="30">
        <v>54534.261614912815</v>
      </c>
      <c r="U18" s="30">
        <v>24347.470271298662</v>
      </c>
      <c r="V18" s="30">
        <v>30186.791343591896</v>
      </c>
      <c r="W18" s="33">
        <v>22047.171727990935</v>
      </c>
      <c r="X18" s="30">
        <v>9982.5024715478394</v>
      </c>
      <c r="Y18" s="31">
        <v>12064.669256435589</v>
      </c>
      <c r="Z18" s="30">
        <v>32487.089886899623</v>
      </c>
      <c r="AA18" s="30">
        <v>14364.96779974015</v>
      </c>
      <c r="AB18" s="32">
        <v>18122.122087139993</v>
      </c>
    </row>
    <row r="19" spans="1:28" ht="12" customHeight="1">
      <c r="A19" s="29" t="s">
        <v>18</v>
      </c>
      <c r="B19" s="30">
        <v>34350.361980818714</v>
      </c>
      <c r="C19" s="30">
        <v>14354.923146497056</v>
      </c>
      <c r="D19" s="31">
        <v>19995.438834331886</v>
      </c>
      <c r="E19" s="30">
        <v>13735.349723067648</v>
      </c>
      <c r="F19" s="30">
        <v>5954.7189107154236</v>
      </c>
      <c r="G19" s="31">
        <v>7780.6308123482304</v>
      </c>
      <c r="H19" s="30">
        <v>20615.012257760402</v>
      </c>
      <c r="I19" s="30">
        <v>8400.2042357773425</v>
      </c>
      <c r="J19" s="32">
        <v>12214.808021983254</v>
      </c>
      <c r="K19" s="30">
        <v>35509.060627965308</v>
      </c>
      <c r="L19" s="30">
        <v>14839.140169852944</v>
      </c>
      <c r="M19" s="30">
        <v>20669.920458110428</v>
      </c>
      <c r="N19" s="33">
        <v>14198.667435728912</v>
      </c>
      <c r="O19" s="30">
        <v>6155.5821432452449</v>
      </c>
      <c r="P19" s="31">
        <v>8043.0852924878536</v>
      </c>
      <c r="Q19" s="30">
        <v>21310.39319223446</v>
      </c>
      <c r="R19" s="30">
        <v>8683.5580266119905</v>
      </c>
      <c r="S19" s="32">
        <v>12626.835165628181</v>
      </c>
      <c r="T19" s="30">
        <v>36703.311262029623</v>
      </c>
      <c r="U19" s="30">
        <v>15338.214272167075</v>
      </c>
      <c r="V19" s="30">
        <v>21365.096989867794</v>
      </c>
      <c r="W19" s="33">
        <v>14676.200980356996</v>
      </c>
      <c r="X19" s="30">
        <v>6362.6083992947706</v>
      </c>
      <c r="Y19" s="31">
        <v>8313.5925810662375</v>
      </c>
      <c r="Z19" s="30">
        <v>22027.110281677873</v>
      </c>
      <c r="AA19" s="30">
        <v>8975.6058728763164</v>
      </c>
      <c r="AB19" s="32">
        <v>13051.504408806803</v>
      </c>
    </row>
    <row r="20" spans="1:28" ht="12" customHeight="1">
      <c r="A20" s="29" t="s">
        <v>19</v>
      </c>
      <c r="B20" s="30">
        <v>24798.079261152518</v>
      </c>
      <c r="C20" s="30">
        <v>10467.131460985838</v>
      </c>
      <c r="D20" s="31">
        <v>14330.947800172904</v>
      </c>
      <c r="E20" s="30">
        <v>9581.3055073250544</v>
      </c>
      <c r="F20" s="30">
        <v>4143.9493330768073</v>
      </c>
      <c r="G20" s="31">
        <v>5437.3561742472475</v>
      </c>
      <c r="H20" s="30">
        <v>15216.773753833688</v>
      </c>
      <c r="I20" s="30">
        <v>6323.1821279073929</v>
      </c>
      <c r="J20" s="32">
        <v>8893.5916259217393</v>
      </c>
      <c r="K20" s="30">
        <v>25634.56246641199</v>
      </c>
      <c r="L20" s="30">
        <v>10820.206373852652</v>
      </c>
      <c r="M20" s="30">
        <v>14814.356092565049</v>
      </c>
      <c r="N20" s="33">
        <v>9904.49993932094</v>
      </c>
      <c r="O20" s="30">
        <v>4283.7320954476336</v>
      </c>
      <c r="P20" s="31">
        <v>5620.7678438744988</v>
      </c>
      <c r="Q20" s="30">
        <v>15730.062527096761</v>
      </c>
      <c r="R20" s="30">
        <v>6536.4742784068494</v>
      </c>
      <c r="S20" s="32">
        <v>9193.5882486944683</v>
      </c>
      <c r="T20" s="30">
        <v>26496.711223328406</v>
      </c>
      <c r="U20" s="30">
        <v>11184.11457345658</v>
      </c>
      <c r="V20" s="30">
        <v>15312.596649877072</v>
      </c>
      <c r="W20" s="33">
        <v>10237.610844636467</v>
      </c>
      <c r="X20" s="30">
        <v>4427.8037684432347</v>
      </c>
      <c r="Y20" s="31">
        <v>5809.8070761943318</v>
      </c>
      <c r="Z20" s="30">
        <v>16259.100378697185</v>
      </c>
      <c r="AA20" s="30">
        <v>6756.3108050150831</v>
      </c>
      <c r="AB20" s="32">
        <v>9502.7895736863793</v>
      </c>
    </row>
    <row r="21" spans="1:28" ht="12" customHeight="1">
      <c r="A21" s="29" t="s">
        <v>20</v>
      </c>
      <c r="B21" s="30">
        <v>14758.718453009094</v>
      </c>
      <c r="C21" s="30">
        <v>6311.82538491175</v>
      </c>
      <c r="D21" s="31">
        <v>8446.893068092797</v>
      </c>
      <c r="E21" s="30">
        <v>5733.8933524668118</v>
      </c>
      <c r="F21" s="30">
        <v>2445.4853250617703</v>
      </c>
      <c r="G21" s="31">
        <v>3288.4080274050425</v>
      </c>
      <c r="H21" s="30">
        <v>9024.8251005381517</v>
      </c>
      <c r="I21" s="30">
        <v>3866.3400598499807</v>
      </c>
      <c r="J21" s="32">
        <v>5158.4850406875721</v>
      </c>
      <c r="K21" s="30">
        <v>15256.556208385919</v>
      </c>
      <c r="L21" s="30">
        <v>6524.7344523231013</v>
      </c>
      <c r="M21" s="30">
        <v>8731.8217560673656</v>
      </c>
      <c r="N21" s="33">
        <v>5927.3077471723655</v>
      </c>
      <c r="O21" s="30">
        <v>2527.9758833670871</v>
      </c>
      <c r="P21" s="31">
        <v>3399.3318638052783</v>
      </c>
      <c r="Q21" s="30">
        <v>9329.248461217685</v>
      </c>
      <c r="R21" s="30">
        <v>3996.7585689560142</v>
      </c>
      <c r="S21" s="32">
        <v>5332.4898922624625</v>
      </c>
      <c r="T21" s="30">
        <v>15769.668963367127</v>
      </c>
      <c r="U21" s="30">
        <v>6744.1761418250735</v>
      </c>
      <c r="V21" s="30">
        <v>9025.4928215463224</v>
      </c>
      <c r="W21" s="33">
        <v>6126.6566150445833</v>
      </c>
      <c r="X21" s="30">
        <v>2612.9974735817941</v>
      </c>
      <c r="Y21" s="31">
        <v>3513.6591414625091</v>
      </c>
      <c r="Z21" s="30">
        <v>9643.012348326396</v>
      </c>
      <c r="AA21" s="30">
        <v>4131.1786682429993</v>
      </c>
      <c r="AB21" s="32">
        <v>5511.8336800840952</v>
      </c>
    </row>
    <row r="22" spans="1:28" ht="12" customHeight="1">
      <c r="A22" s="29" t="s">
        <v>29</v>
      </c>
      <c r="B22" s="30">
        <v>10970.613733793036</v>
      </c>
      <c r="C22" s="30">
        <v>4557.8395222513482</v>
      </c>
      <c r="D22" s="31">
        <v>6412.7742115396868</v>
      </c>
      <c r="E22" s="30">
        <v>4460.676276621959</v>
      </c>
      <c r="F22" s="30">
        <v>1838.5305049613</v>
      </c>
      <c r="G22" s="31">
        <v>2622.1457716606596</v>
      </c>
      <c r="H22" s="30">
        <v>6509.937457169076</v>
      </c>
      <c r="I22" s="30">
        <v>2719.3090172900488</v>
      </c>
      <c r="J22" s="32">
        <v>3790.6284398790281</v>
      </c>
      <c r="K22" s="30">
        <v>11340.671996898454</v>
      </c>
      <c r="L22" s="30">
        <v>4711.5835349442305</v>
      </c>
      <c r="M22" s="30">
        <v>6629.0884619564176</v>
      </c>
      <c r="N22" s="33">
        <v>4611.1428006721635</v>
      </c>
      <c r="O22" s="30">
        <v>1900.5474004467731</v>
      </c>
      <c r="P22" s="31">
        <v>2710.5954002253907</v>
      </c>
      <c r="Q22" s="30">
        <v>6729.5291962284846</v>
      </c>
      <c r="R22" s="30">
        <v>2811.0361344974576</v>
      </c>
      <c r="S22" s="32">
        <v>3918.493061731027</v>
      </c>
      <c r="T22" s="30">
        <v>11722.084641546644</v>
      </c>
      <c r="U22" s="30">
        <v>4870.0448269235858</v>
      </c>
      <c r="V22" s="30">
        <v>6852.0398146251591</v>
      </c>
      <c r="W22" s="33">
        <v>4766.2260418535034</v>
      </c>
      <c r="X22" s="30">
        <v>1964.4671408712932</v>
      </c>
      <c r="Y22" s="31">
        <v>2801.758900981944</v>
      </c>
      <c r="Z22" s="30">
        <v>6955.8585996952415</v>
      </c>
      <c r="AA22" s="30">
        <v>2905.5776860520264</v>
      </c>
      <c r="AB22" s="32">
        <v>4050.280913642935</v>
      </c>
    </row>
    <row r="23" spans="1:28" ht="12" customHeight="1">
      <c r="A23" s="29" t="s">
        <v>30</v>
      </c>
      <c r="B23" s="30">
        <v>2691.5480899673662</v>
      </c>
      <c r="C23" s="30">
        <v>986.77478028808332</v>
      </c>
      <c r="D23" s="31">
        <v>1704.7733096792838</v>
      </c>
      <c r="E23" s="30">
        <v>1073.8431432546788</v>
      </c>
      <c r="F23" s="30">
        <v>355.84461386347829</v>
      </c>
      <c r="G23" s="31">
        <v>717.9985293912016</v>
      </c>
      <c r="H23" s="30">
        <v>1617.7049467126883</v>
      </c>
      <c r="I23" s="30">
        <v>630.93016642460611</v>
      </c>
      <c r="J23" s="32">
        <v>986.77478028808332</v>
      </c>
      <c r="K23" s="30">
        <v>2782.3387818482956</v>
      </c>
      <c r="L23" s="30">
        <v>1020.0604441656668</v>
      </c>
      <c r="M23" s="30">
        <v>1762.2783376826289</v>
      </c>
      <c r="N23" s="33">
        <v>1110.065777474402</v>
      </c>
      <c r="O23" s="30">
        <v>367.84788395743993</v>
      </c>
      <c r="P23" s="31">
        <v>742.21789351696214</v>
      </c>
      <c r="Q23" s="30">
        <v>1672.2730043738936</v>
      </c>
      <c r="R23" s="30">
        <v>652.21256020822682</v>
      </c>
      <c r="S23" s="32">
        <v>1020.0604441656668</v>
      </c>
      <c r="T23" s="30">
        <v>2875.9151760320028</v>
      </c>
      <c r="U23" s="30">
        <v>1054.3674016207242</v>
      </c>
      <c r="V23" s="30">
        <v>1821.5477744112038</v>
      </c>
      <c r="W23" s="33">
        <v>1147.3998194107824</v>
      </c>
      <c r="X23" s="30">
        <v>380.21944662025408</v>
      </c>
      <c r="Y23" s="31">
        <v>767.18037279052305</v>
      </c>
      <c r="Z23" s="30">
        <v>1728.5153566211457</v>
      </c>
      <c r="AA23" s="30">
        <v>674.14795500045705</v>
      </c>
      <c r="AB23" s="32">
        <v>1054.3674016207242</v>
      </c>
    </row>
    <row r="24" spans="1:28" ht="12" customHeight="1">
      <c r="A24" s="29" t="s">
        <v>32</v>
      </c>
      <c r="B24" s="30">
        <v>1415.8072934568147</v>
      </c>
      <c r="C24" s="30">
        <v>478.24506614985165</v>
      </c>
      <c r="D24" s="31">
        <v>937.56222730696413</v>
      </c>
      <c r="E24" s="30">
        <v>545.12366379085984</v>
      </c>
      <c r="F24" s="30">
        <v>142.5902176119618</v>
      </c>
      <c r="G24" s="31">
        <v>402.53344617889906</v>
      </c>
      <c r="H24" s="30">
        <v>870.683629665956</v>
      </c>
      <c r="I24" s="30">
        <v>335.65484853789093</v>
      </c>
      <c r="J24" s="32">
        <v>535.02878112806616</v>
      </c>
      <c r="K24" s="30">
        <v>1463.564985107261</v>
      </c>
      <c r="L24" s="30">
        <v>494.37712063783596</v>
      </c>
      <c r="M24" s="30">
        <v>969.18786446942511</v>
      </c>
      <c r="N24" s="33">
        <v>563.51165201990796</v>
      </c>
      <c r="O24" s="30">
        <v>147.40003860705926</v>
      </c>
      <c r="P24" s="31">
        <v>416.11161341284873</v>
      </c>
      <c r="Q24" s="30">
        <v>900.05333308735305</v>
      </c>
      <c r="R24" s="30">
        <v>346.97708203077667</v>
      </c>
      <c r="S24" s="32">
        <v>553.07625105657633</v>
      </c>
      <c r="T24" s="30">
        <v>1512.7880110210108</v>
      </c>
      <c r="U24" s="30">
        <v>511.00414989034135</v>
      </c>
      <c r="V24" s="30">
        <v>1001.7838611306895</v>
      </c>
      <c r="W24" s="33">
        <v>582.463833120392</v>
      </c>
      <c r="X24" s="30">
        <v>152.35743783010201</v>
      </c>
      <c r="Y24" s="31">
        <v>430.10639529028737</v>
      </c>
      <c r="Z24" s="30">
        <v>930.3241779006388</v>
      </c>
      <c r="AA24" s="30">
        <v>358.64671206023968</v>
      </c>
      <c r="AB24" s="32">
        <v>571.67746584038434</v>
      </c>
    </row>
    <row r="25" spans="1:28" ht="12" customHeight="1" thickBot="1">
      <c r="A25" s="34" t="s">
        <v>31</v>
      </c>
      <c r="B25" s="35">
        <v>741.97387571533659</v>
      </c>
      <c r="C25" s="35">
        <v>222.08741858146203</v>
      </c>
      <c r="D25" s="36">
        <v>519.88645713387564</v>
      </c>
      <c r="E25" s="35">
        <v>317.98880387800199</v>
      </c>
      <c r="F25" s="35">
        <v>76.973480303802319</v>
      </c>
      <c r="G25" s="36">
        <v>241.01532357420018</v>
      </c>
      <c r="H25" s="35">
        <v>423.98507183733562</v>
      </c>
      <c r="I25" s="35">
        <v>145.11393827766022</v>
      </c>
      <c r="J25" s="37">
        <v>278.87113355967648</v>
      </c>
      <c r="K25" s="35">
        <v>767.00197080487476</v>
      </c>
      <c r="L25" s="35">
        <v>229.57882119329585</v>
      </c>
      <c r="M25" s="35">
        <v>537.42314961157888</v>
      </c>
      <c r="N25" s="38">
        <v>328.71513034494632</v>
      </c>
      <c r="O25" s="35">
        <v>79.569932345403657</v>
      </c>
      <c r="P25" s="36">
        <v>249.14519799954266</v>
      </c>
      <c r="Q25" s="35">
        <v>438.28684045992844</v>
      </c>
      <c r="R25" s="35">
        <v>150.00888884789217</v>
      </c>
      <c r="S25" s="37">
        <v>288.27795161203625</v>
      </c>
      <c r="T25" s="35">
        <v>792.79799508054123</v>
      </c>
      <c r="U25" s="35">
        <v>237.3000801601587</v>
      </c>
      <c r="V25" s="35">
        <v>555.49791492037286</v>
      </c>
      <c r="W25" s="38">
        <v>339.77056932022708</v>
      </c>
      <c r="X25" s="35">
        <v>82.246050510055227</v>
      </c>
      <c r="Y25" s="36">
        <v>257.5245188101722</v>
      </c>
      <c r="Z25" s="35">
        <v>453.02742576030266</v>
      </c>
      <c r="AA25" s="35">
        <v>155.05402965010381</v>
      </c>
      <c r="AB25" s="37">
        <v>297.97339611019919</v>
      </c>
    </row>
    <row r="26" spans="1:28" ht="12" customHeight="1">
      <c r="A26" s="44" t="s">
        <v>72</v>
      </c>
      <c r="B26" s="40">
        <v>1453785.8062924915</v>
      </c>
      <c r="C26" s="40">
        <v>722529.41282746301</v>
      </c>
      <c r="D26" s="41">
        <v>731256.39348567661</v>
      </c>
      <c r="E26" s="40">
        <v>689211.94912389806</v>
      </c>
      <c r="F26" s="40">
        <v>341211.58326912217</v>
      </c>
      <c r="G26" s="41">
        <v>348000.36585320102</v>
      </c>
      <c r="H26" s="40">
        <v>764573.85718923563</v>
      </c>
      <c r="I26" s="40">
        <v>381317.82955556293</v>
      </c>
      <c r="J26" s="42">
        <v>383256.02762943198</v>
      </c>
      <c r="K26" s="40">
        <v>1502824.5806025697</v>
      </c>
      <c r="L26" s="40">
        <v>746901.61169289146</v>
      </c>
      <c r="M26" s="40">
        <v>755922.96889054088</v>
      </c>
      <c r="N26" s="43">
        <v>712460.29083314911</v>
      </c>
      <c r="O26" s="40">
        <v>352721.25528191321</v>
      </c>
      <c r="P26" s="41">
        <v>359739.03554589959</v>
      </c>
      <c r="Q26" s="40">
        <v>790364.2897502901</v>
      </c>
      <c r="R26" s="40">
        <v>394180.35640422843</v>
      </c>
      <c r="S26" s="42">
        <v>396183.93333749601</v>
      </c>
      <c r="T26" s="40">
        <v>1553367.9961274141</v>
      </c>
      <c r="U26" s="40">
        <v>772021.6150699982</v>
      </c>
      <c r="V26" s="40">
        <v>781346.38106923597</v>
      </c>
      <c r="W26" s="43">
        <v>736421.95410032372</v>
      </c>
      <c r="X26" s="40">
        <v>364584.07495029189</v>
      </c>
      <c r="Y26" s="41">
        <v>371837.87915812444</v>
      </c>
      <c r="Z26" s="40">
        <v>816946.04203882429</v>
      </c>
      <c r="AA26" s="40">
        <v>407437.54012886231</v>
      </c>
      <c r="AB26" s="42">
        <v>409508.5019205414</v>
      </c>
    </row>
    <row r="27" spans="1:28" ht="12" customHeight="1">
      <c r="A27" s="39" t="s">
        <v>22</v>
      </c>
      <c r="B27" s="40">
        <v>64861.169178574521</v>
      </c>
      <c r="C27" s="40">
        <v>31035.468769096809</v>
      </c>
      <c r="D27" s="41">
        <v>33825.700409384233</v>
      </c>
      <c r="E27" s="40">
        <v>33083.8485722068</v>
      </c>
      <c r="F27" s="40">
        <v>16052.119182516146</v>
      </c>
      <c r="G27" s="41">
        <v>17031.729389694941</v>
      </c>
      <c r="H27" s="40">
        <v>31777.320606271882</v>
      </c>
      <c r="I27" s="40">
        <v>14983.349586585957</v>
      </c>
      <c r="J27" s="42">
        <v>16793.97101969122</v>
      </c>
      <c r="K27" s="40">
        <v>67049.051478641719</v>
      </c>
      <c r="L27" s="40">
        <v>32082.350187629672</v>
      </c>
      <c r="M27" s="40">
        <v>34966.701291015153</v>
      </c>
      <c r="N27" s="43">
        <v>34199.825475326019</v>
      </c>
      <c r="O27" s="40">
        <v>16593.58563901153</v>
      </c>
      <c r="P27" s="41">
        <v>17606.239836308276</v>
      </c>
      <c r="Q27" s="40">
        <v>32849.226003318807</v>
      </c>
      <c r="R27" s="40">
        <v>15488.764548611931</v>
      </c>
      <c r="S27" s="42">
        <v>17360.461454700664</v>
      </c>
      <c r="T27" s="40">
        <v>69304.063884607356</v>
      </c>
      <c r="U27" s="40">
        <v>33161.352740089787</v>
      </c>
      <c r="V27" s="40">
        <v>36142.711144513705</v>
      </c>
      <c r="W27" s="43">
        <v>35350.043547434179</v>
      </c>
      <c r="X27" s="40">
        <v>17151.66574083181</v>
      </c>
      <c r="Y27" s="41">
        <v>18198.377806620952</v>
      </c>
      <c r="Z27" s="40">
        <v>33954.020337169313</v>
      </c>
      <c r="AA27" s="40">
        <v>16009.686999276004</v>
      </c>
      <c r="AB27" s="42">
        <v>17944.333337911336</v>
      </c>
    </row>
    <row r="28" spans="1:28" ht="12" customHeight="1" thickBot="1">
      <c r="A28" s="45" t="s">
        <v>21</v>
      </c>
      <c r="B28" s="46">
        <v>1304925.9864907004</v>
      </c>
      <c r="C28" s="46">
        <v>605654.82122095407</v>
      </c>
      <c r="D28" s="47">
        <v>699271.16526110622</v>
      </c>
      <c r="E28" s="46">
        <v>640748.60574833548</v>
      </c>
      <c r="F28" s="46">
        <v>297746.34407862276</v>
      </c>
      <c r="G28" s="47">
        <v>343002.26166934503</v>
      </c>
      <c r="H28" s="46">
        <v>664177.38073381933</v>
      </c>
      <c r="I28" s="46">
        <v>307908.47714318649</v>
      </c>
      <c r="J28" s="48">
        <v>356268.90359003947</v>
      </c>
      <c r="K28" s="46">
        <v>1348943.454944534</v>
      </c>
      <c r="L28" s="46">
        <v>626084.63277082797</v>
      </c>
      <c r="M28" s="46">
        <v>722858.82216756465</v>
      </c>
      <c r="N28" s="49">
        <v>662362.19290523394</v>
      </c>
      <c r="O28" s="46">
        <v>307789.85646677949</v>
      </c>
      <c r="P28" s="47">
        <v>354572.33644212649</v>
      </c>
      <c r="Q28" s="46">
        <v>686581.26203318487</v>
      </c>
      <c r="R28" s="46">
        <v>318294.77630723547</v>
      </c>
      <c r="S28" s="48">
        <v>368286.48572972399</v>
      </c>
      <c r="T28" s="46">
        <v>1394311.4975774866</v>
      </c>
      <c r="U28" s="46">
        <v>647141.28582328022</v>
      </c>
      <c r="V28" s="46">
        <v>747170.21176007809</v>
      </c>
      <c r="W28" s="49">
        <v>684638.94298286526</v>
      </c>
      <c r="X28" s="46">
        <v>318141.53079288581</v>
      </c>
      <c r="Y28" s="47">
        <v>366497.41218776657</v>
      </c>
      <c r="Z28" s="46">
        <v>709672.55460078153</v>
      </c>
      <c r="AA28" s="46">
        <v>328999.75502840104</v>
      </c>
      <c r="AB28" s="48">
        <v>380672.79957054899</v>
      </c>
    </row>
    <row r="29" spans="1:28" ht="14.25" customHeight="1">
      <c r="A29" s="260" t="s">
        <v>118</v>
      </c>
      <c r="B29" s="119"/>
      <c r="C29" s="120"/>
      <c r="D29" s="120"/>
      <c r="E29" s="120"/>
      <c r="F29" s="120"/>
      <c r="G29" s="120"/>
      <c r="H29" s="120"/>
      <c r="I29" s="120"/>
      <c r="J29" s="120"/>
      <c r="K29" s="203"/>
      <c r="L29" s="125"/>
      <c r="M29" s="137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</row>
    <row r="30" spans="1:28" ht="11.1" customHeight="1">
      <c r="B30" s="209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1:28" ht="11.1" customHeight="1"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1:28" ht="11.1" customHeight="1"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 ht="11.1" customHeight="1"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</row>
    <row r="34" spans="2:28" ht="11.1" customHeight="1"/>
    <row r="35" spans="2:28" ht="11.1" customHeight="1"/>
    <row r="36" spans="2:28" ht="11.1" customHeight="1"/>
    <row r="37" spans="2:28" ht="11.1" customHeight="1"/>
    <row r="38" spans="2:28" ht="11.1" customHeight="1"/>
    <row r="39" spans="2:28" ht="11.1" customHeight="1"/>
    <row r="40" spans="2:28" ht="11.1" customHeight="1"/>
    <row r="41" spans="2:28" ht="11.1" customHeight="1"/>
    <row r="42" spans="2:28" ht="11.1" customHeight="1"/>
    <row r="43" spans="2:28" ht="11.1" customHeight="1"/>
    <row r="44" spans="2:28" ht="11.1" customHeight="1"/>
    <row r="45" spans="2:28" ht="11.1" customHeight="1"/>
    <row r="46" spans="2:28" ht="11.1" customHeight="1"/>
    <row r="47" spans="2:28" ht="11.1" customHeight="1"/>
    <row r="48" spans="2:28" ht="11.1" customHeight="1"/>
    <row r="49" ht="11.1" customHeight="1"/>
    <row r="50" ht="11.1" customHeight="1"/>
    <row r="51" ht="11.1" customHeight="1"/>
    <row r="52" ht="11.1" customHeight="1"/>
    <row r="53" ht="11.1" customHeight="1"/>
    <row r="54" ht="11.1" customHeight="1"/>
    <row r="55" ht="11.1" customHeight="1"/>
    <row r="56" ht="11.1" customHeight="1"/>
    <row r="57" ht="11.1" customHeight="1"/>
    <row r="58" ht="11.1" customHeight="1"/>
    <row r="59" ht="11.1" customHeight="1"/>
    <row r="60" ht="11.1" customHeight="1"/>
    <row r="61" ht="11.1" customHeight="1"/>
    <row r="62" ht="11.1" customHeight="1"/>
    <row r="63" ht="11.1" customHeight="1"/>
    <row r="64" ht="11.1" customHeight="1"/>
    <row r="65" ht="11.1" customHeight="1"/>
    <row r="66" ht="11.1" customHeight="1"/>
    <row r="67" ht="11.1" customHeight="1"/>
    <row r="68" ht="11.1" customHeight="1"/>
    <row r="69" ht="11.1" customHeight="1"/>
    <row r="70" ht="11.1" customHeight="1"/>
    <row r="71" ht="11.1" customHeight="1"/>
    <row r="72" ht="11.1" customHeight="1"/>
    <row r="73" ht="11.1" customHeight="1"/>
    <row r="74" ht="11.1" customHeight="1"/>
    <row r="75" ht="11.1" customHeight="1"/>
    <row r="76" ht="11.1" customHeight="1"/>
    <row r="77" ht="11.1" customHeight="1"/>
    <row r="78" ht="11.1" customHeight="1"/>
    <row r="79" ht="11.1" customHeight="1"/>
    <row r="80" ht="11.1" customHeight="1"/>
    <row r="81" ht="11.1" customHeight="1"/>
    <row r="82" ht="11.1" customHeight="1"/>
    <row r="83" ht="11.1" customHeight="1"/>
    <row r="84" ht="11.1" customHeight="1"/>
    <row r="85" ht="11.1" customHeight="1"/>
    <row r="86" ht="11.1" customHeight="1"/>
    <row r="87" ht="11.1" customHeight="1"/>
    <row r="88" ht="11.1" customHeight="1"/>
    <row r="89" ht="11.1" customHeight="1"/>
    <row r="90" ht="11.1" customHeight="1"/>
    <row r="91" ht="11.1" customHeight="1"/>
    <row r="92" ht="11.1" customHeight="1"/>
    <row r="93" ht="11.1" customHeight="1"/>
    <row r="94" ht="11.1" customHeight="1"/>
    <row r="95" ht="11.1" customHeight="1"/>
    <row r="96" ht="11.1" customHeight="1"/>
    <row r="97" ht="11.1" customHeight="1"/>
    <row r="98" ht="11.1" customHeight="1"/>
    <row r="99" ht="11.1" customHeight="1"/>
    <row r="100" ht="11.1" customHeight="1"/>
    <row r="101" ht="11.1" customHeight="1"/>
    <row r="102" ht="11.1" customHeight="1"/>
    <row r="103" ht="11.1" customHeight="1"/>
    <row r="104" ht="11.1" customHeight="1"/>
    <row r="105" ht="11.1" customHeight="1"/>
    <row r="106" ht="11.1" customHeight="1"/>
    <row r="107" ht="11.1" customHeight="1"/>
    <row r="108" ht="11.1" customHeight="1"/>
    <row r="109" ht="11.1" customHeight="1"/>
    <row r="110" ht="11.1" customHeight="1"/>
    <row r="111" ht="11.1" customHeight="1"/>
    <row r="112" ht="11.1" customHeight="1"/>
    <row r="113" ht="11.1" customHeight="1"/>
    <row r="114" ht="11.1" customHeight="1"/>
    <row r="115" ht="11.1" customHeight="1"/>
    <row r="116" ht="11.1" customHeight="1"/>
    <row r="117" ht="11.1" customHeight="1"/>
    <row r="118" ht="11.1" customHeight="1"/>
    <row r="119" ht="11.1" customHeight="1"/>
    <row r="120" ht="11.1" customHeight="1"/>
    <row r="121" ht="11.1" customHeight="1"/>
    <row r="122" ht="11.1" customHeight="1"/>
    <row r="123" ht="11.1" customHeight="1"/>
    <row r="124" ht="11.1" customHeight="1"/>
    <row r="125" ht="11.1" customHeight="1"/>
    <row r="126" ht="11.1" customHeight="1"/>
    <row r="127" ht="11.1" customHeight="1"/>
    <row r="128" ht="11.1" customHeight="1"/>
    <row r="129" ht="11.1" customHeight="1"/>
    <row r="130" ht="11.1" customHeight="1"/>
    <row r="132" ht="11.1" customHeight="1"/>
    <row r="133" ht="11.1" customHeight="1"/>
    <row r="134" ht="11.1" customHeight="1"/>
    <row r="135" ht="11.1" customHeight="1"/>
    <row r="136" ht="11.1" customHeight="1"/>
    <row r="137" ht="11.1" customHeight="1"/>
    <row r="138" ht="11.1" customHeight="1"/>
    <row r="139" ht="11.1" customHeight="1"/>
    <row r="140" ht="11.1" customHeight="1"/>
    <row r="141" ht="11.1" customHeight="1"/>
    <row r="142" ht="11.1" customHeight="1"/>
    <row r="143" ht="11.1" customHeight="1"/>
    <row r="144" ht="11.1" customHeight="1"/>
    <row r="145" ht="11.1" customHeight="1"/>
    <row r="146" ht="11.1" customHeight="1"/>
    <row r="147" ht="11.1" customHeight="1"/>
    <row r="148" ht="11.1" customHeight="1"/>
    <row r="149" ht="11.1" customHeight="1"/>
    <row r="150" ht="11.1" customHeight="1"/>
    <row r="151" ht="11.1" customHeight="1"/>
    <row r="152" ht="11.1" customHeight="1"/>
    <row r="153" ht="11.1" customHeight="1"/>
    <row r="154" ht="11.1" customHeight="1"/>
    <row r="155" ht="11.1" customHeight="1"/>
    <row r="156" ht="11.1" customHeight="1"/>
    <row r="157" ht="11.1" customHeight="1"/>
    <row r="158" ht="11.1" customHeight="1"/>
    <row r="159" ht="11.1" customHeight="1"/>
    <row r="160" ht="11.1" customHeight="1"/>
    <row r="161" ht="11.1" customHeight="1"/>
    <row r="162" ht="11.1" customHeight="1"/>
    <row r="163" ht="11.1" customHeight="1"/>
    <row r="164" ht="11.1" customHeight="1"/>
    <row r="165" ht="11.1" customHeight="1"/>
    <row r="166" ht="11.1" customHeight="1"/>
    <row r="167" ht="11.1" customHeight="1"/>
    <row r="168" ht="11.1" customHeight="1"/>
    <row r="169" ht="11.1" customHeight="1"/>
    <row r="170" ht="11.1" customHeight="1"/>
    <row r="171" ht="11.1" customHeight="1"/>
    <row r="172" ht="11.1" customHeight="1"/>
    <row r="173" ht="11.1" customHeight="1"/>
    <row r="174" ht="11.1" customHeight="1"/>
    <row r="175" ht="11.1" customHeight="1"/>
    <row r="176" ht="11.1" customHeight="1"/>
    <row r="177" ht="11.1" customHeight="1"/>
    <row r="178" ht="11.1" customHeight="1"/>
    <row r="179" ht="11.1" customHeight="1"/>
    <row r="180" ht="11.1" customHeight="1"/>
    <row r="181" ht="11.1" customHeight="1"/>
    <row r="182" ht="11.1" customHeight="1"/>
    <row r="183" ht="11.1" customHeight="1"/>
    <row r="184" ht="11.1" customHeight="1"/>
    <row r="185" ht="11.1" customHeight="1"/>
    <row r="186" ht="11.1" customHeight="1"/>
    <row r="187" ht="11.1" customHeight="1"/>
    <row r="188" ht="11.1" customHeight="1"/>
    <row r="189" ht="11.1" customHeight="1"/>
    <row r="190" ht="11.1" customHeight="1"/>
    <row r="191" ht="11.1" customHeight="1"/>
    <row r="192" ht="11.1" customHeight="1"/>
    <row r="193" ht="11.1" customHeight="1"/>
    <row r="194" ht="11.1" customHeight="1"/>
    <row r="195" ht="11.1" customHeight="1"/>
    <row r="196" ht="11.1" customHeight="1"/>
    <row r="197" ht="11.1" customHeight="1"/>
    <row r="198" ht="11.1" customHeight="1"/>
    <row r="199" ht="11.1" customHeight="1"/>
    <row r="200" ht="11.1" customHeight="1"/>
    <row r="201" ht="11.1" customHeight="1"/>
    <row r="202" ht="11.1" customHeight="1"/>
    <row r="203" ht="11.1" customHeight="1"/>
    <row r="204" ht="11.1" customHeight="1"/>
    <row r="205" ht="11.1" customHeight="1"/>
    <row r="206" ht="11.1" customHeight="1"/>
    <row r="207" ht="11.1" customHeight="1"/>
    <row r="208" ht="11.1" customHeight="1"/>
    <row r="209" ht="11.1" customHeight="1"/>
    <row r="210" ht="11.1" customHeight="1"/>
    <row r="211" ht="11.1" customHeight="1"/>
    <row r="212" ht="11.1" customHeight="1"/>
    <row r="213" ht="11.1" customHeight="1"/>
    <row r="214" ht="11.1" customHeight="1"/>
    <row r="215" ht="11.1" customHeight="1"/>
    <row r="216" ht="11.1" customHeight="1"/>
    <row r="217" ht="11.1" customHeight="1"/>
    <row r="218" ht="11.1" customHeight="1"/>
    <row r="219" ht="11.1" customHeight="1"/>
    <row r="220" ht="11.1" customHeight="1"/>
    <row r="221" ht="11.1" customHeight="1"/>
    <row r="222" ht="11.1" customHeight="1"/>
    <row r="223" ht="11.1" customHeight="1"/>
    <row r="224" ht="11.1" customHeight="1"/>
    <row r="225" ht="11.1" customHeight="1"/>
    <row r="226" ht="11.1" customHeight="1"/>
    <row r="227" ht="11.1" customHeight="1"/>
    <row r="228" ht="11.1" customHeight="1"/>
    <row r="229" ht="11.1" customHeight="1"/>
    <row r="230" ht="11.1" customHeight="1"/>
    <row r="231" ht="11.1" customHeight="1"/>
    <row r="232" ht="11.1" customHeight="1"/>
    <row r="233" ht="11.1" customHeight="1"/>
    <row r="234" ht="11.1" customHeight="1"/>
    <row r="235" ht="11.1" customHeight="1"/>
    <row r="236" ht="11.1" customHeight="1"/>
    <row r="237" ht="11.1" customHeight="1"/>
    <row r="238" ht="11.1" customHeight="1"/>
    <row r="239" ht="11.1" customHeight="1"/>
    <row r="240" ht="11.1" customHeight="1"/>
    <row r="241" ht="11.1" customHeight="1"/>
    <row r="242" ht="11.1" customHeight="1"/>
    <row r="243" ht="11.1" customHeight="1"/>
    <row r="244" ht="11.1" customHeight="1"/>
    <row r="245" ht="11.1" customHeight="1"/>
    <row r="246" ht="11.1" customHeight="1"/>
    <row r="247" ht="11.1" customHeight="1"/>
    <row r="248" ht="11.1" customHeight="1"/>
    <row r="249" ht="11.1" customHeight="1"/>
    <row r="250" ht="11.1" customHeight="1"/>
    <row r="251" ht="11.1" customHeight="1"/>
    <row r="252" ht="11.1" customHeight="1"/>
    <row r="253" ht="11.1" customHeight="1"/>
    <row r="254" ht="11.1" customHeight="1"/>
    <row r="255" ht="11.1" customHeight="1"/>
    <row r="256" ht="11.1" customHeight="1"/>
    <row r="257" ht="11.1" customHeight="1"/>
    <row r="258" ht="11.1" customHeight="1"/>
    <row r="259" ht="11.1" customHeight="1"/>
    <row r="260" ht="11.1" customHeight="1"/>
    <row r="261" ht="11.1" customHeight="1"/>
    <row r="262" ht="11.1" customHeight="1"/>
    <row r="263" ht="11.1" customHeight="1"/>
    <row r="264" ht="11.1" customHeight="1"/>
    <row r="265" ht="11.1" customHeight="1"/>
    <row r="266" ht="11.1" customHeight="1"/>
    <row r="267" ht="11.1" customHeight="1"/>
    <row r="268" ht="11.1" customHeight="1"/>
    <row r="269" ht="11.1" customHeight="1"/>
    <row r="270" ht="11.1" customHeight="1"/>
    <row r="271" ht="11.1" customHeight="1"/>
    <row r="272" ht="11.1" customHeight="1"/>
    <row r="273" ht="11.1" customHeight="1"/>
    <row r="274" ht="11.1" customHeight="1"/>
    <row r="275" ht="11.1" customHeight="1"/>
    <row r="276" ht="11.1" customHeight="1"/>
    <row r="277" ht="11.1" customHeight="1"/>
    <row r="278" ht="11.1" customHeight="1"/>
    <row r="279" ht="11.1" customHeight="1"/>
    <row r="280" ht="11.1" customHeight="1"/>
    <row r="281" ht="11.1" customHeight="1"/>
    <row r="282" ht="11.1" customHeight="1"/>
    <row r="283" ht="11.1" customHeight="1"/>
    <row r="284" ht="11.1" customHeight="1"/>
    <row r="285" ht="11.1" customHeight="1"/>
    <row r="286" ht="11.1" customHeight="1"/>
    <row r="287" ht="11.1" customHeight="1"/>
    <row r="288" ht="11.1" customHeight="1"/>
    <row r="289" ht="11.1" customHeight="1"/>
    <row r="290" ht="11.1" customHeight="1"/>
    <row r="291" ht="11.1" customHeight="1"/>
    <row r="292" ht="11.1" customHeight="1"/>
    <row r="293" ht="11.1" customHeight="1"/>
    <row r="294" ht="11.1" customHeight="1"/>
    <row r="295" ht="11.1" customHeight="1"/>
    <row r="296" ht="11.1" customHeight="1"/>
    <row r="297" ht="11.1" customHeight="1"/>
    <row r="298" ht="11.1" customHeight="1"/>
    <row r="299" ht="11.1" customHeight="1"/>
    <row r="300" ht="11.1" customHeight="1"/>
    <row r="301" ht="11.1" customHeight="1"/>
    <row r="302" ht="11.1" customHeight="1"/>
    <row r="303" ht="11.1" customHeight="1"/>
    <row r="304" ht="11.1" customHeight="1"/>
    <row r="305" ht="11.1" customHeight="1"/>
    <row r="306" ht="11.1" customHeight="1"/>
    <row r="307" ht="11.1" customHeight="1"/>
    <row r="308" ht="11.1" customHeight="1"/>
    <row r="309" ht="11.1" customHeight="1"/>
    <row r="310" ht="11.1" customHeight="1"/>
    <row r="311" ht="11.1" customHeight="1"/>
    <row r="312" ht="11.1" customHeight="1"/>
    <row r="313" ht="11.1" customHeight="1"/>
    <row r="314" ht="11.1" customHeight="1"/>
    <row r="315" ht="11.1" customHeight="1"/>
    <row r="316" ht="11.1" customHeight="1"/>
    <row r="317" ht="11.1" customHeight="1"/>
    <row r="318" ht="11.1" customHeight="1"/>
    <row r="319" ht="11.1" customHeight="1"/>
    <row r="320" ht="11.1" customHeight="1"/>
    <row r="321" ht="11.1" customHeight="1"/>
    <row r="322" ht="11.1" customHeight="1"/>
    <row r="323" ht="11.1" customHeight="1"/>
    <row r="324" ht="11.1" customHeight="1"/>
    <row r="325" ht="11.1" customHeight="1"/>
    <row r="326" ht="11.1" customHeight="1"/>
    <row r="327" ht="11.1" customHeight="1"/>
    <row r="328" ht="11.1" customHeight="1"/>
    <row r="329" ht="11.1" customHeight="1"/>
    <row r="330" ht="11.1" customHeight="1"/>
    <row r="331" ht="11.1" customHeight="1"/>
    <row r="332" ht="11.1" customHeight="1"/>
    <row r="333" ht="11.1" customHeight="1"/>
    <row r="334" ht="11.1" customHeight="1"/>
    <row r="335" ht="11.1" customHeight="1"/>
    <row r="336" ht="11.1" customHeight="1"/>
    <row r="337" ht="11.1" customHeight="1"/>
    <row r="338" ht="11.1" customHeight="1"/>
    <row r="339" ht="11.1" customHeight="1"/>
    <row r="340" ht="11.1" customHeight="1"/>
    <row r="341" ht="11.1" customHeight="1"/>
    <row r="342" ht="11.1" customHeight="1"/>
    <row r="343" ht="11.1" customHeight="1"/>
    <row r="344" ht="11.1" customHeight="1"/>
    <row r="345" ht="11.1" customHeight="1"/>
    <row r="346" ht="11.1" customHeight="1"/>
    <row r="347" ht="11.1" customHeight="1"/>
    <row r="348" ht="11.1" customHeight="1"/>
    <row r="349" ht="11.1" customHeight="1"/>
    <row r="350" ht="11.1" customHeight="1"/>
    <row r="351" ht="11.1" customHeight="1"/>
    <row r="352" ht="11.1" customHeight="1"/>
    <row r="353" ht="11.1" customHeight="1"/>
    <row r="354" ht="11.1" customHeight="1"/>
    <row r="355" ht="11.1" customHeight="1"/>
    <row r="356" ht="11.1" customHeight="1"/>
    <row r="357" ht="11.1" customHeight="1"/>
    <row r="358" ht="11.1" customHeight="1"/>
    <row r="359" ht="11.1" customHeight="1"/>
    <row r="360" ht="11.1" customHeight="1"/>
    <row r="361" ht="11.1" customHeight="1"/>
    <row r="362" ht="11.1" customHeight="1"/>
    <row r="363" ht="11.1" customHeight="1"/>
    <row r="364" ht="11.1" customHeight="1"/>
    <row r="365" ht="11.1" customHeight="1"/>
    <row r="366" ht="11.1" customHeight="1"/>
    <row r="367" ht="11.1" customHeight="1"/>
    <row r="368" ht="11.1" customHeight="1"/>
    <row r="369" ht="11.1" customHeight="1"/>
    <row r="370" ht="11.1" customHeight="1"/>
    <row r="371" ht="11.1" customHeight="1"/>
    <row r="372" ht="11.1" customHeight="1"/>
    <row r="373" ht="11.1" customHeight="1"/>
    <row r="374" ht="11.1" customHeight="1"/>
    <row r="375" ht="11.1" customHeight="1"/>
    <row r="376" ht="11.1" customHeight="1"/>
    <row r="377" ht="11.1" customHeight="1"/>
    <row r="378" ht="11.1" customHeight="1"/>
    <row r="379" ht="11.1" customHeight="1"/>
    <row r="380" ht="11.1" customHeight="1"/>
    <row r="381" ht="11.1" customHeight="1"/>
    <row r="382" ht="11.1" customHeight="1"/>
    <row r="383" ht="11.1" customHeight="1"/>
    <row r="384" ht="11.1" customHeight="1"/>
    <row r="385" ht="11.1" customHeight="1"/>
    <row r="386" ht="11.1" customHeight="1"/>
    <row r="387" ht="11.1" customHeight="1"/>
    <row r="388" ht="11.1" customHeight="1"/>
    <row r="389" ht="11.1" customHeight="1"/>
    <row r="390" ht="11.1" customHeight="1"/>
    <row r="391" ht="11.1" customHeight="1"/>
    <row r="392" ht="11.1" customHeight="1"/>
    <row r="393" ht="11.1" customHeight="1"/>
    <row r="394" ht="11.1" customHeight="1"/>
    <row r="395" ht="11.1" customHeight="1"/>
    <row r="396" ht="11.1" customHeight="1"/>
    <row r="397" ht="11.1" customHeight="1"/>
    <row r="398" ht="11.1" customHeight="1"/>
    <row r="399" ht="11.1" customHeight="1"/>
    <row r="400" ht="11.1" customHeight="1"/>
    <row r="401" ht="11.1" customHeight="1"/>
    <row r="402" ht="11.1" customHeight="1"/>
    <row r="403" ht="11.1" customHeight="1"/>
    <row r="404" ht="11.1" customHeight="1"/>
    <row r="405" ht="11.1" customHeight="1"/>
    <row r="406" ht="11.1" customHeight="1"/>
    <row r="407" ht="11.1" customHeight="1"/>
    <row r="408" ht="11.1" customHeight="1"/>
    <row r="409" ht="11.1" customHeight="1"/>
    <row r="410" ht="11.1" customHeight="1"/>
    <row r="411" ht="11.1" customHeight="1"/>
    <row r="412" ht="11.1" customHeight="1"/>
    <row r="413" ht="11.1" customHeight="1"/>
    <row r="414" ht="11.1" customHeight="1"/>
    <row r="415" ht="11.1" customHeight="1"/>
    <row r="416" ht="11.1" customHeight="1"/>
    <row r="417" ht="11.1" customHeight="1"/>
    <row r="418" ht="11.1" customHeight="1"/>
    <row r="419" ht="11.1" customHeight="1"/>
    <row r="420" ht="11.1" customHeight="1"/>
    <row r="421" ht="11.1" customHeight="1"/>
    <row r="422" ht="11.1" customHeight="1"/>
    <row r="423" ht="11.1" customHeight="1"/>
    <row r="424" ht="11.1" customHeight="1"/>
    <row r="425" ht="11.1" customHeight="1"/>
    <row r="426" ht="11.1" customHeight="1"/>
    <row r="427" ht="11.1" customHeight="1"/>
    <row r="428" ht="11.1" customHeight="1"/>
    <row r="429" ht="11.1" customHeight="1"/>
    <row r="430" ht="11.1" customHeight="1"/>
    <row r="431" ht="11.1" customHeight="1"/>
    <row r="432" ht="11.1" customHeight="1"/>
    <row r="433" ht="11.1" customHeight="1"/>
    <row r="434" ht="11.1" customHeight="1"/>
    <row r="435" ht="11.1" customHeight="1"/>
    <row r="436" ht="11.1" customHeight="1"/>
    <row r="437" ht="11.1" customHeight="1"/>
    <row r="438" ht="11.1" customHeight="1"/>
    <row r="439" ht="11.1" customHeight="1"/>
    <row r="440" ht="11.1" customHeight="1"/>
    <row r="441" ht="11.1" customHeight="1"/>
    <row r="442" ht="11.1" customHeight="1"/>
    <row r="443" ht="11.1" customHeight="1"/>
    <row r="444" ht="11.1" customHeight="1"/>
    <row r="445" ht="11.1" customHeight="1"/>
    <row r="446" ht="11.1" customHeight="1"/>
    <row r="447" ht="11.1" customHeight="1"/>
    <row r="448" ht="11.1" customHeight="1"/>
    <row r="449" ht="11.1" customHeight="1"/>
    <row r="450" ht="11.1" customHeight="1"/>
    <row r="451" ht="11.1" customHeight="1"/>
    <row r="452" ht="11.1" customHeight="1"/>
    <row r="453" ht="11.1" customHeight="1"/>
    <row r="454" ht="11.1" customHeight="1"/>
    <row r="455" ht="11.1" customHeight="1"/>
    <row r="456" ht="11.1" customHeight="1"/>
    <row r="457" ht="11.1" customHeight="1"/>
    <row r="458" ht="11.1" customHeight="1"/>
    <row r="459" ht="11.1" customHeight="1"/>
    <row r="460" ht="11.1" customHeight="1"/>
    <row r="461" ht="11.1" customHeight="1"/>
    <row r="462" ht="11.1" customHeight="1"/>
    <row r="463" ht="11.1" customHeight="1"/>
    <row r="464" ht="11.1" customHeight="1"/>
    <row r="465" ht="11.1" customHeight="1"/>
    <row r="466" ht="11.1" customHeight="1"/>
    <row r="467" ht="11.1" customHeight="1"/>
    <row r="468" ht="11.1" customHeight="1"/>
    <row r="469" ht="11.1" customHeight="1"/>
    <row r="470" ht="11.1" customHeight="1"/>
    <row r="471" ht="11.1" customHeight="1"/>
    <row r="472" ht="11.1" customHeight="1"/>
    <row r="473" ht="11.1" customHeight="1"/>
    <row r="474" ht="11.1" customHeight="1"/>
    <row r="475" ht="11.1" customHeight="1"/>
    <row r="476" ht="11.1" customHeight="1"/>
    <row r="477" ht="11.1" customHeight="1"/>
    <row r="478" ht="11.1" customHeight="1"/>
    <row r="479" ht="11.1" customHeight="1"/>
    <row r="480" ht="11.1" customHeight="1"/>
    <row r="481" ht="11.1" customHeight="1"/>
    <row r="482" ht="11.1" customHeight="1"/>
    <row r="483" ht="11.1" customHeight="1"/>
    <row r="484" ht="11.1" customHeight="1"/>
    <row r="485" ht="11.1" customHeight="1"/>
    <row r="486" ht="11.1" customHeight="1"/>
    <row r="487" ht="11.1" customHeight="1"/>
    <row r="488" ht="11.1" customHeight="1"/>
    <row r="489" ht="11.1" customHeight="1"/>
    <row r="490" ht="11.1" customHeight="1"/>
    <row r="491" ht="11.1" customHeight="1"/>
    <row r="492" ht="11.1" customHeight="1"/>
    <row r="493" ht="11.1" customHeight="1"/>
    <row r="494" ht="11.1" customHeight="1"/>
    <row r="495" ht="11.1" customHeight="1"/>
    <row r="496" ht="11.1" customHeight="1"/>
    <row r="497" ht="11.1" customHeight="1"/>
    <row r="498" ht="11.1" customHeight="1"/>
    <row r="499" ht="11.1" customHeight="1"/>
    <row r="500" ht="11.1" customHeight="1"/>
    <row r="501" ht="11.1" customHeight="1"/>
    <row r="502" ht="11.1" customHeight="1"/>
    <row r="503" ht="11.1" customHeight="1"/>
    <row r="504" ht="11.1" customHeight="1"/>
    <row r="505" ht="11.1" customHeight="1"/>
    <row r="506" ht="11.1" customHeight="1"/>
    <row r="507" ht="11.1" customHeight="1"/>
    <row r="508" ht="11.1" customHeight="1"/>
    <row r="509" ht="11.1" customHeight="1"/>
    <row r="510" ht="11.1" customHeight="1"/>
    <row r="511" ht="11.1" customHeight="1"/>
    <row r="512" ht="11.1" customHeight="1"/>
    <row r="513" ht="11.1" customHeight="1"/>
    <row r="514" ht="11.1" customHeight="1"/>
    <row r="515" ht="11.1" customHeight="1"/>
    <row r="516" ht="11.1" customHeight="1"/>
    <row r="517" ht="11.1" customHeight="1"/>
    <row r="518" ht="11.1" customHeight="1"/>
    <row r="519" ht="11.1" customHeight="1"/>
    <row r="520" ht="11.1" customHeight="1"/>
    <row r="521" ht="11.1" customHeight="1"/>
    <row r="522" ht="11.1" customHeight="1"/>
    <row r="523" ht="11.1" customHeight="1"/>
    <row r="524" ht="11.1" customHeight="1"/>
    <row r="525" ht="11.1" customHeight="1"/>
    <row r="526" ht="11.1" customHeight="1"/>
    <row r="527" ht="11.1" customHeight="1"/>
    <row r="528" ht="11.1" customHeight="1"/>
    <row r="529" ht="11.1" customHeight="1"/>
    <row r="530" ht="11.1" customHeight="1"/>
    <row r="531" ht="11.1" customHeight="1"/>
    <row r="532" ht="11.1" customHeight="1"/>
    <row r="533" ht="11.1" customHeight="1"/>
    <row r="534" ht="11.1" customHeight="1"/>
    <row r="535" ht="11.1" customHeight="1"/>
    <row r="536" ht="11.1" customHeight="1"/>
    <row r="537" ht="11.1" customHeight="1"/>
    <row r="538" ht="11.1" customHeight="1"/>
    <row r="539" ht="11.1" customHeight="1"/>
    <row r="540" ht="11.1" customHeight="1"/>
    <row r="541" ht="11.1" customHeight="1"/>
    <row r="542" ht="11.1" customHeight="1"/>
    <row r="543" ht="11.1" customHeight="1"/>
    <row r="544" ht="11.1" customHeight="1"/>
    <row r="545" ht="11.1" customHeight="1"/>
    <row r="546" ht="11.1" customHeight="1"/>
    <row r="547" ht="11.1" customHeight="1"/>
    <row r="548" ht="11.1" customHeight="1"/>
    <row r="549" ht="11.1" customHeight="1"/>
    <row r="550" ht="11.1" customHeight="1"/>
    <row r="551" ht="11.1" customHeight="1"/>
    <row r="552" ht="11.1" customHeight="1"/>
    <row r="553" ht="11.1" customHeight="1"/>
    <row r="554" ht="11.1" customHeight="1"/>
    <row r="555" ht="11.1" customHeight="1"/>
    <row r="556" ht="11.1" customHeight="1"/>
    <row r="557" ht="11.1" customHeight="1"/>
    <row r="558" ht="11.1" customHeight="1"/>
    <row r="559" ht="11.1" customHeight="1"/>
    <row r="560" ht="11.1" customHeight="1"/>
    <row r="561" ht="11.1" customHeight="1"/>
    <row r="562" ht="11.1" customHeight="1"/>
    <row r="563" ht="11.1" customHeight="1"/>
    <row r="564" ht="11.1" customHeight="1"/>
    <row r="565" ht="11.1" customHeight="1"/>
    <row r="566" ht="11.1" customHeight="1"/>
    <row r="567" ht="11.1" customHeight="1"/>
    <row r="568" ht="11.1" customHeight="1"/>
    <row r="569" ht="11.1" customHeight="1"/>
    <row r="570" ht="11.1" customHeight="1"/>
    <row r="571" ht="11.1" customHeight="1"/>
    <row r="572" ht="11.1" customHeight="1"/>
    <row r="573" ht="11.1" customHeight="1"/>
    <row r="574" ht="11.1" customHeight="1"/>
    <row r="575" ht="11.1" customHeight="1"/>
    <row r="576" ht="11.1" customHeight="1"/>
    <row r="577" ht="11.1" customHeight="1"/>
    <row r="578" ht="11.1" customHeight="1"/>
    <row r="579" ht="11.1" customHeight="1"/>
    <row r="580" ht="11.1" customHeight="1"/>
    <row r="581" ht="11.1" customHeight="1"/>
    <row r="582" ht="11.1" customHeight="1"/>
    <row r="583" ht="11.1" customHeight="1"/>
    <row r="584" ht="11.1" customHeight="1"/>
    <row r="585" ht="11.1" customHeight="1"/>
    <row r="586" ht="11.1" customHeight="1"/>
    <row r="587" ht="11.1" customHeight="1"/>
    <row r="588" ht="11.1" customHeight="1"/>
    <row r="589" ht="11.1" customHeight="1"/>
    <row r="590" ht="11.1" customHeight="1"/>
    <row r="591" ht="11.1" customHeight="1"/>
    <row r="592" ht="11.1" customHeight="1"/>
    <row r="593" ht="11.1" customHeight="1"/>
    <row r="594" ht="11.1" customHeight="1"/>
    <row r="595" ht="11.1" customHeight="1"/>
    <row r="596" ht="11.1" customHeight="1"/>
    <row r="597" ht="11.1" customHeight="1"/>
    <row r="598" ht="11.1" customHeight="1"/>
    <row r="599" ht="11.1" customHeight="1"/>
    <row r="600" ht="11.1" customHeight="1"/>
    <row r="601" ht="11.1" customHeight="1"/>
    <row r="602" ht="11.1" customHeight="1"/>
    <row r="603" ht="11.1" customHeight="1"/>
    <row r="604" ht="11.1" customHeight="1"/>
    <row r="605" ht="11.1" customHeight="1"/>
    <row r="606" ht="11.1" customHeight="1"/>
    <row r="607" ht="11.1" customHeight="1"/>
    <row r="608" ht="11.1" customHeight="1"/>
    <row r="609" ht="11.1" customHeight="1"/>
    <row r="610" ht="11.1" customHeight="1"/>
    <row r="611" ht="11.1" customHeight="1"/>
    <row r="612" ht="11.1" customHeight="1"/>
    <row r="613" ht="11.1" customHeight="1"/>
    <row r="614" ht="11.1" customHeight="1"/>
    <row r="615" ht="11.1" customHeight="1"/>
    <row r="616" ht="11.1" customHeight="1"/>
    <row r="617" ht="11.1" customHeight="1"/>
    <row r="618" ht="11.1" customHeight="1"/>
    <row r="619" ht="11.1" customHeight="1"/>
    <row r="620" ht="11.1" customHeight="1"/>
    <row r="621" ht="11.1" customHeight="1"/>
    <row r="622" ht="11.1" customHeight="1"/>
    <row r="623" ht="11.1" customHeight="1"/>
    <row r="624" ht="11.1" customHeight="1"/>
    <row r="625" ht="11.1" customHeight="1"/>
    <row r="626" ht="11.1" customHeight="1"/>
    <row r="627" ht="11.1" customHeight="1"/>
    <row r="628" ht="11.1" customHeight="1"/>
    <row r="629" ht="11.1" customHeight="1"/>
    <row r="630" ht="11.1" customHeight="1"/>
    <row r="631" ht="11.1" customHeight="1"/>
    <row r="632" ht="11.1" customHeight="1"/>
    <row r="633" ht="11.1" customHeight="1"/>
    <row r="634" ht="11.1" customHeight="1"/>
    <row r="635" ht="11.1" customHeight="1"/>
    <row r="636" ht="11.1" customHeight="1"/>
    <row r="637" ht="11.1" customHeight="1"/>
    <row r="638" ht="11.1" customHeight="1"/>
    <row r="639" ht="11.1" customHeight="1"/>
    <row r="640" ht="11.1" customHeight="1"/>
    <row r="641" ht="11.1" customHeight="1"/>
    <row r="642" ht="11.1" customHeight="1"/>
    <row r="643" ht="11.1" customHeight="1"/>
    <row r="644" ht="11.1" customHeight="1"/>
    <row r="645" ht="11.1" customHeight="1"/>
    <row r="646" ht="11.1" customHeight="1"/>
    <row r="647" ht="11.1" customHeight="1"/>
    <row r="648" ht="11.1" customHeight="1"/>
    <row r="649" ht="11.1" customHeight="1"/>
    <row r="650" ht="11.1" customHeight="1"/>
    <row r="651" ht="11.1" customHeight="1"/>
    <row r="652" ht="11.1" customHeight="1"/>
    <row r="653" ht="11.1" customHeight="1"/>
    <row r="654" ht="11.1" customHeight="1"/>
    <row r="655" ht="11.1" customHeight="1"/>
    <row r="656" ht="11.1" customHeight="1"/>
    <row r="657" ht="11.1" customHeight="1"/>
    <row r="658" ht="11.1" customHeight="1"/>
    <row r="659" ht="11.1" customHeight="1"/>
    <row r="660" ht="11.1" customHeight="1"/>
    <row r="661" ht="11.1" customHeight="1"/>
    <row r="662" ht="11.1" customHeight="1"/>
    <row r="663" ht="11.1" customHeight="1"/>
    <row r="664" ht="11.1" customHeight="1"/>
    <row r="665" ht="11.1" customHeight="1"/>
    <row r="666" ht="11.1" customHeight="1"/>
    <row r="667" ht="11.1" customHeight="1"/>
    <row r="668" ht="11.1" customHeight="1"/>
    <row r="669" ht="11.1" customHeight="1"/>
    <row r="670" ht="11.1" customHeight="1"/>
    <row r="671" ht="11.1" customHeight="1"/>
    <row r="672" ht="11.1" customHeight="1"/>
    <row r="673" ht="11.1" customHeight="1"/>
    <row r="674" ht="11.1" customHeight="1"/>
    <row r="675" ht="11.1" customHeight="1"/>
    <row r="676" ht="11.1" customHeight="1"/>
    <row r="677" ht="11.1" customHeight="1"/>
    <row r="678" ht="11.1" customHeight="1"/>
    <row r="679" ht="11.1" customHeight="1"/>
    <row r="680" ht="11.1" customHeight="1"/>
    <row r="681" ht="11.1" customHeight="1"/>
    <row r="682" ht="11.1" customHeight="1"/>
    <row r="683" ht="11.1" customHeight="1"/>
    <row r="684" ht="11.1" customHeight="1"/>
    <row r="685" ht="11.1" customHeight="1"/>
    <row r="686" ht="11.1" customHeight="1"/>
    <row r="687" ht="11.1" customHeight="1"/>
    <row r="688" ht="11.1" customHeight="1"/>
    <row r="689" ht="11.1" customHeight="1"/>
    <row r="690" ht="11.1" customHeight="1"/>
    <row r="691" ht="11.1" customHeight="1"/>
    <row r="692" ht="11.1" customHeight="1"/>
    <row r="693" ht="11.1" customHeight="1"/>
    <row r="694" ht="11.1" customHeight="1"/>
    <row r="695" ht="11.1" customHeight="1"/>
    <row r="696" ht="11.1" customHeight="1"/>
    <row r="697" ht="11.1" customHeight="1"/>
    <row r="698" ht="11.1" customHeight="1"/>
    <row r="699" ht="11.1" customHeight="1"/>
    <row r="700" ht="11.1" customHeight="1"/>
    <row r="701" ht="11.1" customHeight="1"/>
    <row r="702" ht="11.1" customHeight="1"/>
    <row r="703" ht="11.1" customHeight="1"/>
    <row r="704" ht="11.1" customHeight="1"/>
    <row r="705" ht="11.1" customHeight="1"/>
    <row r="706" ht="11.1" customHeight="1"/>
    <row r="707" ht="11.1" customHeight="1"/>
    <row r="708" ht="11.1" customHeight="1"/>
    <row r="709" ht="11.1" customHeight="1"/>
    <row r="710" ht="11.1" customHeight="1"/>
    <row r="711" ht="11.1" customHeight="1"/>
    <row r="712" ht="11.1" customHeight="1"/>
    <row r="713" ht="11.1" customHeight="1"/>
    <row r="714" ht="11.1" customHeight="1"/>
    <row r="715" ht="11.1" customHeight="1"/>
    <row r="716" ht="11.1" customHeight="1"/>
    <row r="717" ht="11.1" customHeight="1"/>
    <row r="718" ht="11.1" customHeight="1"/>
    <row r="719" ht="11.1" customHeight="1"/>
    <row r="720" ht="11.1" customHeight="1"/>
    <row r="721" ht="11.1" customHeight="1"/>
    <row r="722" ht="11.1" customHeight="1"/>
    <row r="723" ht="11.1" customHeight="1"/>
    <row r="724" ht="11.1" customHeight="1"/>
    <row r="725" ht="11.1" customHeight="1"/>
    <row r="726" ht="11.1" customHeight="1"/>
    <row r="727" ht="11.1" customHeight="1"/>
    <row r="728" ht="11.1" customHeight="1"/>
    <row r="729" ht="11.1" customHeight="1"/>
    <row r="730" ht="11.1" customHeight="1"/>
    <row r="731" ht="11.1" customHeight="1"/>
    <row r="732" ht="11.1" customHeight="1"/>
    <row r="733" ht="11.1" customHeight="1"/>
    <row r="734" ht="11.1" customHeight="1"/>
    <row r="735" ht="11.1" customHeight="1"/>
    <row r="736" ht="11.1" customHeight="1"/>
    <row r="737" ht="11.1" customHeight="1"/>
    <row r="738" ht="11.1" customHeight="1"/>
    <row r="739" ht="11.1" customHeight="1"/>
    <row r="740" ht="11.1" customHeight="1"/>
    <row r="741" ht="11.1" customHeight="1"/>
    <row r="742" ht="11.1" customHeight="1"/>
    <row r="743" ht="11.1" customHeight="1"/>
    <row r="744" ht="11.1" customHeight="1"/>
    <row r="745" ht="11.1" customHeight="1"/>
    <row r="746" ht="11.1" customHeight="1"/>
    <row r="747" ht="11.1" customHeight="1"/>
    <row r="748" ht="11.1" customHeight="1"/>
    <row r="749" ht="11.1" customHeight="1"/>
    <row r="750" ht="11.1" customHeight="1"/>
    <row r="751" ht="11.1" customHeight="1"/>
    <row r="752" ht="11.1" customHeight="1"/>
    <row r="753" ht="11.1" customHeight="1"/>
    <row r="754" ht="11.1" customHeight="1"/>
    <row r="755" ht="11.1" customHeight="1"/>
    <row r="756" ht="11.1" customHeight="1"/>
    <row r="757" ht="11.1" customHeight="1"/>
    <row r="758" ht="11.1" customHeight="1"/>
    <row r="759" ht="11.1" customHeight="1"/>
    <row r="760" ht="11.1" customHeight="1"/>
    <row r="761" ht="11.1" customHeight="1"/>
    <row r="762" ht="11.1" customHeight="1"/>
    <row r="763" ht="11.1" customHeight="1"/>
    <row r="764" ht="11.1" customHeight="1"/>
    <row r="765" ht="11.1" customHeight="1"/>
    <row r="766" ht="11.1" customHeight="1"/>
    <row r="767" ht="11.1" customHeight="1"/>
    <row r="768" ht="11.1" customHeight="1"/>
    <row r="769" ht="11.1" customHeight="1"/>
    <row r="770" ht="11.1" customHeight="1"/>
    <row r="771" ht="11.1" customHeight="1"/>
    <row r="772" ht="11.1" customHeight="1"/>
    <row r="773" ht="11.1" customHeight="1"/>
    <row r="774" ht="11.1" customHeight="1"/>
    <row r="775" ht="11.1" customHeight="1"/>
    <row r="776" ht="11.1" customHeight="1"/>
    <row r="777" ht="11.1" customHeight="1"/>
    <row r="778" ht="11.1" customHeight="1"/>
    <row r="779" ht="11.1" customHeight="1"/>
    <row r="780" ht="11.1" customHeight="1"/>
    <row r="781" ht="11.1" customHeight="1"/>
    <row r="782" ht="11.1" customHeight="1"/>
    <row r="783" ht="11.1" customHeight="1"/>
    <row r="784" ht="11.1" customHeight="1"/>
    <row r="785" ht="11.1" customHeight="1"/>
    <row r="786" ht="11.1" customHeight="1"/>
    <row r="787" ht="11.1" customHeight="1"/>
    <row r="788" ht="11.1" customHeight="1"/>
    <row r="789" ht="11.1" customHeight="1"/>
    <row r="790" ht="11.1" customHeight="1"/>
    <row r="791" ht="11.1" customHeight="1"/>
    <row r="792" ht="11.1" customHeight="1"/>
    <row r="793" ht="11.1" customHeight="1"/>
    <row r="794" ht="11.1" customHeight="1"/>
    <row r="795" ht="11.1" customHeight="1"/>
    <row r="796" ht="11.1" customHeight="1"/>
    <row r="797" ht="11.1" customHeight="1"/>
    <row r="798" ht="11.1" customHeight="1"/>
    <row r="799" ht="11.1" customHeight="1"/>
    <row r="800" ht="11.1" customHeight="1"/>
    <row r="801" ht="11.1" customHeight="1"/>
    <row r="802" ht="11.1" customHeight="1"/>
    <row r="803" ht="11.1" customHeight="1"/>
    <row r="804" ht="11.1" customHeight="1"/>
    <row r="805" ht="11.1" customHeight="1"/>
    <row r="806" ht="11.1" customHeight="1"/>
    <row r="807" ht="11.1" customHeight="1"/>
    <row r="808" ht="11.1" customHeight="1"/>
    <row r="809" ht="11.1" customHeight="1"/>
    <row r="810" ht="11.1" customHeight="1"/>
    <row r="811" ht="11.1" customHeight="1"/>
    <row r="812" ht="11.1" customHeight="1"/>
    <row r="813" ht="11.1" customHeight="1"/>
    <row r="814" ht="11.1" customHeight="1"/>
    <row r="815" ht="11.1" customHeight="1"/>
    <row r="816" ht="11.1" customHeight="1"/>
    <row r="817" ht="11.1" customHeight="1"/>
    <row r="818" ht="11.1" customHeight="1"/>
    <row r="819" ht="11.1" customHeight="1"/>
    <row r="820" ht="11.1" customHeight="1"/>
    <row r="821" ht="11.1" customHeight="1"/>
    <row r="822" ht="11.1" customHeight="1"/>
    <row r="823" ht="11.1" customHeight="1"/>
    <row r="824" ht="11.1" customHeight="1"/>
    <row r="825" ht="11.1" customHeight="1"/>
    <row r="826" ht="11.1" customHeight="1"/>
    <row r="827" ht="11.1" customHeight="1"/>
    <row r="828" ht="11.1" customHeight="1"/>
    <row r="829" ht="11.1" customHeight="1"/>
    <row r="830" ht="11.1" customHeight="1"/>
    <row r="831" ht="11.1" customHeight="1"/>
    <row r="832" ht="11.1" customHeight="1"/>
    <row r="833" ht="11.1" customHeight="1"/>
    <row r="834" ht="11.1" customHeight="1"/>
    <row r="835" ht="11.1" customHeight="1"/>
    <row r="836" ht="11.1" customHeight="1"/>
    <row r="837" ht="11.1" customHeight="1"/>
    <row r="838" ht="11.1" customHeight="1"/>
    <row r="839" ht="11.1" customHeight="1"/>
    <row r="840" ht="11.1" customHeight="1"/>
    <row r="841" ht="11.1" customHeight="1"/>
    <row r="842" ht="11.1" customHeight="1"/>
    <row r="843" ht="11.1" customHeight="1"/>
    <row r="844" ht="11.1" customHeight="1"/>
    <row r="845" ht="11.1" customHeight="1"/>
    <row r="846" ht="11.1" customHeight="1"/>
    <row r="847" ht="11.1" customHeight="1"/>
    <row r="848" ht="11.1" customHeight="1"/>
    <row r="849" ht="11.1" customHeight="1"/>
    <row r="850" ht="11.1" customHeight="1"/>
    <row r="851" ht="11.1" customHeight="1"/>
    <row r="852" ht="11.1" customHeight="1"/>
    <row r="853" ht="11.1" customHeight="1"/>
    <row r="854" ht="11.1" customHeight="1"/>
    <row r="855" ht="11.1" customHeight="1"/>
    <row r="856" ht="11.1" customHeight="1"/>
    <row r="857" ht="11.1" customHeight="1"/>
    <row r="858" ht="11.1" customHeight="1"/>
    <row r="859" ht="11.1" customHeight="1"/>
    <row r="860" ht="11.1" customHeight="1"/>
    <row r="861" ht="11.1" customHeight="1"/>
    <row r="862" ht="11.1" customHeight="1"/>
    <row r="863" ht="11.1" customHeight="1"/>
    <row r="864" ht="11.1" customHeight="1"/>
    <row r="865" ht="11.1" customHeight="1"/>
    <row r="866" ht="11.1" customHeight="1"/>
    <row r="867" ht="11.1" customHeight="1"/>
    <row r="868" ht="11.1" customHeight="1"/>
    <row r="869" ht="11.1" customHeight="1"/>
    <row r="870" ht="11.1" customHeight="1"/>
    <row r="871" ht="11.1" customHeight="1"/>
    <row r="872" ht="11.1" customHeight="1"/>
    <row r="873" ht="11.1" customHeight="1"/>
    <row r="874" ht="11.1" customHeight="1"/>
    <row r="875" ht="11.1" customHeight="1"/>
    <row r="876" ht="11.1" customHeight="1"/>
    <row r="877" ht="11.1" customHeight="1"/>
    <row r="878" ht="11.1" customHeight="1"/>
    <row r="879" ht="11.1" customHeight="1"/>
    <row r="880" ht="11.1" customHeight="1"/>
    <row r="881" ht="11.1" customHeight="1"/>
    <row r="882" ht="11.1" customHeight="1"/>
    <row r="883" ht="11.1" customHeight="1"/>
    <row r="884" ht="11.1" customHeight="1"/>
    <row r="885" ht="11.1" customHeight="1"/>
    <row r="886" ht="11.1" customHeight="1"/>
    <row r="887" ht="11.1" customHeight="1"/>
    <row r="888" ht="11.1" customHeight="1"/>
    <row r="889" ht="11.1" customHeight="1"/>
    <row r="890" ht="11.1" customHeight="1"/>
    <row r="891" ht="11.1" customHeight="1"/>
    <row r="892" ht="11.1" customHeight="1"/>
    <row r="893" ht="11.1" customHeight="1"/>
    <row r="894" ht="11.1" customHeight="1"/>
    <row r="895" ht="11.1" customHeight="1"/>
    <row r="896" ht="11.1" customHeight="1"/>
    <row r="897" ht="11.1" customHeight="1"/>
    <row r="898" ht="11.1" customHeight="1"/>
    <row r="899" ht="11.1" customHeight="1"/>
    <row r="900" ht="11.1" customHeight="1"/>
    <row r="901" ht="11.1" customHeight="1"/>
    <row r="902" ht="11.1" customHeight="1"/>
    <row r="903" ht="11.1" customHeight="1"/>
    <row r="904" ht="11.1" customHeight="1"/>
    <row r="905" ht="11.1" customHeight="1"/>
    <row r="906" ht="11.1" customHeight="1"/>
    <row r="907" ht="11.1" customHeight="1"/>
    <row r="908" ht="11.1" customHeight="1"/>
    <row r="909" ht="11.1" customHeight="1"/>
    <row r="910" ht="11.1" customHeight="1"/>
    <row r="911" ht="11.1" customHeight="1"/>
    <row r="912" ht="11.1" customHeight="1"/>
    <row r="913" ht="11.1" customHeight="1"/>
    <row r="914" ht="11.1" customHeight="1"/>
    <row r="915" ht="11.1" customHeight="1"/>
    <row r="916" ht="11.1" customHeight="1"/>
    <row r="917" ht="11.1" customHeight="1"/>
    <row r="918" ht="11.1" customHeight="1"/>
    <row r="919" ht="11.1" customHeight="1"/>
    <row r="920" ht="11.1" customHeight="1"/>
    <row r="921" ht="11.1" customHeight="1"/>
    <row r="922" ht="11.1" customHeight="1"/>
    <row r="923" ht="11.1" customHeight="1"/>
    <row r="924" ht="11.1" customHeight="1"/>
    <row r="925" ht="11.1" customHeight="1"/>
    <row r="926" ht="11.1" customHeight="1"/>
    <row r="927" ht="11.1" customHeight="1"/>
    <row r="928" ht="11.1" customHeight="1"/>
    <row r="929" ht="11.1" customHeight="1"/>
    <row r="930" ht="11.1" customHeight="1"/>
    <row r="931" ht="11.1" customHeight="1"/>
    <row r="932" ht="11.1" customHeight="1"/>
    <row r="933" ht="11.1" customHeight="1"/>
    <row r="934" ht="11.1" customHeight="1"/>
    <row r="935" ht="11.1" customHeight="1"/>
    <row r="936" ht="11.1" customHeight="1"/>
    <row r="937" ht="11.1" customHeight="1"/>
    <row r="938" ht="11.1" customHeight="1"/>
    <row r="939" ht="11.1" customHeight="1"/>
    <row r="940" ht="11.1" customHeight="1"/>
    <row r="941" ht="11.1" customHeight="1"/>
    <row r="942" ht="11.1" customHeight="1"/>
    <row r="943" ht="11.1" customHeight="1"/>
    <row r="944" ht="11.1" customHeight="1"/>
    <row r="945" ht="11.1" customHeight="1"/>
    <row r="946" ht="11.1" customHeight="1"/>
    <row r="947" ht="11.1" customHeight="1"/>
    <row r="948" ht="11.1" customHeight="1"/>
    <row r="949" ht="11.1" customHeight="1"/>
    <row r="950" ht="11.1" customHeight="1"/>
    <row r="951" ht="11.1" customHeight="1"/>
    <row r="952" ht="11.1" customHeight="1"/>
    <row r="953" ht="11.1" customHeight="1"/>
    <row r="954" ht="11.1" customHeight="1"/>
    <row r="955" ht="11.1" customHeight="1"/>
    <row r="956" ht="11.1" customHeight="1"/>
    <row r="957" ht="11.1" customHeight="1"/>
    <row r="958" ht="11.1" customHeight="1"/>
    <row r="959" ht="11.1" customHeight="1"/>
    <row r="960" ht="11.1" customHeight="1"/>
    <row r="961" ht="11.1" customHeight="1"/>
    <row r="962" ht="11.1" customHeight="1"/>
    <row r="963" ht="11.1" customHeight="1"/>
    <row r="964" ht="11.1" customHeight="1"/>
    <row r="965" ht="11.1" customHeight="1"/>
    <row r="966" ht="11.1" customHeight="1"/>
    <row r="967" ht="11.1" customHeight="1"/>
    <row r="968" ht="11.1" customHeight="1"/>
    <row r="969" ht="11.1" customHeight="1"/>
    <row r="970" ht="11.1" customHeight="1"/>
    <row r="971" ht="11.1" customHeight="1"/>
    <row r="972" ht="11.1" customHeight="1"/>
    <row r="973" ht="11.1" customHeight="1"/>
    <row r="974" ht="11.1" customHeight="1"/>
    <row r="975" ht="11.1" customHeight="1"/>
    <row r="976" ht="11.1" customHeight="1"/>
    <row r="977" ht="11.1" customHeight="1"/>
    <row r="978" ht="11.1" customHeight="1"/>
    <row r="979" ht="11.1" customHeight="1"/>
    <row r="980" ht="11.1" customHeight="1"/>
    <row r="981" ht="11.1" customHeight="1"/>
    <row r="982" ht="11.1" customHeight="1"/>
    <row r="983" ht="11.1" customHeight="1"/>
    <row r="984" ht="11.1" customHeight="1"/>
    <row r="985" ht="11.1" customHeight="1"/>
    <row r="986" ht="11.1" customHeight="1"/>
    <row r="987" ht="11.1" customHeight="1"/>
    <row r="988" ht="11.1" customHeight="1"/>
    <row r="989" ht="11.1" customHeight="1"/>
    <row r="990" ht="11.1" customHeight="1"/>
    <row r="991" ht="11.1" customHeight="1"/>
    <row r="992" ht="11.1" customHeight="1"/>
    <row r="993" ht="11.1" customHeight="1"/>
    <row r="994" ht="11.1" customHeight="1"/>
    <row r="995" ht="11.1" customHeight="1"/>
    <row r="996" ht="11.1" customHeight="1"/>
    <row r="997" ht="11.1" customHeight="1"/>
    <row r="998" ht="11.1" customHeight="1"/>
    <row r="999" ht="11.1" customHeight="1"/>
    <row r="1000" ht="11.1" customHeight="1"/>
    <row r="1001" ht="11.1" customHeight="1"/>
    <row r="1002" ht="11.1" customHeight="1"/>
    <row r="1003" ht="11.1" customHeight="1"/>
    <row r="1004" ht="11.1" customHeight="1"/>
    <row r="1005" ht="11.1" customHeight="1"/>
    <row r="1006" ht="11.1" customHeight="1"/>
    <row r="1007" ht="11.1" customHeight="1"/>
    <row r="1008" ht="11.1" customHeight="1"/>
    <row r="1009" ht="11.1" customHeight="1"/>
    <row r="1010" ht="11.1" customHeight="1"/>
    <row r="1011" ht="11.1" customHeight="1"/>
    <row r="1012" ht="11.1" customHeight="1"/>
    <row r="1013" ht="11.1" customHeight="1"/>
    <row r="1014" ht="11.1" customHeight="1"/>
    <row r="1015" ht="11.1" customHeight="1"/>
    <row r="1016" ht="11.1" customHeight="1"/>
    <row r="1017" ht="11.1" customHeight="1"/>
    <row r="1018" ht="11.1" customHeight="1"/>
    <row r="1019" ht="11.1" customHeight="1"/>
    <row r="1020" ht="11.1" customHeight="1"/>
    <row r="1021" ht="11.1" customHeight="1"/>
    <row r="1022" ht="11.1" customHeight="1"/>
    <row r="1023" ht="11.1" customHeight="1"/>
    <row r="1024" ht="11.1" customHeight="1"/>
    <row r="1025" ht="11.1" customHeight="1"/>
    <row r="1026" ht="11.1" customHeight="1"/>
    <row r="1027" ht="11.1" customHeight="1"/>
    <row r="1028" ht="11.1" customHeight="1"/>
    <row r="1029" ht="11.1" customHeight="1"/>
    <row r="1030" ht="11.1" customHeight="1"/>
    <row r="1031" ht="11.1" customHeight="1"/>
    <row r="1032" ht="11.1" customHeight="1"/>
    <row r="1033" ht="11.1" customHeight="1"/>
    <row r="1034" ht="11.1" customHeight="1"/>
    <row r="1035" ht="11.1" customHeight="1"/>
    <row r="1036" ht="11.1" customHeight="1"/>
    <row r="1037" ht="11.1" customHeight="1"/>
    <row r="1038" ht="11.1" customHeight="1"/>
    <row r="1039" ht="11.1" customHeight="1"/>
    <row r="1040" ht="11.1" customHeight="1"/>
    <row r="1041" ht="11.1" customHeight="1"/>
    <row r="1042" ht="11.1" customHeight="1"/>
    <row r="1043" ht="11.1" customHeight="1"/>
    <row r="1044" ht="11.1" customHeight="1"/>
    <row r="1045" ht="11.1" customHeight="1"/>
    <row r="1046" ht="11.1" customHeight="1"/>
    <row r="1047" ht="11.1" customHeight="1"/>
    <row r="1048" ht="11.1" customHeight="1"/>
    <row r="1049" ht="11.1" customHeight="1"/>
    <row r="1050" ht="11.1" customHeight="1"/>
    <row r="1051" ht="11.1" customHeight="1"/>
    <row r="1052" ht="11.1" customHeight="1"/>
    <row r="1053" ht="11.1" customHeight="1"/>
    <row r="1054" ht="11.1" customHeight="1"/>
    <row r="1055" ht="11.1" customHeight="1"/>
    <row r="1056" ht="11.1" customHeight="1"/>
    <row r="1057" ht="11.1" customHeight="1"/>
    <row r="1058" ht="11.1" customHeight="1"/>
    <row r="1059" ht="11.1" customHeight="1"/>
    <row r="1060" ht="11.1" customHeight="1"/>
    <row r="1061" ht="11.1" customHeight="1"/>
    <row r="1062" ht="11.1" customHeight="1"/>
    <row r="1063" ht="11.1" customHeight="1"/>
    <row r="1064" ht="11.1" customHeight="1"/>
    <row r="1065" ht="11.1" customHeight="1"/>
    <row r="1066" ht="11.1" customHeight="1"/>
    <row r="1067" ht="11.1" customHeight="1"/>
  </sheetData>
  <mergeCells count="4">
    <mergeCell ref="A2:J2"/>
    <mergeCell ref="K2:S2"/>
    <mergeCell ref="T2:AB2"/>
    <mergeCell ref="A3:A4"/>
  </mergeCells>
  <pageMargins left="0.7" right="0.7" top="0.75" bottom="0.75" header="0.3" footer="0.3"/>
  <pageSetup paperSize="9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0"/>
  <sheetViews>
    <sheetView workbookViewId="0">
      <pane xSplit="1" topLeftCell="B1" activePane="topRight" state="frozen"/>
      <selection pane="topRight" activeCell="A29" sqref="A29"/>
    </sheetView>
  </sheetViews>
  <sheetFormatPr defaultColWidth="9.125" defaultRowHeight="12"/>
  <cols>
    <col min="1" max="1" width="16.875" style="1" customWidth="1"/>
    <col min="2" max="16384" width="9.125" style="1"/>
  </cols>
  <sheetData>
    <row r="1" spans="1:28" s="5" customFormat="1" ht="30" customHeight="1" thickBot="1">
      <c r="A1" s="51" t="s">
        <v>99</v>
      </c>
      <c r="B1" s="52"/>
      <c r="C1" s="52"/>
      <c r="D1" s="52"/>
      <c r="E1" s="52"/>
      <c r="F1" s="52"/>
      <c r="G1" s="52"/>
      <c r="H1" s="52"/>
      <c r="I1" s="52"/>
      <c r="J1" s="52"/>
    </row>
    <row r="2" spans="1:28" s="5" customFormat="1" ht="11.1" customHeight="1">
      <c r="A2" s="232" t="s">
        <v>27</v>
      </c>
      <c r="B2" s="233"/>
      <c r="C2" s="233"/>
      <c r="D2" s="233"/>
      <c r="E2" s="233"/>
      <c r="F2" s="233"/>
      <c r="G2" s="233"/>
      <c r="H2" s="233"/>
      <c r="I2" s="233"/>
      <c r="J2" s="234"/>
      <c r="K2" s="232" t="s">
        <v>33</v>
      </c>
      <c r="L2" s="233"/>
      <c r="M2" s="233"/>
      <c r="N2" s="233"/>
      <c r="O2" s="233"/>
      <c r="P2" s="233"/>
      <c r="Q2" s="233"/>
      <c r="R2" s="233"/>
      <c r="S2" s="234"/>
      <c r="T2" s="232" t="s">
        <v>73</v>
      </c>
      <c r="U2" s="233"/>
      <c r="V2" s="233"/>
      <c r="W2" s="233"/>
      <c r="X2" s="233"/>
      <c r="Y2" s="233"/>
      <c r="Z2" s="233"/>
      <c r="AA2" s="233"/>
      <c r="AB2" s="234"/>
    </row>
    <row r="3" spans="1:28" s="5" customFormat="1" ht="17.25" customHeight="1" thickBot="1">
      <c r="A3" s="239" t="s">
        <v>58</v>
      </c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5"/>
      <c r="K3" s="11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5"/>
    </row>
    <row r="4" spans="1:28" s="5" customFormat="1" ht="12.75" customHeight="1" thickBot="1">
      <c r="A4" s="240"/>
      <c r="B4" s="9" t="s">
        <v>0</v>
      </c>
      <c r="C4" s="10" t="s">
        <v>3</v>
      </c>
      <c r="D4" s="16" t="s">
        <v>4</v>
      </c>
      <c r="E4" s="17" t="s">
        <v>0</v>
      </c>
      <c r="F4" s="10" t="s">
        <v>3</v>
      </c>
      <c r="G4" s="16" t="s">
        <v>4</v>
      </c>
      <c r="H4" s="17" t="s">
        <v>0</v>
      </c>
      <c r="I4" s="10" t="s">
        <v>3</v>
      </c>
      <c r="J4" s="18" t="s">
        <v>4</v>
      </c>
      <c r="K4" s="9" t="s">
        <v>0</v>
      </c>
      <c r="L4" s="10" t="s">
        <v>3</v>
      </c>
      <c r="M4" s="10" t="s">
        <v>4</v>
      </c>
      <c r="N4" s="19" t="s">
        <v>0</v>
      </c>
      <c r="O4" s="20" t="s">
        <v>3</v>
      </c>
      <c r="P4" s="21" t="s">
        <v>4</v>
      </c>
      <c r="Q4" s="17" t="s">
        <v>0</v>
      </c>
      <c r="R4" s="10" t="s">
        <v>3</v>
      </c>
      <c r="S4" s="18" t="s">
        <v>4</v>
      </c>
      <c r="T4" s="105" t="s">
        <v>0</v>
      </c>
      <c r="U4" s="20" t="s">
        <v>3</v>
      </c>
      <c r="V4" s="20" t="s">
        <v>4</v>
      </c>
      <c r="W4" s="19" t="s">
        <v>0</v>
      </c>
      <c r="X4" s="20" t="s">
        <v>3</v>
      </c>
      <c r="Y4" s="21" t="s">
        <v>4</v>
      </c>
      <c r="Z4" s="103" t="s">
        <v>0</v>
      </c>
      <c r="AA4" s="20" t="s">
        <v>3</v>
      </c>
      <c r="AB4" s="104" t="s">
        <v>4</v>
      </c>
    </row>
    <row r="5" spans="1:28" s="5" customFormat="1" ht="16.5" customHeight="1" thickBot="1">
      <c r="A5" s="22" t="s">
        <v>28</v>
      </c>
      <c r="B5" s="23">
        <f>+B6+B7+B8+B9+B10+B11+B12+B13+B14+B15+B16+B17+B18+B19+B20+B21+B22+B23+B24+B25</f>
        <v>264477.85460169183</v>
      </c>
      <c r="C5" s="23">
        <f t="shared" ref="C5:J5" si="0">+C6+C7+C8+C9+C10+C11+C12+C13+C14+C15+C16+C17+C18+C19+C20+C21+C22+C23+C24+C25</f>
        <v>127486.0632564746</v>
      </c>
      <c r="D5" s="94">
        <f t="shared" si="0"/>
        <v>136991.7913451888</v>
      </c>
      <c r="E5" s="23">
        <f t="shared" si="0"/>
        <v>101803.6203406868</v>
      </c>
      <c r="F5" s="23">
        <f t="shared" si="0"/>
        <v>48962.041799691258</v>
      </c>
      <c r="G5" s="94">
        <f t="shared" si="0"/>
        <v>52841.578541000672</v>
      </c>
      <c r="H5" s="23">
        <f t="shared" si="0"/>
        <v>162674.23426098164</v>
      </c>
      <c r="I5" s="23">
        <f t="shared" si="0"/>
        <v>78524.02145678566</v>
      </c>
      <c r="J5" s="95">
        <f t="shared" si="0"/>
        <v>84150.212804192619</v>
      </c>
      <c r="K5" s="23">
        <f>+K6+K7+K8+K9+K10+K11+K12+K13+K14+K15+K16+K17+K18+K19+K20+K21+K22+K23+K24+K25</f>
        <v>273399.161821071</v>
      </c>
      <c r="L5" s="23">
        <f t="shared" ref="L5:S5" si="1">+L6+L7+L8+L9+L10+L11+L12+L13+L14+L15+L16+L17+L18+L19+L20+L21+L22+L23+L24+L25</f>
        <v>131786.3943304031</v>
      </c>
      <c r="M5" s="23">
        <f t="shared" si="1"/>
        <v>141612.76749071333</v>
      </c>
      <c r="N5" s="98">
        <f t="shared" si="1"/>
        <v>105237.63705440714</v>
      </c>
      <c r="O5" s="23">
        <f t="shared" si="1"/>
        <v>50613.618328256191</v>
      </c>
      <c r="P5" s="94">
        <f t="shared" si="1"/>
        <v>54624.018726147973</v>
      </c>
      <c r="Q5" s="23">
        <f t="shared" si="1"/>
        <v>168161.52476671088</v>
      </c>
      <c r="R5" s="23">
        <f t="shared" si="1"/>
        <v>81172.776002136045</v>
      </c>
      <c r="S5" s="95">
        <f t="shared" si="1"/>
        <v>86988.748764555363</v>
      </c>
      <c r="T5" s="99">
        <f>+T6+T7+T8+T9+T10+T11+T12+T13+T14+T15+T16+T17+T18+T19+T20+T21+T22+T23+T24+T25</f>
        <v>282594.19870976877</v>
      </c>
      <c r="U5" s="99">
        <f t="shared" ref="U5:AB5" si="2">+U6+U7+U8+U9+U10+U11+U12+U13+U14+U15+U16+U17+U18+U19+U20+U21+U22+U23+U24+U25</f>
        <v>136218.67111292368</v>
      </c>
      <c r="V5" s="94">
        <f t="shared" si="2"/>
        <v>146375.52759691962</v>
      </c>
      <c r="W5" s="99">
        <f t="shared" si="2"/>
        <v>108777.01862512597</v>
      </c>
      <c r="X5" s="99">
        <f t="shared" si="2"/>
        <v>52315.869661073441</v>
      </c>
      <c r="Y5" s="94">
        <f t="shared" si="2"/>
        <v>56461.14896404936</v>
      </c>
      <c r="Z5" s="99">
        <f t="shared" si="2"/>
        <v>173817.18008471216</v>
      </c>
      <c r="AA5" s="99">
        <f t="shared" si="2"/>
        <v>83902.801451845909</v>
      </c>
      <c r="AB5" s="95">
        <f t="shared" si="2"/>
        <v>89914.378632867141</v>
      </c>
    </row>
    <row r="6" spans="1:28" s="5" customFormat="1" ht="12" customHeight="1">
      <c r="A6" s="24" t="s">
        <v>5</v>
      </c>
      <c r="B6" s="25">
        <v>43237.060239326922</v>
      </c>
      <c r="C6" s="25">
        <v>21488.853921361726</v>
      </c>
      <c r="D6" s="26">
        <v>21748.206317965116</v>
      </c>
      <c r="E6" s="25">
        <v>14790.324347693708</v>
      </c>
      <c r="F6" s="25">
        <v>7160.5387266870039</v>
      </c>
      <c r="G6" s="26">
        <v>7629.7856210066257</v>
      </c>
      <c r="H6" s="25">
        <v>28446.735891633136</v>
      </c>
      <c r="I6" s="25">
        <v>14328.315194674646</v>
      </c>
      <c r="J6" s="27">
        <v>14118.420696958414</v>
      </c>
      <c r="K6" s="25">
        <v>44695.52298373641</v>
      </c>
      <c r="L6" s="25">
        <v>22213.711085358223</v>
      </c>
      <c r="M6" s="25">
        <v>22481.811898390493</v>
      </c>
      <c r="N6" s="28">
        <v>15289.228225972869</v>
      </c>
      <c r="O6" s="25">
        <v>7402.0764007327161</v>
      </c>
      <c r="P6" s="26">
        <v>7887.1518252415572</v>
      </c>
      <c r="Q6" s="25">
        <v>29406.294757777443</v>
      </c>
      <c r="R6" s="25">
        <v>14811.634684618406</v>
      </c>
      <c r="S6" s="27">
        <v>14594.660073141444</v>
      </c>
      <c r="T6" s="25">
        <v>46198.735282806403</v>
      </c>
      <c r="U6" s="25">
        <v>22960.808814205837</v>
      </c>
      <c r="V6" s="25">
        <v>23237.926468582071</v>
      </c>
      <c r="W6" s="28">
        <v>15803.439815363739</v>
      </c>
      <c r="X6" s="25">
        <v>7651.0250994228636</v>
      </c>
      <c r="Y6" s="26">
        <v>8152.4147159450913</v>
      </c>
      <c r="Z6" s="25">
        <v>30395.295467424989</v>
      </c>
      <c r="AA6" s="25">
        <v>15309.783714777936</v>
      </c>
      <c r="AB6" s="27">
        <v>15085.511752631905</v>
      </c>
    </row>
    <row r="7" spans="1:28" s="5" customFormat="1" ht="12" customHeight="1">
      <c r="A7" s="24" t="s">
        <v>6</v>
      </c>
      <c r="B7" s="25">
        <v>36883.158183425927</v>
      </c>
      <c r="C7" s="25">
        <v>18340.258060292053</v>
      </c>
      <c r="D7" s="26">
        <v>18542.900123109288</v>
      </c>
      <c r="E7" s="25">
        <v>14525.751502831932</v>
      </c>
      <c r="F7" s="25">
        <v>7086.7153218087269</v>
      </c>
      <c r="G7" s="26">
        <v>7439.0361810244985</v>
      </c>
      <c r="H7" s="25">
        <v>22357.406680572345</v>
      </c>
      <c r="I7" s="25">
        <v>11253.54273848153</v>
      </c>
      <c r="J7" s="27">
        <v>11103.863942082673</v>
      </c>
      <c r="K7" s="25">
        <v>38127.292539636263</v>
      </c>
      <c r="L7" s="25">
        <v>18958.907500284877</v>
      </c>
      <c r="M7" s="25">
        <v>19168.385039367691</v>
      </c>
      <c r="N7" s="28">
        <v>15015.730869708945</v>
      </c>
      <c r="O7" s="25">
        <v>7325.7628014472157</v>
      </c>
      <c r="P7" s="26">
        <v>7689.9680682616545</v>
      </c>
      <c r="Q7" s="25">
        <v>23111.561669943625</v>
      </c>
      <c r="R7" s="25">
        <v>11633.144698837588</v>
      </c>
      <c r="S7" s="27">
        <v>11478.416971105964</v>
      </c>
      <c r="T7" s="25">
        <v>39409.60027982694</v>
      </c>
      <c r="U7" s="25">
        <v>19596.538766864964</v>
      </c>
      <c r="V7" s="25">
        <v>19813.061512986125</v>
      </c>
      <c r="W7" s="28">
        <v>15520.744119707957</v>
      </c>
      <c r="X7" s="25">
        <v>7572.1448998733349</v>
      </c>
      <c r="Y7" s="26">
        <v>7948.5992198345475</v>
      </c>
      <c r="Z7" s="25">
        <v>23888.856160141855</v>
      </c>
      <c r="AA7" s="25">
        <v>12024.393866996303</v>
      </c>
      <c r="AB7" s="27">
        <v>11864.462293156572</v>
      </c>
    </row>
    <row r="8" spans="1:28" s="5" customFormat="1" ht="12" customHeight="1">
      <c r="A8" s="24" t="s">
        <v>7</v>
      </c>
      <c r="B8" s="25">
        <v>35388.672970148822</v>
      </c>
      <c r="C8" s="25">
        <v>17847.46940753196</v>
      </c>
      <c r="D8" s="26">
        <v>17541.203562592276</v>
      </c>
      <c r="E8" s="25">
        <v>14619.012906741989</v>
      </c>
      <c r="F8" s="25">
        <v>7280.146381770327</v>
      </c>
      <c r="G8" s="26">
        <v>7338.8665249729556</v>
      </c>
      <c r="H8" s="25">
        <v>20769.660063385036</v>
      </c>
      <c r="I8" s="25">
        <v>10567.323025760616</v>
      </c>
      <c r="J8" s="27">
        <v>10202.337037618787</v>
      </c>
      <c r="K8" s="25">
        <v>36582.395688905228</v>
      </c>
      <c r="L8" s="25">
        <v>18449.49621206076</v>
      </c>
      <c r="M8" s="25">
        <v>18132.899476856051</v>
      </c>
      <c r="N8" s="28">
        <v>15112.138146218649</v>
      </c>
      <c r="O8" s="25">
        <v>7525.718634208084</v>
      </c>
      <c r="P8" s="26">
        <v>7586.4195120104905</v>
      </c>
      <c r="Q8" s="25">
        <v>21470.257542698164</v>
      </c>
      <c r="R8" s="25">
        <v>10923.777577852603</v>
      </c>
      <c r="S8" s="27">
        <v>10546.479964845488</v>
      </c>
      <c r="T8" s="25">
        <v>37812.745027183373</v>
      </c>
      <c r="U8" s="25">
        <v>19069.994816070321</v>
      </c>
      <c r="V8" s="25">
        <v>18742.750211137201</v>
      </c>
      <c r="W8" s="28">
        <v>15620.393792638866</v>
      </c>
      <c r="X8" s="25">
        <v>7778.8257029892948</v>
      </c>
      <c r="Y8" s="26">
        <v>7841.5680896494969</v>
      </c>
      <c r="Z8" s="25">
        <v>22192.351234567526</v>
      </c>
      <c r="AA8" s="25">
        <v>11291.169113084921</v>
      </c>
      <c r="AB8" s="27">
        <v>10901.182121491116</v>
      </c>
    </row>
    <row r="9" spans="1:28" s="5" customFormat="1" ht="12" customHeight="1">
      <c r="A9" s="24" t="s">
        <v>8</v>
      </c>
      <c r="B9" s="25">
        <v>31440.115225737758</v>
      </c>
      <c r="C9" s="25">
        <v>15101.085702501261</v>
      </c>
      <c r="D9" s="26">
        <v>16339.02952324179</v>
      </c>
      <c r="E9" s="25">
        <v>13127.005390018441</v>
      </c>
      <c r="F9" s="25">
        <v>6425.1913355371444</v>
      </c>
      <c r="G9" s="26">
        <v>6701.8140544840016</v>
      </c>
      <c r="H9" s="25">
        <v>18313.109835724612</v>
      </c>
      <c r="I9" s="25">
        <v>8675.8943669680066</v>
      </c>
      <c r="J9" s="27">
        <v>9637.2154687618986</v>
      </c>
      <c r="K9" s="25">
        <v>32500.646087096473</v>
      </c>
      <c r="L9" s="25">
        <v>15610.472112581085</v>
      </c>
      <c r="M9" s="25">
        <v>16890.173974509176</v>
      </c>
      <c r="N9" s="28">
        <v>13569.802569137117</v>
      </c>
      <c r="O9" s="25">
        <v>6641.9244375737553</v>
      </c>
      <c r="P9" s="26">
        <v>6927.8781315593142</v>
      </c>
      <c r="Q9" s="25">
        <v>18930.843517953144</v>
      </c>
      <c r="R9" s="25">
        <v>8968.5476750023099</v>
      </c>
      <c r="S9" s="27">
        <v>9962.2958429446244</v>
      </c>
      <c r="T9" s="25">
        <v>33593.716883951347</v>
      </c>
      <c r="U9" s="25">
        <v>16135.487865992973</v>
      </c>
      <c r="V9" s="25">
        <v>17458.229017976588</v>
      </c>
      <c r="W9" s="28">
        <v>14026.185955117195</v>
      </c>
      <c r="X9" s="25">
        <v>6865.3074933551907</v>
      </c>
      <c r="Y9" s="26">
        <v>7160.8784617579458</v>
      </c>
      <c r="Z9" s="25">
        <v>19567.530928849224</v>
      </c>
      <c r="AA9" s="25">
        <v>9270.1803726329563</v>
      </c>
      <c r="AB9" s="27">
        <v>10297.350556215197</v>
      </c>
    </row>
    <row r="10" spans="1:28" s="5" customFormat="1" ht="12" customHeight="1">
      <c r="A10" s="24" t="s">
        <v>9</v>
      </c>
      <c r="B10" s="25">
        <v>25580.467600399315</v>
      </c>
      <c r="C10" s="25">
        <v>12098.089706100893</v>
      </c>
      <c r="D10" s="26">
        <v>13482.377894304374</v>
      </c>
      <c r="E10" s="25">
        <v>10915.259628691279</v>
      </c>
      <c r="F10" s="25">
        <v>4986.971830356958</v>
      </c>
      <c r="G10" s="26">
        <v>5928.2877983360522</v>
      </c>
      <c r="H10" s="25">
        <v>14665.207971713988</v>
      </c>
      <c r="I10" s="25">
        <v>7111.1178757465786</v>
      </c>
      <c r="J10" s="27">
        <v>7554.0900959720348</v>
      </c>
      <c r="K10" s="25">
        <v>26443.342152311299</v>
      </c>
      <c r="L10" s="25">
        <v>12506.179733898658</v>
      </c>
      <c r="M10" s="25">
        <v>13937.162418417607</v>
      </c>
      <c r="N10" s="28">
        <v>11283.45069963736</v>
      </c>
      <c r="O10" s="25">
        <v>5155.1912370824521</v>
      </c>
      <c r="P10" s="26">
        <v>6128.2594625560641</v>
      </c>
      <c r="Q10" s="25">
        <v>15159.891452678905</v>
      </c>
      <c r="R10" s="25">
        <v>7350.9884968182751</v>
      </c>
      <c r="S10" s="27">
        <v>7808.9029558646807</v>
      </c>
      <c r="T10" s="25">
        <v>27332.692013271277</v>
      </c>
      <c r="U10" s="25">
        <v>12926.791059937783</v>
      </c>
      <c r="V10" s="25">
        <v>14405.900953347906</v>
      </c>
      <c r="W10" s="28">
        <v>11662.938861653729</v>
      </c>
      <c r="X10" s="25">
        <v>5328.5720670667179</v>
      </c>
      <c r="Y10" s="26">
        <v>6334.3667945856014</v>
      </c>
      <c r="Z10" s="25">
        <v>15669.75315163196</v>
      </c>
      <c r="AA10" s="25">
        <v>7598.2189928696553</v>
      </c>
      <c r="AB10" s="27">
        <v>8071.5341587608946</v>
      </c>
    </row>
    <row r="11" spans="1:28" s="5" customFormat="1" ht="12" customHeight="1">
      <c r="A11" s="29" t="s">
        <v>10</v>
      </c>
      <c r="B11" s="25">
        <v>20568.755300299221</v>
      </c>
      <c r="C11" s="25">
        <v>9686.4829646093804</v>
      </c>
      <c r="D11" s="26">
        <v>10882.272335695792</v>
      </c>
      <c r="E11" s="30">
        <v>8239.7545432358693</v>
      </c>
      <c r="F11" s="30">
        <v>3642.7396407898163</v>
      </c>
      <c r="G11" s="31">
        <v>4597.0149024457187</v>
      </c>
      <c r="H11" s="30">
        <v>12329.000757069303</v>
      </c>
      <c r="I11" s="30">
        <v>6043.7433238203466</v>
      </c>
      <c r="J11" s="32">
        <v>6285.2574332517788</v>
      </c>
      <c r="K11" s="25">
        <v>21262.575905550781</v>
      </c>
      <c r="L11" s="25">
        <v>10013.225218826072</v>
      </c>
      <c r="M11" s="25">
        <v>11249.350686729675</v>
      </c>
      <c r="N11" s="33">
        <v>8517.6960813032892</v>
      </c>
      <c r="O11" s="30">
        <v>3765.61571109335</v>
      </c>
      <c r="P11" s="31">
        <v>4752.0803702091534</v>
      </c>
      <c r="Q11" s="30">
        <v>12744.879824252457</v>
      </c>
      <c r="R11" s="30">
        <v>6247.6095077330529</v>
      </c>
      <c r="S11" s="32">
        <v>6497.2703165216517</v>
      </c>
      <c r="T11" s="25">
        <v>21977.684790669089</v>
      </c>
      <c r="U11" s="25">
        <v>10349.992803077765</v>
      </c>
      <c r="V11" s="25">
        <v>11627.691987597998</v>
      </c>
      <c r="W11" s="33">
        <v>8804.165612347866</v>
      </c>
      <c r="X11" s="30">
        <v>3892.2619492957701</v>
      </c>
      <c r="Y11" s="31">
        <v>4911.9036630507599</v>
      </c>
      <c r="Z11" s="30">
        <v>13173.519178327897</v>
      </c>
      <c r="AA11" s="30">
        <v>6457.7308537806584</v>
      </c>
      <c r="AB11" s="32">
        <v>6715.7883245458288</v>
      </c>
    </row>
    <row r="12" spans="1:28" s="5" customFormat="1" ht="12" customHeight="1">
      <c r="A12" s="29" t="s">
        <v>11</v>
      </c>
      <c r="B12" s="30">
        <v>16129.108637334855</v>
      </c>
      <c r="C12" s="30">
        <v>7915.0276449706671</v>
      </c>
      <c r="D12" s="31">
        <v>8214.0809923685065</v>
      </c>
      <c r="E12" s="25">
        <v>6731.1718317179984</v>
      </c>
      <c r="F12" s="25">
        <v>3300.7086400800781</v>
      </c>
      <c r="G12" s="26">
        <v>3430.4631916369513</v>
      </c>
      <c r="H12" s="25">
        <v>9397.9368056203039</v>
      </c>
      <c r="I12" s="25">
        <v>4614.3190048893748</v>
      </c>
      <c r="J12" s="27">
        <v>4783.6178007303097</v>
      </c>
      <c r="K12" s="30">
        <v>16673.172084709073</v>
      </c>
      <c r="L12" s="30">
        <v>8182.0155686938806</v>
      </c>
      <c r="M12" s="30">
        <v>8491.1565160198497</v>
      </c>
      <c r="N12" s="28">
        <v>6958.2261987001484</v>
      </c>
      <c r="O12" s="25">
        <v>3412.0473979669882</v>
      </c>
      <c r="P12" s="26">
        <v>3546.178800732433</v>
      </c>
      <c r="Q12" s="25">
        <v>9714.9458860127106</v>
      </c>
      <c r="R12" s="25">
        <v>4769.9681707259697</v>
      </c>
      <c r="S12" s="27">
        <v>4944.97771528666</v>
      </c>
      <c r="T12" s="30">
        <v>17233.928860077445</v>
      </c>
      <c r="U12" s="30">
        <v>8457.1953990820566</v>
      </c>
      <c r="V12" s="30">
        <v>8776.7334609988011</v>
      </c>
      <c r="W12" s="28">
        <v>7192.2472035597093</v>
      </c>
      <c r="X12" s="25">
        <v>3526.8023280165435</v>
      </c>
      <c r="Y12" s="26">
        <v>3665.4448755424514</v>
      </c>
      <c r="Z12" s="25">
        <v>10041.681656520459</v>
      </c>
      <c r="AA12" s="25">
        <v>4930.3930710648319</v>
      </c>
      <c r="AB12" s="27">
        <v>5111.2885854558408</v>
      </c>
    </row>
    <row r="13" spans="1:28" s="5" customFormat="1" ht="12" customHeight="1">
      <c r="A13" s="29" t="s">
        <v>12</v>
      </c>
      <c r="B13" s="30">
        <v>11712.510853867294</v>
      </c>
      <c r="C13" s="30">
        <v>5607.8681425252262</v>
      </c>
      <c r="D13" s="31">
        <v>6104.6427113431519</v>
      </c>
      <c r="E13" s="30">
        <v>4735.4232530091676</v>
      </c>
      <c r="F13" s="30">
        <v>2252.7861665540931</v>
      </c>
      <c r="G13" s="31">
        <v>2482.6370864548398</v>
      </c>
      <c r="H13" s="30">
        <v>6977.0876008592104</v>
      </c>
      <c r="I13" s="30">
        <v>3355.0819759705773</v>
      </c>
      <c r="J13" s="32">
        <v>3622.0056248875735</v>
      </c>
      <c r="K13" s="30">
        <v>12107.594622961175</v>
      </c>
      <c r="L13" s="30">
        <v>5797.0314833303128</v>
      </c>
      <c r="M13" s="30">
        <v>6310.5631396324843</v>
      </c>
      <c r="N13" s="33">
        <v>4895.1574799737627</v>
      </c>
      <c r="O13" s="30">
        <v>2328.7766403946339</v>
      </c>
      <c r="P13" s="31">
        <v>2566.3808395791361</v>
      </c>
      <c r="Q13" s="30">
        <v>7212.4371429890343</v>
      </c>
      <c r="R13" s="30">
        <v>3468.2548429353651</v>
      </c>
      <c r="S13" s="32">
        <v>3744.1823000528516</v>
      </c>
      <c r="T13" s="30">
        <v>12514.800623338899</v>
      </c>
      <c r="U13" s="30">
        <v>5991.9988635492928</v>
      </c>
      <c r="V13" s="30">
        <v>6522.8017597915232</v>
      </c>
      <c r="W13" s="33">
        <v>5059.7927820890573</v>
      </c>
      <c r="X13" s="30">
        <v>2407.0987060930202</v>
      </c>
      <c r="Y13" s="31">
        <v>2652.6940759960571</v>
      </c>
      <c r="Z13" s="30">
        <v>7455.0078412517587</v>
      </c>
      <c r="AA13" s="30">
        <v>3584.9001574559716</v>
      </c>
      <c r="AB13" s="32">
        <v>3870.1076837949822</v>
      </c>
    </row>
    <row r="14" spans="1:28" s="5" customFormat="1" ht="12" customHeight="1">
      <c r="A14" s="29" t="s">
        <v>13</v>
      </c>
      <c r="B14" s="30">
        <v>7980.5227995660653</v>
      </c>
      <c r="C14" s="30">
        <v>3825.9056344769456</v>
      </c>
      <c r="D14" s="31">
        <v>4154.6171650877122</v>
      </c>
      <c r="E14" s="30">
        <v>3209.2625751733294</v>
      </c>
      <c r="F14" s="30">
        <v>1602.7776511358522</v>
      </c>
      <c r="G14" s="31">
        <v>1606.4849240374772</v>
      </c>
      <c r="H14" s="30">
        <v>4771.2602243915553</v>
      </c>
      <c r="I14" s="30">
        <v>2223.1279833410936</v>
      </c>
      <c r="J14" s="32">
        <v>2548.1322410502139</v>
      </c>
      <c r="K14" s="30">
        <v>8249.719991042135</v>
      </c>
      <c r="L14" s="30">
        <v>3954.9602186842649</v>
      </c>
      <c r="M14" s="30">
        <v>4294.759772356796</v>
      </c>
      <c r="N14" s="33">
        <v>3317.5166950656271</v>
      </c>
      <c r="O14" s="30">
        <v>1656.8421846362405</v>
      </c>
      <c r="P14" s="31">
        <v>1660.6745104295396</v>
      </c>
      <c r="Q14" s="30">
        <v>4932.2032959756607</v>
      </c>
      <c r="R14" s="30">
        <v>2298.1180340482465</v>
      </c>
      <c r="S14" s="32">
        <v>2634.0852619274083</v>
      </c>
      <c r="T14" s="30">
        <v>8527.1768754522527</v>
      </c>
      <c r="U14" s="30">
        <v>4087.9745441928376</v>
      </c>
      <c r="V14" s="30">
        <v>4439.2023312585889</v>
      </c>
      <c r="W14" s="33">
        <v>3429.0923421411417</v>
      </c>
      <c r="X14" s="30">
        <v>1712.5655632488899</v>
      </c>
      <c r="Y14" s="31">
        <v>1716.526778892488</v>
      </c>
      <c r="Z14" s="30">
        <v>5098.0845333105117</v>
      </c>
      <c r="AA14" s="30">
        <v>2375.4089809442412</v>
      </c>
      <c r="AB14" s="32">
        <v>2722.6755523662773</v>
      </c>
    </row>
    <row r="15" spans="1:28" s="5" customFormat="1" ht="12" customHeight="1">
      <c r="A15" s="29" t="s">
        <v>14</v>
      </c>
      <c r="B15" s="30">
        <v>8580.3991809393629</v>
      </c>
      <c r="C15" s="30">
        <v>3810.7612800710713</v>
      </c>
      <c r="D15" s="31">
        <v>4769.6379008681988</v>
      </c>
      <c r="E15" s="30">
        <v>2979.3224553282716</v>
      </c>
      <c r="F15" s="30">
        <v>1446.3571222087348</v>
      </c>
      <c r="G15" s="31">
        <v>1532.9653331194431</v>
      </c>
      <c r="H15" s="30">
        <v>5601.0767256109984</v>
      </c>
      <c r="I15" s="30">
        <v>2364.4041578622428</v>
      </c>
      <c r="J15" s="32">
        <v>3236.672567748662</v>
      </c>
      <c r="K15" s="30">
        <v>8869.8312669415627</v>
      </c>
      <c r="L15" s="30">
        <v>3939.3050183381097</v>
      </c>
      <c r="M15" s="30">
        <v>4930.5262486020538</v>
      </c>
      <c r="N15" s="33">
        <v>3079.8202870643404</v>
      </c>
      <c r="O15" s="30">
        <v>1495.1453137783283</v>
      </c>
      <c r="P15" s="31">
        <v>1584.6749732860126</v>
      </c>
      <c r="Q15" s="30">
        <v>5790.0109798761287</v>
      </c>
      <c r="R15" s="30">
        <v>2444.1597045597819</v>
      </c>
      <c r="S15" s="32">
        <v>3345.8512753157452</v>
      </c>
      <c r="T15" s="30">
        <v>9168.1439067917418</v>
      </c>
      <c r="U15" s="30">
        <v>4071.7928237807732</v>
      </c>
      <c r="V15" s="30">
        <v>5096.3510830112536</v>
      </c>
      <c r="W15" s="33">
        <v>3183.4016622286667</v>
      </c>
      <c r="X15" s="30">
        <v>1545.4304581168838</v>
      </c>
      <c r="Y15" s="31">
        <v>1637.9712041119108</v>
      </c>
      <c r="Z15" s="30">
        <v>5984.7422445633601</v>
      </c>
      <c r="AA15" s="30">
        <v>2526.362365664088</v>
      </c>
      <c r="AB15" s="32">
        <v>3458.3798788995568</v>
      </c>
    </row>
    <row r="16" spans="1:28" s="5" customFormat="1" ht="12" customHeight="1">
      <c r="A16" s="29" t="s">
        <v>15</v>
      </c>
      <c r="B16" s="30">
        <v>6855.6585236604014</v>
      </c>
      <c r="C16" s="30">
        <v>3124.0818935647412</v>
      </c>
      <c r="D16" s="31">
        <v>3731.5766300955665</v>
      </c>
      <c r="E16" s="30">
        <v>2337.184434433163</v>
      </c>
      <c r="F16" s="30">
        <v>1150.6519449564594</v>
      </c>
      <c r="G16" s="31">
        <v>1186.53248947661</v>
      </c>
      <c r="H16" s="30">
        <v>4518.4740892271448</v>
      </c>
      <c r="I16" s="30">
        <v>1973.4299486081882</v>
      </c>
      <c r="J16" s="32">
        <v>2545.0441406188629</v>
      </c>
      <c r="K16" s="30">
        <v>7086.9120476021881</v>
      </c>
      <c r="L16" s="30">
        <v>3229.4627179557556</v>
      </c>
      <c r="M16" s="30">
        <v>3857.4493296453697</v>
      </c>
      <c r="N16" s="33">
        <v>2416.0218115716525</v>
      </c>
      <c r="O16" s="30">
        <v>1189.4654763163776</v>
      </c>
      <c r="P16" s="31">
        <v>1226.5563352552754</v>
      </c>
      <c r="Q16" s="30">
        <v>4670.890236029677</v>
      </c>
      <c r="R16" s="30">
        <v>2039.9972416393784</v>
      </c>
      <c r="S16" s="32">
        <v>2630.8929943900948</v>
      </c>
      <c r="T16" s="30">
        <v>7325.2610508339494</v>
      </c>
      <c r="U16" s="30">
        <v>3338.0769091060424</v>
      </c>
      <c r="V16" s="30">
        <v>3987.1841417281917</v>
      </c>
      <c r="W16" s="33">
        <v>2497.2781312085131</v>
      </c>
      <c r="X16" s="30">
        <v>1229.4699110767201</v>
      </c>
      <c r="Y16" s="31">
        <v>1267.8082201318027</v>
      </c>
      <c r="Z16" s="30">
        <v>4827.9829196257215</v>
      </c>
      <c r="AA16" s="30">
        <v>2108.6069980294665</v>
      </c>
      <c r="AB16" s="32">
        <v>2719.3759215965397</v>
      </c>
    </row>
    <row r="17" spans="1:28" s="5" customFormat="1" ht="12" customHeight="1">
      <c r="A17" s="29" t="s">
        <v>16</v>
      </c>
      <c r="B17" s="30">
        <v>6035.3550403204072</v>
      </c>
      <c r="C17" s="30">
        <v>2608.1444085680932</v>
      </c>
      <c r="D17" s="31">
        <v>3427.2106317522203</v>
      </c>
      <c r="E17" s="30">
        <v>1780.4173642928954</v>
      </c>
      <c r="F17" s="30">
        <v>835.15060521032501</v>
      </c>
      <c r="G17" s="31">
        <v>945.26675908250115</v>
      </c>
      <c r="H17" s="30">
        <v>4254.9376760274181</v>
      </c>
      <c r="I17" s="30">
        <v>1772.9938033576918</v>
      </c>
      <c r="J17" s="32">
        <v>2481.9438726696326</v>
      </c>
      <c r="K17" s="30">
        <v>6238.9382725505338</v>
      </c>
      <c r="L17" s="30">
        <v>2696.121746317122</v>
      </c>
      <c r="M17" s="30">
        <v>3542.8165262326506</v>
      </c>
      <c r="N17" s="33">
        <v>1840.4740004508249</v>
      </c>
      <c r="O17" s="30">
        <v>863.32171668124192</v>
      </c>
      <c r="P17" s="31">
        <v>977.15228376958339</v>
      </c>
      <c r="Q17" s="30">
        <v>4398.4642720990551</v>
      </c>
      <c r="R17" s="30">
        <v>1832.8000296358805</v>
      </c>
      <c r="S17" s="32">
        <v>2565.6642424630677</v>
      </c>
      <c r="T17" s="30">
        <v>6448.7679851954872</v>
      </c>
      <c r="U17" s="30">
        <v>2786.7984651071906</v>
      </c>
      <c r="V17" s="30">
        <v>3661.9695200885812</v>
      </c>
      <c r="W17" s="33">
        <v>1902.3733355262736</v>
      </c>
      <c r="X17" s="30">
        <v>892.35719352341869</v>
      </c>
      <c r="Y17" s="31">
        <v>1010.0161420028001</v>
      </c>
      <c r="Z17" s="30">
        <v>4546.3946496694734</v>
      </c>
      <c r="AA17" s="30">
        <v>1894.4412715838428</v>
      </c>
      <c r="AB17" s="32">
        <v>2651.9533780858887</v>
      </c>
    </row>
    <row r="18" spans="1:28" s="5" customFormat="1" ht="12" customHeight="1">
      <c r="A18" s="29" t="s">
        <v>17</v>
      </c>
      <c r="B18" s="30">
        <v>5144.527728095979</v>
      </c>
      <c r="C18" s="30">
        <v>2330.9981336538267</v>
      </c>
      <c r="D18" s="31">
        <v>2813.5295944420586</v>
      </c>
      <c r="E18" s="30">
        <v>1440.1708214293985</v>
      </c>
      <c r="F18" s="30">
        <v>725.03445133814887</v>
      </c>
      <c r="G18" s="31">
        <v>715.13637009121169</v>
      </c>
      <c r="H18" s="30">
        <v>3704.3569066664868</v>
      </c>
      <c r="I18" s="30">
        <v>1605.9636823156115</v>
      </c>
      <c r="J18" s="32">
        <v>2098.3932243507816</v>
      </c>
      <c r="K18" s="30">
        <v>5318.0617747568822</v>
      </c>
      <c r="L18" s="30">
        <v>2409.6268358925322</v>
      </c>
      <c r="M18" s="30">
        <v>2908.4349388639162</v>
      </c>
      <c r="N18" s="33">
        <v>1488.750338099208</v>
      </c>
      <c r="O18" s="30">
        <v>749.49114959290046</v>
      </c>
      <c r="P18" s="31">
        <v>739.25918850630796</v>
      </c>
      <c r="Q18" s="30">
        <v>3829.3114366572404</v>
      </c>
      <c r="R18" s="30">
        <v>1660.1356862996322</v>
      </c>
      <c r="S18" s="32">
        <v>2169.1757503576086</v>
      </c>
      <c r="T18" s="30">
        <v>5496.9203121039445</v>
      </c>
      <c r="U18" s="30">
        <v>2490.6680779231551</v>
      </c>
      <c r="V18" s="30">
        <v>3006.2522341810741</v>
      </c>
      <c r="W18" s="33">
        <v>1538.8204048315247</v>
      </c>
      <c r="X18" s="30">
        <v>774.69824504403732</v>
      </c>
      <c r="Y18" s="31">
        <v>764.12215978746372</v>
      </c>
      <c r="Z18" s="30">
        <v>3958.0999072726167</v>
      </c>
      <c r="AA18" s="30">
        <v>1715.9698328791478</v>
      </c>
      <c r="AB18" s="32">
        <v>2242.1300743936968</v>
      </c>
    </row>
    <row r="19" spans="1:28" s="5" customFormat="1" ht="12" customHeight="1">
      <c r="A19" s="29" t="s">
        <v>18</v>
      </c>
      <c r="B19" s="30">
        <v>3548.3512559719798</v>
      </c>
      <c r="C19" s="30">
        <v>1482.6858910978228</v>
      </c>
      <c r="D19" s="31">
        <v>2065.6653648741581</v>
      </c>
      <c r="E19" s="30">
        <v>926.20548431132124</v>
      </c>
      <c r="F19" s="30">
        <v>427.77065283588325</v>
      </c>
      <c r="G19" s="31">
        <v>498.43483147543901</v>
      </c>
      <c r="H19" s="30">
        <v>2622.1457716606596</v>
      </c>
      <c r="I19" s="30">
        <v>1054.9152382619407</v>
      </c>
      <c r="J19" s="32">
        <v>1567.2305333987199</v>
      </c>
      <c r="K19" s="30">
        <v>3668.0434386110678</v>
      </c>
      <c r="L19" s="30">
        <v>1532.6995164893331</v>
      </c>
      <c r="M19" s="30">
        <v>2135.3439221217345</v>
      </c>
      <c r="N19" s="33">
        <v>957.44803838567702</v>
      </c>
      <c r="O19" s="30">
        <v>442.2001158211778</v>
      </c>
      <c r="P19" s="31">
        <v>515.24792256449916</v>
      </c>
      <c r="Q19" s="30">
        <v>2710.5954002253907</v>
      </c>
      <c r="R19" s="30">
        <v>1090.4994006681552</v>
      </c>
      <c r="S19" s="32">
        <v>1620.0959995572355</v>
      </c>
      <c r="T19" s="30">
        <v>3791.4080989227296</v>
      </c>
      <c r="U19" s="30">
        <v>1584.2476942510555</v>
      </c>
      <c r="V19" s="30">
        <v>2207.160404671472</v>
      </c>
      <c r="W19" s="33">
        <v>989.64919794068089</v>
      </c>
      <c r="X19" s="30">
        <v>457.07231349030536</v>
      </c>
      <c r="Y19" s="31">
        <v>532.5768844503566</v>
      </c>
      <c r="Z19" s="30">
        <v>2801.758900981944</v>
      </c>
      <c r="AA19" s="30">
        <v>1127.1753807607697</v>
      </c>
      <c r="AB19" s="32">
        <v>1674.5835202211119</v>
      </c>
    </row>
    <row r="20" spans="1:28" s="5" customFormat="1" ht="12" customHeight="1">
      <c r="A20" s="29" t="s">
        <v>19</v>
      </c>
      <c r="B20" s="30">
        <v>2521.1969450327229</v>
      </c>
      <c r="C20" s="30">
        <v>1071.3194225889804</v>
      </c>
      <c r="D20" s="31">
        <v>1449.8775224437434</v>
      </c>
      <c r="E20" s="30">
        <v>701.59434506416187</v>
      </c>
      <c r="F20" s="30">
        <v>341.96415020213698</v>
      </c>
      <c r="G20" s="31">
        <v>359.63019486202592</v>
      </c>
      <c r="H20" s="30">
        <v>1819.6025999685619</v>
      </c>
      <c r="I20" s="30">
        <v>729.35527238684449</v>
      </c>
      <c r="J20" s="32">
        <v>1090.2473275817185</v>
      </c>
      <c r="K20" s="30">
        <v>2606.2413905920744</v>
      </c>
      <c r="L20" s="30">
        <v>1107.4569272335691</v>
      </c>
      <c r="M20" s="30">
        <v>1498.7844633585053</v>
      </c>
      <c r="N20" s="33">
        <v>725.26036695154824</v>
      </c>
      <c r="O20" s="30">
        <v>353.49920763285894</v>
      </c>
      <c r="P20" s="31">
        <v>371.76115931868929</v>
      </c>
      <c r="Q20" s="30">
        <v>1880.9810236405262</v>
      </c>
      <c r="R20" s="30">
        <v>753.95771960071022</v>
      </c>
      <c r="S20" s="32">
        <v>1127.0233040398159</v>
      </c>
      <c r="T20" s="30">
        <v>2693.8952281818583</v>
      </c>
      <c r="U20" s="30">
        <v>1144.7032275907807</v>
      </c>
      <c r="V20" s="30">
        <v>1549.1920005910335</v>
      </c>
      <c r="W20" s="33">
        <v>749.65252596051062</v>
      </c>
      <c r="X20" s="30">
        <v>365.38819161024418</v>
      </c>
      <c r="Y20" s="31">
        <v>384.26433435025677</v>
      </c>
      <c r="Z20" s="30">
        <v>1944.2427022212805</v>
      </c>
      <c r="AA20" s="30">
        <v>779.31503598053166</v>
      </c>
      <c r="AB20" s="32">
        <v>1164.9276662407933</v>
      </c>
    </row>
    <row r="21" spans="1:28" s="5" customFormat="1" ht="12" customHeight="1">
      <c r="A21" s="29" t="s">
        <v>20</v>
      </c>
      <c r="B21" s="30">
        <v>1424.6403157867592</v>
      </c>
      <c r="C21" s="30">
        <v>604.4310994347727</v>
      </c>
      <c r="D21" s="31">
        <v>820.20921635198761</v>
      </c>
      <c r="E21" s="30">
        <v>368.46321719197039</v>
      </c>
      <c r="F21" s="30">
        <v>148.89951927620785</v>
      </c>
      <c r="G21" s="31">
        <v>219.56369791576361</v>
      </c>
      <c r="H21" s="30">
        <v>1056.1770985947899</v>
      </c>
      <c r="I21" s="30">
        <v>455.53158015856587</v>
      </c>
      <c r="J21" s="32">
        <v>600.64551843622507</v>
      </c>
      <c r="K21" s="30">
        <v>1472.6959609501762</v>
      </c>
      <c r="L21" s="30">
        <v>624.81963267948129</v>
      </c>
      <c r="M21" s="30">
        <v>847.8763282706949</v>
      </c>
      <c r="N21" s="33">
        <v>380.89213516160447</v>
      </c>
      <c r="O21" s="30">
        <v>153.92216420914153</v>
      </c>
      <c r="P21" s="31">
        <v>226.96997095246294</v>
      </c>
      <c r="Q21" s="30">
        <v>1091.8038257885717</v>
      </c>
      <c r="R21" s="30">
        <v>470.89746847033979</v>
      </c>
      <c r="S21" s="32">
        <v>620.90635731823193</v>
      </c>
      <c r="T21" s="30">
        <v>1522.2260823910167</v>
      </c>
      <c r="U21" s="30">
        <v>645.83374089043696</v>
      </c>
      <c r="V21" s="30">
        <v>876.39234150060054</v>
      </c>
      <c r="W21" s="33">
        <v>393.70240572026307</v>
      </c>
      <c r="X21" s="30">
        <v>159.09891738010651</v>
      </c>
      <c r="Y21" s="31">
        <v>234.6034883401569</v>
      </c>
      <c r="Z21" s="30">
        <v>1128.5236766707706</v>
      </c>
      <c r="AA21" s="30">
        <v>486.73482351032516</v>
      </c>
      <c r="AB21" s="32">
        <v>641.78885316043409</v>
      </c>
    </row>
    <row r="22" spans="1:28" s="5" customFormat="1" ht="12" customHeight="1">
      <c r="A22" s="29" t="s">
        <v>29</v>
      </c>
      <c r="B22" s="30">
        <v>1018.3212886093136</v>
      </c>
      <c r="C22" s="30">
        <v>387.39112218470854</v>
      </c>
      <c r="D22" s="31">
        <v>630.93016642460611</v>
      </c>
      <c r="E22" s="30">
        <v>270.03811122973201</v>
      </c>
      <c r="F22" s="30">
        <v>104.73440762648525</v>
      </c>
      <c r="G22" s="31">
        <v>165.30370360324758</v>
      </c>
      <c r="H22" s="30">
        <v>748.28317737958264</v>
      </c>
      <c r="I22" s="30">
        <v>282.65671455822411</v>
      </c>
      <c r="J22" s="32">
        <v>465.62646282135955</v>
      </c>
      <c r="K22" s="30">
        <v>1052.671072176078</v>
      </c>
      <c r="L22" s="30">
        <v>400.45851196785128</v>
      </c>
      <c r="M22" s="30">
        <v>652.21256020822682</v>
      </c>
      <c r="N22" s="33">
        <v>279.14697576912107</v>
      </c>
      <c r="O22" s="30">
        <v>108.26728499456564</v>
      </c>
      <c r="P22" s="31">
        <v>170.87969077455543</v>
      </c>
      <c r="Q22" s="30">
        <v>773.52409640695703</v>
      </c>
      <c r="R22" s="30">
        <v>292.19122697328561</v>
      </c>
      <c r="S22" s="32">
        <v>481.33286943367142</v>
      </c>
      <c r="T22" s="30">
        <v>1088.0747993707453</v>
      </c>
      <c r="U22" s="30">
        <v>413.92684437027657</v>
      </c>
      <c r="V22" s="30">
        <v>674.14795500045705</v>
      </c>
      <c r="W22" s="33">
        <v>288.53532474019289</v>
      </c>
      <c r="X22" s="30">
        <v>111.90856053007502</v>
      </c>
      <c r="Y22" s="31">
        <v>176.62676421011821</v>
      </c>
      <c r="Z22" s="30">
        <v>799.53947463054601</v>
      </c>
      <c r="AA22" s="30">
        <v>302.01828384020189</v>
      </c>
      <c r="AB22" s="32">
        <v>497.52119079033235</v>
      </c>
    </row>
    <row r="23" spans="1:28" s="5" customFormat="1" ht="12" customHeight="1">
      <c r="A23" s="29" t="s">
        <v>30</v>
      </c>
      <c r="B23" s="30">
        <v>235.96788224280334</v>
      </c>
      <c r="C23" s="30">
        <v>88.330223299445336</v>
      </c>
      <c r="D23" s="31">
        <v>147.63765894335864</v>
      </c>
      <c r="E23" s="30">
        <v>60.569295976762426</v>
      </c>
      <c r="F23" s="30">
        <v>26.499066989833562</v>
      </c>
      <c r="G23" s="31">
        <v>34.070228986928868</v>
      </c>
      <c r="H23" s="30">
        <v>175.39858626604126</v>
      </c>
      <c r="I23" s="30">
        <v>61.831156309611643</v>
      </c>
      <c r="J23" s="32">
        <v>113.56742995642982</v>
      </c>
      <c r="K23" s="30">
        <v>243.92749751787684</v>
      </c>
      <c r="L23" s="30">
        <v>91.309758429151742</v>
      </c>
      <c r="M23" s="30">
        <v>152.61773908872507</v>
      </c>
      <c r="N23" s="33">
        <v>62.612405779989764</v>
      </c>
      <c r="O23" s="30">
        <v>27.39292752874551</v>
      </c>
      <c r="P23" s="31">
        <v>35.219478251244233</v>
      </c>
      <c r="Q23" s="30">
        <v>181.31509173788706</v>
      </c>
      <c r="R23" s="30">
        <v>63.916830900406218</v>
      </c>
      <c r="S23" s="32">
        <v>117.39826083748082</v>
      </c>
      <c r="T23" s="30">
        <v>252.1313351701686</v>
      </c>
      <c r="U23" s="30">
        <v>94.380713700063325</v>
      </c>
      <c r="V23" s="30">
        <v>157.75062147010561</v>
      </c>
      <c r="W23" s="33">
        <v>64.71820368004353</v>
      </c>
      <c r="X23" s="30">
        <v>28.314214110019044</v>
      </c>
      <c r="Y23" s="31">
        <v>36.403989570024486</v>
      </c>
      <c r="Z23" s="30">
        <v>187.41313149012541</v>
      </c>
      <c r="AA23" s="30">
        <v>66.06649959004443</v>
      </c>
      <c r="AB23" s="32">
        <v>121.34663190008132</v>
      </c>
    </row>
    <row r="24" spans="1:28" s="5" customFormat="1" ht="12" customHeight="1">
      <c r="A24" s="29" t="s">
        <v>32</v>
      </c>
      <c r="B24" s="30">
        <v>124.92417295207284</v>
      </c>
      <c r="C24" s="30">
        <v>41.64139098402417</v>
      </c>
      <c r="D24" s="31">
        <v>83.28278196804844</v>
      </c>
      <c r="E24" s="30">
        <v>29.022787655531996</v>
      </c>
      <c r="F24" s="30">
        <v>8.8330223299445212</v>
      </c>
      <c r="G24" s="31">
        <v>20.189765325587476</v>
      </c>
      <c r="H24" s="30">
        <v>95.901385296540681</v>
      </c>
      <c r="I24" s="30">
        <v>32.808368654079651</v>
      </c>
      <c r="J24" s="32">
        <v>63.09301664246086</v>
      </c>
      <c r="K24" s="30">
        <v>129.1380869212289</v>
      </c>
      <c r="L24" s="30">
        <v>43.046028973742956</v>
      </c>
      <c r="M24" s="30">
        <v>86.092057947485927</v>
      </c>
      <c r="N24" s="33">
        <v>30.001777769578418</v>
      </c>
      <c r="O24" s="30">
        <v>9.1309758429151646</v>
      </c>
      <c r="P24" s="31">
        <v>20.870801926663241</v>
      </c>
      <c r="Q24" s="30">
        <v>99.136309151650465</v>
      </c>
      <c r="R24" s="30">
        <v>33.915053130827779</v>
      </c>
      <c r="S24" s="32">
        <v>65.221256020822665</v>
      </c>
      <c r="T24" s="30">
        <v>133.48129509008942</v>
      </c>
      <c r="U24" s="30">
        <v>44.493765030029927</v>
      </c>
      <c r="V24" s="30">
        <v>88.987530060059726</v>
      </c>
      <c r="W24" s="33">
        <v>31.010805930020858</v>
      </c>
      <c r="X24" s="30">
        <v>9.4380713700063481</v>
      </c>
      <c r="Y24" s="31">
        <v>21.57273456001451</v>
      </c>
      <c r="Z24" s="30">
        <v>102.47048916006872</v>
      </c>
      <c r="AA24" s="30">
        <v>35.055693660023579</v>
      </c>
      <c r="AB24" s="32">
        <v>67.414795500045329</v>
      </c>
    </row>
    <row r="25" spans="1:28" s="5" customFormat="1" ht="12" customHeight="1" thickBot="1">
      <c r="A25" s="34" t="s">
        <v>31</v>
      </c>
      <c r="B25" s="35">
        <v>68.14045797385775</v>
      </c>
      <c r="C25" s="35">
        <v>25.237206656984345</v>
      </c>
      <c r="D25" s="36">
        <v>42.903251316873387</v>
      </c>
      <c r="E25" s="35">
        <v>17.666044659889042</v>
      </c>
      <c r="F25" s="35">
        <v>7.5711619970953041</v>
      </c>
      <c r="G25" s="36">
        <v>10.094882662793738</v>
      </c>
      <c r="H25" s="35">
        <v>50.474413313968689</v>
      </c>
      <c r="I25" s="35">
        <v>17.666044659889042</v>
      </c>
      <c r="J25" s="37">
        <v>32.808368654079651</v>
      </c>
      <c r="K25" s="35">
        <v>70.43895650248848</v>
      </c>
      <c r="L25" s="35">
        <v>26.088502408329056</v>
      </c>
      <c r="M25" s="35">
        <v>44.35045409415941</v>
      </c>
      <c r="N25" s="38">
        <v>18.261951685830333</v>
      </c>
      <c r="O25" s="35">
        <v>7.8265507224987125</v>
      </c>
      <c r="P25" s="36">
        <v>10.435400963331617</v>
      </c>
      <c r="Q25" s="35">
        <v>52.177004816658133</v>
      </c>
      <c r="R25" s="35">
        <v>18.261951685830333</v>
      </c>
      <c r="S25" s="37">
        <v>33.915053130827779</v>
      </c>
      <c r="T25" s="35">
        <v>72.807979140048928</v>
      </c>
      <c r="U25" s="35">
        <v>26.965918200018137</v>
      </c>
      <c r="V25" s="35">
        <v>45.842060940030834</v>
      </c>
      <c r="W25" s="38">
        <v>18.876142740012696</v>
      </c>
      <c r="X25" s="35">
        <v>8.0897754600054412</v>
      </c>
      <c r="Y25" s="36">
        <v>10.786367280007255</v>
      </c>
      <c r="Z25" s="35">
        <v>53.931836400036275</v>
      </c>
      <c r="AA25" s="35">
        <v>18.876142740012696</v>
      </c>
      <c r="AB25" s="37">
        <v>35.055693660023579</v>
      </c>
    </row>
    <row r="26" spans="1:28" s="5" customFormat="1" ht="12" customHeight="1">
      <c r="A26" s="151" t="s">
        <v>72</v>
      </c>
      <c r="B26" s="40">
        <v>134851.90647550824</v>
      </c>
      <c r="C26" s="40">
        <v>67164.054807649489</v>
      </c>
      <c r="D26" s="41">
        <v>67687.851668001138</v>
      </c>
      <c r="E26" s="40">
        <v>52042.877788251673</v>
      </c>
      <c r="F26" s="40">
        <v>25545.288269518856</v>
      </c>
      <c r="G26" s="41">
        <v>26497.589518710658</v>
      </c>
      <c r="H26" s="40">
        <v>82809.028687361075</v>
      </c>
      <c r="I26" s="40">
        <v>41618.766538112344</v>
      </c>
      <c r="J26" s="40">
        <v>41190.262149273214</v>
      </c>
      <c r="K26" s="152">
        <v>139400.70050823435</v>
      </c>
      <c r="L26" s="40">
        <v>69429.617525244277</v>
      </c>
      <c r="M26" s="41">
        <v>69971.082982912834</v>
      </c>
      <c r="N26" s="40">
        <v>53798.376380046764</v>
      </c>
      <c r="O26" s="40">
        <v>26406.976160192029</v>
      </c>
      <c r="P26" s="40">
        <v>27391.400219901378</v>
      </c>
      <c r="Q26" s="43">
        <v>85602.324128138556</v>
      </c>
      <c r="R26" s="40">
        <v>43022.641365103373</v>
      </c>
      <c r="S26" s="42">
        <v>42579.682763063414</v>
      </c>
      <c r="T26" s="40">
        <v>144089.06376069007</v>
      </c>
      <c r="U26" s="40">
        <v>71764.693792758699</v>
      </c>
      <c r="V26" s="40">
        <v>72324.369967769395</v>
      </c>
      <c r="W26" s="43">
        <v>55607.738384219228</v>
      </c>
      <c r="X26" s="40">
        <v>27295.102949946053</v>
      </c>
      <c r="Y26" s="40">
        <v>28312.635434284799</v>
      </c>
      <c r="Z26" s="43">
        <v>88481.325376327048</v>
      </c>
      <c r="AA26" s="40">
        <v>44469.59084280995</v>
      </c>
      <c r="AB26" s="42">
        <v>44011.734533479597</v>
      </c>
    </row>
    <row r="27" spans="1:28" s="5" customFormat="1" ht="12" customHeight="1">
      <c r="A27" s="39" t="s">
        <v>22</v>
      </c>
      <c r="B27" s="40">
        <v>6218.29583087028</v>
      </c>
      <c r="C27" s="40">
        <v>2885.1063744697872</v>
      </c>
      <c r="D27" s="41">
        <v>3333.1894564000554</v>
      </c>
      <c r="E27" s="40">
        <v>2544.4717866758588</v>
      </c>
      <c r="F27" s="40">
        <v>1227.6561989622542</v>
      </c>
      <c r="G27" s="41">
        <v>1316.8155877137028</v>
      </c>
      <c r="H27" s="40">
        <v>3673.8240441939838</v>
      </c>
      <c r="I27" s="40">
        <v>1657.450175507699</v>
      </c>
      <c r="J27" s="42">
        <v>2016.3738686866077</v>
      </c>
      <c r="K27" s="40">
        <v>6428.0499805019117</v>
      </c>
      <c r="L27" s="40">
        <v>2982.4261306593921</v>
      </c>
      <c r="M27" s="40">
        <v>3445.6238498426114</v>
      </c>
      <c r="N27" s="43">
        <v>2630.3013339333734</v>
      </c>
      <c r="O27" s="40">
        <v>1269.0672204153411</v>
      </c>
      <c r="P27" s="41">
        <v>1361.2341135181246</v>
      </c>
      <c r="Q27" s="40">
        <v>3797.7486465686302</v>
      </c>
      <c r="R27" s="40">
        <v>1713.3589102441433</v>
      </c>
      <c r="S27" s="42">
        <v>2084.3897363245792</v>
      </c>
      <c r="T27" s="40">
        <v>6644.2399508721383</v>
      </c>
      <c r="U27" s="40">
        <v>3082.7319183827408</v>
      </c>
      <c r="V27" s="40">
        <v>3561.508032489683</v>
      </c>
      <c r="W27" s="43">
        <v>2718.7643622504224</v>
      </c>
      <c r="X27" s="40">
        <v>1311.7488432421285</v>
      </c>
      <c r="Y27" s="41">
        <v>1407.0155190083235</v>
      </c>
      <c r="Z27" s="40">
        <v>3925.4755886220014</v>
      </c>
      <c r="AA27" s="40">
        <v>1770.9830751407096</v>
      </c>
      <c r="AB27" s="42">
        <v>2154.4925134815262</v>
      </c>
    </row>
    <row r="28" spans="1:28" s="5" customFormat="1" ht="12" customHeight="1" thickBot="1">
      <c r="A28" s="45" t="s">
        <v>21</v>
      </c>
      <c r="B28" s="46">
        <v>129625.94812586636</v>
      </c>
      <c r="C28" s="46">
        <v>60322.008448910543</v>
      </c>
      <c r="D28" s="47">
        <v>69303.939677262984</v>
      </c>
      <c r="E28" s="46">
        <v>49760.742552498079</v>
      </c>
      <c r="F28" s="46">
        <v>23416.753530174581</v>
      </c>
      <c r="G28" s="47">
        <v>26343.989022291884</v>
      </c>
      <c r="H28" s="46">
        <v>79865.205573613654</v>
      </c>
      <c r="I28" s="46">
        <v>36905.254918696613</v>
      </c>
      <c r="J28" s="48">
        <v>42959.950654951332</v>
      </c>
      <c r="K28" s="46">
        <v>133998.46131283534</v>
      </c>
      <c r="L28" s="46">
        <v>62356.776805122405</v>
      </c>
      <c r="M28" s="46">
        <v>71641.684507759375</v>
      </c>
      <c r="N28" s="49">
        <v>51439.260674344172</v>
      </c>
      <c r="O28" s="46">
        <v>24206.642168066821</v>
      </c>
      <c r="P28" s="47">
        <v>27232.618506248655</v>
      </c>
      <c r="Q28" s="46">
        <v>82559.200638524911</v>
      </c>
      <c r="R28" s="46">
        <v>38150.134637022471</v>
      </c>
      <c r="S28" s="48">
        <v>44409.066001488012</v>
      </c>
      <c r="T28" s="46">
        <v>138505.13494929089</v>
      </c>
      <c r="U28" s="46">
        <v>64453.977320115991</v>
      </c>
      <c r="V28" s="46">
        <v>74051.157629110719</v>
      </c>
      <c r="W28" s="49">
        <v>53169.280240857915</v>
      </c>
      <c r="X28" s="46">
        <v>25020.766711119322</v>
      </c>
      <c r="Y28" s="47">
        <v>28148.513529753851</v>
      </c>
      <c r="Z28" s="46">
        <v>85335.85470838804</v>
      </c>
      <c r="AA28" s="46">
        <v>39433.210609016074</v>
      </c>
      <c r="AB28" s="48">
        <v>45902.644099364072</v>
      </c>
    </row>
    <row r="29" spans="1:28" s="5" customFormat="1" ht="14.25" customHeight="1">
      <c r="A29" s="260" t="s">
        <v>119</v>
      </c>
      <c r="B29" s="54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</row>
    <row r="30" spans="1:28">
      <c r="A30" s="54"/>
      <c r="B30" s="192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3"/>
  <sheetViews>
    <sheetView zoomScaleNormal="100" workbookViewId="0">
      <pane xSplit="1" topLeftCell="B1" activePane="topRight" state="frozen"/>
      <selection pane="topRight" activeCell="A29" sqref="A29"/>
    </sheetView>
  </sheetViews>
  <sheetFormatPr defaultColWidth="9.125" defaultRowHeight="12"/>
  <cols>
    <col min="1" max="1" width="14.75" style="1" customWidth="1"/>
    <col min="2" max="16384" width="9.125" style="1"/>
  </cols>
  <sheetData>
    <row r="1" spans="1:28" s="5" customFormat="1" ht="30" customHeight="1" thickBot="1">
      <c r="A1" s="51" t="s">
        <v>101</v>
      </c>
      <c r="B1" s="53"/>
      <c r="C1" s="53"/>
      <c r="D1" s="53"/>
      <c r="E1" s="53"/>
      <c r="F1" s="53"/>
      <c r="G1" s="53"/>
      <c r="H1" s="53"/>
      <c r="I1" s="53"/>
      <c r="J1" s="53"/>
    </row>
    <row r="2" spans="1:28" s="5" customFormat="1" ht="11.1" customHeight="1">
      <c r="A2" s="232" t="s">
        <v>34</v>
      </c>
      <c r="B2" s="233"/>
      <c r="C2" s="233"/>
      <c r="D2" s="233"/>
      <c r="E2" s="233"/>
      <c r="F2" s="233"/>
      <c r="G2" s="233"/>
      <c r="H2" s="233"/>
      <c r="I2" s="233"/>
      <c r="J2" s="234"/>
      <c r="K2" s="232" t="s">
        <v>25</v>
      </c>
      <c r="L2" s="233"/>
      <c r="M2" s="233"/>
      <c r="N2" s="233"/>
      <c r="O2" s="233"/>
      <c r="P2" s="233"/>
      <c r="Q2" s="233"/>
      <c r="R2" s="233"/>
      <c r="S2" s="234"/>
      <c r="T2" s="232" t="s">
        <v>26</v>
      </c>
      <c r="U2" s="233"/>
      <c r="V2" s="233"/>
      <c r="W2" s="233"/>
      <c r="X2" s="233"/>
      <c r="Y2" s="233"/>
      <c r="Z2" s="233"/>
      <c r="AA2" s="233"/>
      <c r="AB2" s="234"/>
    </row>
    <row r="3" spans="1:28" s="5" customFormat="1" ht="17.25" customHeight="1" thickBot="1">
      <c r="A3" s="239" t="s">
        <v>58</v>
      </c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5"/>
      <c r="K3" s="11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5"/>
    </row>
    <row r="4" spans="1:28" s="5" customFormat="1" ht="12.75" customHeight="1" thickBot="1">
      <c r="A4" s="240"/>
      <c r="B4" s="9" t="s">
        <v>0</v>
      </c>
      <c r="C4" s="10" t="s">
        <v>3</v>
      </c>
      <c r="D4" s="16" t="s">
        <v>4</v>
      </c>
      <c r="E4" s="17" t="s">
        <v>0</v>
      </c>
      <c r="F4" s="10" t="s">
        <v>3</v>
      </c>
      <c r="G4" s="16" t="s">
        <v>4</v>
      </c>
      <c r="H4" s="17" t="s">
        <v>0</v>
      </c>
      <c r="I4" s="10" t="s">
        <v>3</v>
      </c>
      <c r="J4" s="18" t="s">
        <v>4</v>
      </c>
      <c r="K4" s="9" t="s">
        <v>0</v>
      </c>
      <c r="L4" s="10" t="s">
        <v>3</v>
      </c>
      <c r="M4" s="10" t="s">
        <v>4</v>
      </c>
      <c r="N4" s="19" t="s">
        <v>0</v>
      </c>
      <c r="O4" s="20" t="s">
        <v>3</v>
      </c>
      <c r="P4" s="21" t="s">
        <v>4</v>
      </c>
      <c r="Q4" s="17" t="s">
        <v>0</v>
      </c>
      <c r="R4" s="10" t="s">
        <v>3</v>
      </c>
      <c r="S4" s="18" t="s">
        <v>4</v>
      </c>
      <c r="T4" s="9" t="s">
        <v>0</v>
      </c>
      <c r="U4" s="10" t="s">
        <v>3</v>
      </c>
      <c r="V4" s="10" t="s">
        <v>4</v>
      </c>
      <c r="W4" s="19" t="s">
        <v>0</v>
      </c>
      <c r="X4" s="20" t="s">
        <v>3</v>
      </c>
      <c r="Y4" s="21" t="s">
        <v>4</v>
      </c>
      <c r="Z4" s="19" t="s">
        <v>0</v>
      </c>
      <c r="AA4" s="10" t="s">
        <v>3</v>
      </c>
      <c r="AB4" s="18" t="s">
        <v>4</v>
      </c>
    </row>
    <row r="5" spans="1:28" s="5" customFormat="1" ht="16.5" customHeight="1" thickBot="1">
      <c r="A5" s="22" t="s">
        <v>23</v>
      </c>
      <c r="B5" s="23">
        <f>+B6+B7+B8+B9+B10+B11+B12+B13+B14+B15+B16+B17+B18+B19+B20+B21+B22+B23+B24+B25</f>
        <v>857048.91280911386</v>
      </c>
      <c r="C5" s="23">
        <f t="shared" ref="C5:J5" si="0">+C6+C7+C8+C9+C10+C11+C12+C13+C14+C15+C16+C17+C18+C19+C20+C21+C22+C23+C24+C25</f>
        <v>411729.2116482433</v>
      </c>
      <c r="D5" s="94">
        <f t="shared" si="0"/>
        <v>445319.70116124989</v>
      </c>
      <c r="E5" s="23">
        <f t="shared" si="0"/>
        <v>754492.35021214455</v>
      </c>
      <c r="F5" s="23">
        <f t="shared" si="0"/>
        <v>362524.71367226663</v>
      </c>
      <c r="G5" s="23">
        <f t="shared" si="0"/>
        <v>391967.63654004707</v>
      </c>
      <c r="H5" s="98">
        <f t="shared" si="0"/>
        <v>102556.56259706902</v>
      </c>
      <c r="I5" s="23">
        <f t="shared" si="0"/>
        <v>49204.497975928112</v>
      </c>
      <c r="J5" s="95">
        <f t="shared" si="0"/>
        <v>53352.064621144331</v>
      </c>
      <c r="K5" s="23">
        <f>+K6+K7+K8+K9+K10+K11+K12+K13+K14+K15+K16+K17+K18+K19+K20+K21+K22+K23+K24+K25</f>
        <v>885958.69304285327</v>
      </c>
      <c r="L5" s="23">
        <f t="shared" ref="L5:S5" si="1">+L6+L7+L8+L9+L10+L11+L12+L13+L14+L15+L16+L17+L18+L19+L20+L21+L22+L23+L24+L25</f>
        <v>425617.56836441968</v>
      </c>
      <c r="M5" s="94">
        <f t="shared" si="1"/>
        <v>460341.1246782018</v>
      </c>
      <c r="N5" s="23">
        <f t="shared" si="1"/>
        <v>779942.71565404965</v>
      </c>
      <c r="O5" s="23">
        <f t="shared" si="1"/>
        <v>374753.31538303068</v>
      </c>
      <c r="P5" s="94">
        <f t="shared" si="1"/>
        <v>405189.40027085698</v>
      </c>
      <c r="Q5" s="23">
        <f t="shared" si="1"/>
        <v>106015.97738881485</v>
      </c>
      <c r="R5" s="23">
        <f t="shared" si="1"/>
        <v>50864.252981434925</v>
      </c>
      <c r="S5" s="95">
        <f t="shared" si="1"/>
        <v>55151.724407377129</v>
      </c>
      <c r="T5" s="23">
        <f>+T6+T7+T8+T9+T10+T11+T12+T13+T14+T15+T16+T17+T18+T19+T20+T21+T22+T23+T24+T25</f>
        <v>915755.50299032428</v>
      </c>
      <c r="U5" s="23">
        <f t="shared" ref="U5:AB5" si="2">+U6+U7+U8+U9+U10+U11+U12+U13+U14+U15+U16+U17+U18+U19+U20+U21+U22+U23+U24+U25</f>
        <v>439932.05717097007</v>
      </c>
      <c r="V5" s="23">
        <f t="shared" si="2"/>
        <v>475823.44581855711</v>
      </c>
      <c r="W5" s="98">
        <f t="shared" si="2"/>
        <v>806173.96667132468</v>
      </c>
      <c r="X5" s="23">
        <f t="shared" si="2"/>
        <v>387357.12344216183</v>
      </c>
      <c r="Y5" s="94">
        <f t="shared" si="2"/>
        <v>418816.84322858951</v>
      </c>
      <c r="Z5" s="23">
        <f t="shared" si="2"/>
        <v>109581.53631881526</v>
      </c>
      <c r="AA5" s="23">
        <f t="shared" si="2"/>
        <v>52574.933728835196</v>
      </c>
      <c r="AB5" s="95">
        <f t="shared" si="2"/>
        <v>57006.602589979258</v>
      </c>
    </row>
    <row r="6" spans="1:28" s="5" customFormat="1" ht="12" customHeight="1">
      <c r="A6" s="24" t="s">
        <v>5</v>
      </c>
      <c r="B6" s="25">
        <v>119673.63982399482</v>
      </c>
      <c r="C6" s="25">
        <v>59676.383313331564</v>
      </c>
      <c r="D6" s="26">
        <v>59997.256510989711</v>
      </c>
      <c r="E6" s="25">
        <v>104264.48859519612</v>
      </c>
      <c r="F6" s="25">
        <v>52086.405269477938</v>
      </c>
      <c r="G6" s="26">
        <v>52178.083325951695</v>
      </c>
      <c r="H6" s="25">
        <v>15409.151228891564</v>
      </c>
      <c r="I6" s="25">
        <v>7589.9780438535472</v>
      </c>
      <c r="J6" s="27">
        <v>7819.1731850379383</v>
      </c>
      <c r="K6" s="25">
        <v>123710.4439964816</v>
      </c>
      <c r="L6" s="25">
        <v>61689.373588355542</v>
      </c>
      <c r="M6" s="25">
        <v>62021.07040819915</v>
      </c>
      <c r="N6" s="28">
        <v>107781.51476083405</v>
      </c>
      <c r="O6" s="25">
        <v>53843.372120475913</v>
      </c>
      <c r="P6" s="26">
        <v>53938.14264043123</v>
      </c>
      <c r="Q6" s="25">
        <v>15928.929235672189</v>
      </c>
      <c r="R6" s="25">
        <v>7846.0014678924781</v>
      </c>
      <c r="S6" s="27">
        <v>8082.9277677811151</v>
      </c>
      <c r="T6" s="25">
        <v>127871.10816408273</v>
      </c>
      <c r="U6" s="25">
        <v>63764.127812291597</v>
      </c>
      <c r="V6" s="25">
        <v>64106.980352124519</v>
      </c>
      <c r="W6" s="28">
        <v>111406.45273625934</v>
      </c>
      <c r="X6" s="25">
        <v>55654.247433988043</v>
      </c>
      <c r="Y6" s="26">
        <v>55752.205302511735</v>
      </c>
      <c r="Z6" s="25">
        <v>16464.65542789784</v>
      </c>
      <c r="AA6" s="25">
        <v>8109.8803782966761</v>
      </c>
      <c r="AB6" s="27">
        <v>8354.7750496056178</v>
      </c>
    </row>
    <row r="7" spans="1:28" s="5" customFormat="1" ht="12" customHeight="1">
      <c r="A7" s="24" t="s">
        <v>6</v>
      </c>
      <c r="B7" s="25">
        <v>116514.58061845761</v>
      </c>
      <c r="C7" s="25">
        <v>58193.964664586121</v>
      </c>
      <c r="D7" s="26">
        <v>58320.615953846893</v>
      </c>
      <c r="E7" s="25">
        <v>102001.4942445301</v>
      </c>
      <c r="F7" s="25">
        <v>50937.997165300825</v>
      </c>
      <c r="G7" s="26">
        <v>51063.497079204681</v>
      </c>
      <c r="H7" s="25">
        <v>14513.086373905875</v>
      </c>
      <c r="I7" s="25">
        <v>7255.967499275127</v>
      </c>
      <c r="J7" s="27">
        <v>7257.1188746320413</v>
      </c>
      <c r="K7" s="25">
        <v>120444.82411952494</v>
      </c>
      <c r="L7" s="25">
        <v>60156.950328681502</v>
      </c>
      <c r="M7" s="25">
        <v>60287.87379060786</v>
      </c>
      <c r="N7" s="28">
        <v>105442.18559596274</v>
      </c>
      <c r="O7" s="25">
        <v>52656.226173591378</v>
      </c>
      <c r="P7" s="26">
        <v>52785.959422227497</v>
      </c>
      <c r="Q7" s="25">
        <v>15002.638523516269</v>
      </c>
      <c r="R7" s="25">
        <v>7500.7241551129755</v>
      </c>
      <c r="S7" s="27">
        <v>7501.9143684032188</v>
      </c>
      <c r="T7" s="25">
        <v>124495.65804853803</v>
      </c>
      <c r="U7" s="25">
        <v>62180.165665943874</v>
      </c>
      <c r="V7" s="25">
        <v>62315.4923822696</v>
      </c>
      <c r="W7" s="28">
        <v>108988.4466003938</v>
      </c>
      <c r="X7" s="25">
        <v>54427.175063355462</v>
      </c>
      <c r="Y7" s="26">
        <v>54561.2715368055</v>
      </c>
      <c r="Z7" s="25">
        <v>15507.211448075364</v>
      </c>
      <c r="AA7" s="25">
        <v>7752.9906025997998</v>
      </c>
      <c r="AB7" s="27">
        <v>7754.22084547549</v>
      </c>
    </row>
    <row r="8" spans="1:28" s="5" customFormat="1" ht="12" customHeight="1">
      <c r="A8" s="24" t="s">
        <v>7</v>
      </c>
      <c r="B8" s="25">
        <v>124533.90997937828</v>
      </c>
      <c r="C8" s="25">
        <v>60866.306867988402</v>
      </c>
      <c r="D8" s="26">
        <v>63667.603111365286</v>
      </c>
      <c r="E8" s="25">
        <v>110082.99787472424</v>
      </c>
      <c r="F8" s="25">
        <v>53576.949483352539</v>
      </c>
      <c r="G8" s="26">
        <v>56506.048391347111</v>
      </c>
      <c r="H8" s="25">
        <v>14450.912104632504</v>
      </c>
      <c r="I8" s="25">
        <v>7289.3573846256413</v>
      </c>
      <c r="J8" s="27">
        <v>7161.5547200081555</v>
      </c>
      <c r="K8" s="25">
        <v>128734.65968609462</v>
      </c>
      <c r="L8" s="25">
        <v>62919.435375327674</v>
      </c>
      <c r="M8" s="25">
        <v>65815.224310482386</v>
      </c>
      <c r="N8" s="28">
        <v>113796.29268020575</v>
      </c>
      <c r="O8" s="25">
        <v>55384.195034820601</v>
      </c>
      <c r="P8" s="26">
        <v>58412.09764519021</v>
      </c>
      <c r="Q8" s="25">
        <v>14938.367005843133</v>
      </c>
      <c r="R8" s="25">
        <v>7535.2403405300302</v>
      </c>
      <c r="S8" s="27">
        <v>7403.1266653130278</v>
      </c>
      <c r="T8" s="25">
        <v>133064.29967775854</v>
      </c>
      <c r="U8" s="25">
        <v>65035.559380416693</v>
      </c>
      <c r="V8" s="25">
        <v>68028.740296981356</v>
      </c>
      <c r="W8" s="28">
        <v>117623.52134490188</v>
      </c>
      <c r="X8" s="25">
        <v>57246.891734433317</v>
      </c>
      <c r="Y8" s="26">
        <v>60376.629610184653</v>
      </c>
      <c r="Z8" s="25">
        <v>15440.778332788092</v>
      </c>
      <c r="AA8" s="25">
        <v>7788.6676459948167</v>
      </c>
      <c r="AB8" s="27">
        <v>7652.1106867932003</v>
      </c>
    </row>
    <row r="9" spans="1:28" s="5" customFormat="1" ht="12" customHeight="1">
      <c r="A9" s="24" t="s">
        <v>8</v>
      </c>
      <c r="B9" s="25">
        <v>111779.58290522151</v>
      </c>
      <c r="C9" s="25">
        <v>54131.179663035895</v>
      </c>
      <c r="D9" s="26">
        <v>57648.403242380984</v>
      </c>
      <c r="E9" s="25">
        <v>99682.48276223414</v>
      </c>
      <c r="F9" s="25">
        <v>48266.092179896586</v>
      </c>
      <c r="G9" s="26">
        <v>51416.390582455919</v>
      </c>
      <c r="H9" s="25">
        <v>12097.100143031168</v>
      </c>
      <c r="I9" s="25">
        <v>5865.0874831240862</v>
      </c>
      <c r="J9" s="27">
        <v>6232.0126599089672</v>
      </c>
      <c r="K9" s="25">
        <v>115550.10653346821</v>
      </c>
      <c r="L9" s="25">
        <v>55957.120381772911</v>
      </c>
      <c r="M9" s="25">
        <v>59592.986151997051</v>
      </c>
      <c r="N9" s="28">
        <v>103044.94974242331</v>
      </c>
      <c r="O9" s="25">
        <v>49894.193093173606</v>
      </c>
      <c r="P9" s="26">
        <v>53150.756649474461</v>
      </c>
      <c r="Q9" s="25">
        <v>12505.156791115684</v>
      </c>
      <c r="R9" s="25">
        <v>6062.9272885947312</v>
      </c>
      <c r="S9" s="27">
        <v>6442.2295025177245</v>
      </c>
      <c r="T9" s="25">
        <v>119436.31995536243</v>
      </c>
      <c r="U9" s="25">
        <v>57839.085866425412</v>
      </c>
      <c r="V9" s="25">
        <v>61597.234088634505</v>
      </c>
      <c r="W9" s="28">
        <v>106510.58624204564</v>
      </c>
      <c r="X9" s="25">
        <v>51572.248515708852</v>
      </c>
      <c r="Y9" s="26">
        <v>54938.337726111276</v>
      </c>
      <c r="Z9" s="25">
        <v>12925.733713253225</v>
      </c>
      <c r="AA9" s="25">
        <v>6266.8373507215128</v>
      </c>
      <c r="AB9" s="27">
        <v>6658.8963625284732</v>
      </c>
    </row>
    <row r="10" spans="1:28" s="5" customFormat="1" ht="12" customHeight="1">
      <c r="A10" s="24" t="s">
        <v>9</v>
      </c>
      <c r="B10" s="25">
        <v>89155.228025980323</v>
      </c>
      <c r="C10" s="25">
        <v>41654.704230084892</v>
      </c>
      <c r="D10" s="26">
        <v>47500.523795946072</v>
      </c>
      <c r="E10" s="25">
        <v>79919.9641048794</v>
      </c>
      <c r="F10" s="25">
        <v>37407.590256902797</v>
      </c>
      <c r="G10" s="26">
        <v>42512.373847970208</v>
      </c>
      <c r="H10" s="25">
        <v>9235.2639211353944</v>
      </c>
      <c r="I10" s="25">
        <v>4247.1139731718877</v>
      </c>
      <c r="J10" s="27">
        <v>4988.1499479639406</v>
      </c>
      <c r="K10" s="25">
        <v>92162.59202866671</v>
      </c>
      <c r="L10" s="25">
        <v>43059.791299215693</v>
      </c>
      <c r="M10" s="25">
        <v>49102.80072951717</v>
      </c>
      <c r="N10" s="28">
        <v>82615.806272147107</v>
      </c>
      <c r="O10" s="25">
        <v>38669.414637338057</v>
      </c>
      <c r="P10" s="26">
        <v>43946.391634818166</v>
      </c>
      <c r="Q10" s="25">
        <v>9546.7857565530867</v>
      </c>
      <c r="R10" s="25">
        <v>4390.3766618666468</v>
      </c>
      <c r="S10" s="27">
        <v>5156.4090946862989</v>
      </c>
      <c r="T10" s="25">
        <v>95262.230037251706</v>
      </c>
      <c r="U10" s="25">
        <v>44507.990213831748</v>
      </c>
      <c r="V10" s="25">
        <v>50754.239823270407</v>
      </c>
      <c r="W10" s="28">
        <v>85394.364118534926</v>
      </c>
      <c r="X10" s="25">
        <v>39969.955179162993</v>
      </c>
      <c r="Y10" s="26">
        <v>45424.408939279419</v>
      </c>
      <c r="Z10" s="25">
        <v>9867.8659186725927</v>
      </c>
      <c r="AA10" s="25">
        <v>4538.0350346739033</v>
      </c>
      <c r="AB10" s="27">
        <v>5329.8308839972797</v>
      </c>
    </row>
    <row r="11" spans="1:28" s="5" customFormat="1" ht="12" customHeight="1">
      <c r="A11" s="29" t="s">
        <v>10</v>
      </c>
      <c r="B11" s="25">
        <v>66160.728572982771</v>
      </c>
      <c r="C11" s="25">
        <v>31194.197997667052</v>
      </c>
      <c r="D11" s="26">
        <v>34966.530575229204</v>
      </c>
      <c r="E11" s="30">
        <v>59208.656574166227</v>
      </c>
      <c r="F11" s="30">
        <v>27800.041171952813</v>
      </c>
      <c r="G11" s="31">
        <v>31408.615402137719</v>
      </c>
      <c r="H11" s="30">
        <v>6952.0719988039282</v>
      </c>
      <c r="I11" s="30">
        <v>3394.1568257164886</v>
      </c>
      <c r="J11" s="32">
        <v>3557.9151730870694</v>
      </c>
      <c r="K11" s="25">
        <v>68392.447316873164</v>
      </c>
      <c r="L11" s="25">
        <v>32246.43363463708</v>
      </c>
      <c r="M11" s="25">
        <v>36146.013682161785</v>
      </c>
      <c r="N11" s="33">
        <v>61205.869596574019</v>
      </c>
      <c r="O11" s="30">
        <v>28737.785877957002</v>
      </c>
      <c r="P11" s="31">
        <v>32468.083718537036</v>
      </c>
      <c r="Q11" s="30">
        <v>7186.5777202989539</v>
      </c>
      <c r="R11" s="30">
        <v>3508.6477566817662</v>
      </c>
      <c r="S11" s="32">
        <v>3677.9299636164114</v>
      </c>
      <c r="T11" s="25">
        <v>70692.641186439854</v>
      </c>
      <c r="U11" s="25">
        <v>33330.954687389618</v>
      </c>
      <c r="V11" s="25">
        <v>37361.686499042698</v>
      </c>
      <c r="W11" s="33">
        <v>63264.362479175565</v>
      </c>
      <c r="X11" s="30">
        <v>29704.303110446293</v>
      </c>
      <c r="Y11" s="31">
        <v>33560.059368751536</v>
      </c>
      <c r="Z11" s="30">
        <v>7428.2787072438114</v>
      </c>
      <c r="AA11" s="30">
        <v>3626.6515769473249</v>
      </c>
      <c r="AB11" s="32">
        <v>3801.6271302953528</v>
      </c>
    </row>
    <row r="12" spans="1:28" s="5" customFormat="1" ht="12" customHeight="1">
      <c r="A12" s="29" t="s">
        <v>11</v>
      </c>
      <c r="B12" s="30">
        <v>52105.720632376557</v>
      </c>
      <c r="C12" s="30">
        <v>24144.232650656464</v>
      </c>
      <c r="D12" s="31">
        <v>27961.487981700498</v>
      </c>
      <c r="E12" s="25">
        <v>46527.510673058729</v>
      </c>
      <c r="F12" s="25">
        <v>21539.255558445126</v>
      </c>
      <c r="G12" s="26">
        <v>24988.255114594009</v>
      </c>
      <c r="H12" s="25">
        <v>5578.2099593122157</v>
      </c>
      <c r="I12" s="25">
        <v>2604.9770922084631</v>
      </c>
      <c r="J12" s="27">
        <v>2973.2328671032078</v>
      </c>
      <c r="K12" s="30">
        <v>53863.339024854911</v>
      </c>
      <c r="L12" s="30">
        <v>24958.660449817315</v>
      </c>
      <c r="M12" s="30">
        <v>28904.678574982187</v>
      </c>
      <c r="N12" s="28">
        <v>48096.966147857514</v>
      </c>
      <c r="O12" s="25">
        <v>22265.812859060581</v>
      </c>
      <c r="P12" s="26">
        <v>25831.153288757945</v>
      </c>
      <c r="Q12" s="25">
        <v>5766.3728769839145</v>
      </c>
      <c r="R12" s="25">
        <v>2692.8475907579841</v>
      </c>
      <c r="S12" s="27">
        <v>3073.5252862256275</v>
      </c>
      <c r="T12" s="30">
        <v>55674.88587073746</v>
      </c>
      <c r="U12" s="30">
        <v>25798.077081543808</v>
      </c>
      <c r="V12" s="30">
        <v>29876.808789238781</v>
      </c>
      <c r="W12" s="28">
        <v>49714.576732348214</v>
      </c>
      <c r="X12" s="25">
        <v>23014.662889306514</v>
      </c>
      <c r="Y12" s="26">
        <v>26699.913843070408</v>
      </c>
      <c r="Z12" s="25">
        <v>5960.3091384005029</v>
      </c>
      <c r="AA12" s="25">
        <v>2783.4141922347703</v>
      </c>
      <c r="AB12" s="27">
        <v>3176.8949461654424</v>
      </c>
    </row>
    <row r="13" spans="1:28" s="5" customFormat="1" ht="12" customHeight="1">
      <c r="A13" s="29" t="s">
        <v>12</v>
      </c>
      <c r="B13" s="30">
        <v>41058.047385522019</v>
      </c>
      <c r="C13" s="30">
        <v>18752.622094053964</v>
      </c>
      <c r="D13" s="31">
        <v>22305.42529144846</v>
      </c>
      <c r="E13" s="30">
        <v>36720.538090616043</v>
      </c>
      <c r="F13" s="30">
        <v>16765.523818780799</v>
      </c>
      <c r="G13" s="31">
        <v>19955.014271815649</v>
      </c>
      <c r="H13" s="30">
        <v>4337.5092949012769</v>
      </c>
      <c r="I13" s="30">
        <v>1987.0982752709717</v>
      </c>
      <c r="J13" s="32">
        <v>2350.4110196302167</v>
      </c>
      <c r="K13" s="30">
        <v>42443.008160797152</v>
      </c>
      <c r="L13" s="30">
        <v>19385.181304432292</v>
      </c>
      <c r="M13" s="30">
        <v>23057.826856341973</v>
      </c>
      <c r="N13" s="33">
        <v>37959.186982626823</v>
      </c>
      <c r="O13" s="30">
        <v>17331.054679225068</v>
      </c>
      <c r="P13" s="31">
        <v>20628.132303391638</v>
      </c>
      <c r="Q13" s="30">
        <v>4483.8211781595855</v>
      </c>
      <c r="R13" s="30">
        <v>2054.1266252082469</v>
      </c>
      <c r="S13" s="32">
        <v>2429.6945529514924</v>
      </c>
      <c r="T13" s="30">
        <v>43870.463252837624</v>
      </c>
      <c r="U13" s="30">
        <v>20037.149130532747</v>
      </c>
      <c r="V13" s="30">
        <v>23833.314122317483</v>
      </c>
      <c r="W13" s="33">
        <v>39235.840949836682</v>
      </c>
      <c r="X13" s="30">
        <v>17913.937545562363</v>
      </c>
      <c r="Y13" s="31">
        <v>21321.903404274155</v>
      </c>
      <c r="Z13" s="30">
        <v>4634.6223030094598</v>
      </c>
      <c r="AA13" s="30">
        <v>2123.211584968542</v>
      </c>
      <c r="AB13" s="32">
        <v>2511.4107180410842</v>
      </c>
    </row>
    <row r="14" spans="1:28" s="5" customFormat="1" ht="12" customHeight="1">
      <c r="A14" s="29" t="s">
        <v>13</v>
      </c>
      <c r="B14" s="30">
        <v>31010.102064473445</v>
      </c>
      <c r="C14" s="30">
        <v>14745.060087395384</v>
      </c>
      <c r="D14" s="31">
        <v>16265.041977061053</v>
      </c>
      <c r="E14" s="30">
        <v>27381.917651412492</v>
      </c>
      <c r="F14" s="30">
        <v>13145.989709161746</v>
      </c>
      <c r="G14" s="31">
        <v>14235.927942239079</v>
      </c>
      <c r="H14" s="30">
        <v>3628.1844130569484</v>
      </c>
      <c r="I14" s="30">
        <v>1599.0703782342273</v>
      </c>
      <c r="J14" s="32">
        <v>2029.1140348227211</v>
      </c>
      <c r="K14" s="30">
        <v>32056.127819003468</v>
      </c>
      <c r="L14" s="30">
        <v>15242.437121878169</v>
      </c>
      <c r="M14" s="30">
        <v>16813.690697129965</v>
      </c>
      <c r="N14" s="33">
        <v>28305.558309296746</v>
      </c>
      <c r="O14" s="30">
        <v>13589.427263036037</v>
      </c>
      <c r="P14" s="31">
        <v>14716.131046265373</v>
      </c>
      <c r="Q14" s="30">
        <v>3750.569509708349</v>
      </c>
      <c r="R14" s="30">
        <v>1653.0098588429414</v>
      </c>
      <c r="S14" s="32">
        <v>2097.559650865629</v>
      </c>
      <c r="T14" s="30">
        <v>33134.248453492706</v>
      </c>
      <c r="U14" s="30">
        <v>15755.075019800432</v>
      </c>
      <c r="V14" s="30">
        <v>17379.173433676166</v>
      </c>
      <c r="W14" s="33">
        <v>29257.538743622419</v>
      </c>
      <c r="X14" s="30">
        <v>14046.470672196021</v>
      </c>
      <c r="Y14" s="31">
        <v>15211.068071413247</v>
      </c>
      <c r="Z14" s="30">
        <v>3876.7097098676445</v>
      </c>
      <c r="AA14" s="30">
        <v>1708.6043476052919</v>
      </c>
      <c r="AB14" s="32">
        <v>2168.1053622626455</v>
      </c>
    </row>
    <row r="15" spans="1:28" s="5" customFormat="1" ht="12" customHeight="1">
      <c r="A15" s="29" t="s">
        <v>14</v>
      </c>
      <c r="B15" s="30">
        <v>27780.202279687524</v>
      </c>
      <c r="C15" s="30">
        <v>13067.94176626992</v>
      </c>
      <c r="D15" s="31">
        <v>14712.26051341751</v>
      </c>
      <c r="E15" s="30">
        <v>23973.152780083961</v>
      </c>
      <c r="F15" s="30">
        <v>11338.252068367488</v>
      </c>
      <c r="G15" s="31">
        <v>12634.900711716378</v>
      </c>
      <c r="H15" s="30">
        <v>3807.0494996034695</v>
      </c>
      <c r="I15" s="30">
        <v>1729.6896979023377</v>
      </c>
      <c r="J15" s="32">
        <v>2077.3598017010381</v>
      </c>
      <c r="K15" s="30">
        <v>28717.277784666403</v>
      </c>
      <c r="L15" s="30">
        <v>13508.746624577083</v>
      </c>
      <c r="M15" s="30">
        <v>15208.531160087865</v>
      </c>
      <c r="N15" s="33">
        <v>24781.809751734367</v>
      </c>
      <c r="O15" s="30">
        <v>11720.711424694409</v>
      </c>
      <c r="P15" s="31">
        <v>13061.098327038502</v>
      </c>
      <c r="Q15" s="30">
        <v>3935.4680329306375</v>
      </c>
      <c r="R15" s="30">
        <v>1788.0351998820383</v>
      </c>
      <c r="S15" s="32">
        <v>2147.4328330485996</v>
      </c>
      <c r="T15" s="30">
        <v>29683.105283246929</v>
      </c>
      <c r="U15" s="30">
        <v>13963.076559990388</v>
      </c>
      <c r="V15" s="30">
        <v>15720.028723238527</v>
      </c>
      <c r="W15" s="33">
        <v>25615.278491432058</v>
      </c>
      <c r="X15" s="30">
        <v>12114.905661404309</v>
      </c>
      <c r="Y15" s="31">
        <v>13500.372830015333</v>
      </c>
      <c r="Z15" s="30">
        <v>4067.8267918095585</v>
      </c>
      <c r="AA15" s="30">
        <v>1848.1708985863293</v>
      </c>
      <c r="AB15" s="32">
        <v>2219.6558932234798</v>
      </c>
    </row>
    <row r="16" spans="1:28" s="5" customFormat="1" ht="12" customHeight="1">
      <c r="A16" s="29" t="s">
        <v>15</v>
      </c>
      <c r="B16" s="30">
        <v>21457.802883205819</v>
      </c>
      <c r="C16" s="30">
        <v>10271.733814009909</v>
      </c>
      <c r="D16" s="31">
        <v>11186.069069195815</v>
      </c>
      <c r="E16" s="30">
        <v>18362.177973225931</v>
      </c>
      <c r="F16" s="30">
        <v>8824.1394316452133</v>
      </c>
      <c r="G16" s="31">
        <v>9538.0385415806231</v>
      </c>
      <c r="H16" s="30">
        <v>3095.6249099797942</v>
      </c>
      <c r="I16" s="30">
        <v>1447.5943823646021</v>
      </c>
      <c r="J16" s="32">
        <v>1648.0305276150984</v>
      </c>
      <c r="K16" s="30">
        <v>22181.612640603125</v>
      </c>
      <c r="L16" s="30">
        <v>10618.217617613676</v>
      </c>
      <c r="M16" s="30">
        <v>11563.395022987994</v>
      </c>
      <c r="N16" s="33">
        <v>18981.566810770186</v>
      </c>
      <c r="O16" s="30">
        <v>9121.7933086989924</v>
      </c>
      <c r="P16" s="31">
        <v>9859.7735020697382</v>
      </c>
      <c r="Q16" s="30">
        <v>3200.0458298318022</v>
      </c>
      <c r="R16" s="30">
        <v>1496.4243089141523</v>
      </c>
      <c r="S16" s="32">
        <v>1703.6215209176503</v>
      </c>
      <c r="T16" s="30">
        <v>22927.630825601824</v>
      </c>
      <c r="U16" s="30">
        <v>10975.332475008601</v>
      </c>
      <c r="V16" s="30">
        <v>11952.298350584504</v>
      </c>
      <c r="W16" s="33">
        <v>19619.960161604162</v>
      </c>
      <c r="X16" s="30">
        <v>9428.5800062348444</v>
      </c>
      <c r="Y16" s="31">
        <v>10191.38015536515</v>
      </c>
      <c r="Z16" s="30">
        <v>3307.6706639933959</v>
      </c>
      <c r="AA16" s="30">
        <v>1546.7524687739556</v>
      </c>
      <c r="AB16" s="32">
        <v>1760.9181952195895</v>
      </c>
    </row>
    <row r="17" spans="1:28" s="5" customFormat="1" ht="12" customHeight="1">
      <c r="A17" s="29" t="s">
        <v>16</v>
      </c>
      <c r="B17" s="30">
        <v>16584.235129244677</v>
      </c>
      <c r="C17" s="30">
        <v>7896.1943147447682</v>
      </c>
      <c r="D17" s="31">
        <v>8688.0408144998146</v>
      </c>
      <c r="E17" s="30">
        <v>14037.953728469853</v>
      </c>
      <c r="F17" s="30">
        <v>6717.0853862032682</v>
      </c>
      <c r="G17" s="31">
        <v>7320.8683422664917</v>
      </c>
      <c r="H17" s="30">
        <v>2546.2814007747302</v>
      </c>
      <c r="I17" s="30">
        <v>1179.1089285414064</v>
      </c>
      <c r="J17" s="32">
        <v>1367.1724722332301</v>
      </c>
      <c r="K17" s="30">
        <v>17143.650800590356</v>
      </c>
      <c r="L17" s="30">
        <v>8162.5469568306062</v>
      </c>
      <c r="M17" s="30">
        <v>8981.1038437582956</v>
      </c>
      <c r="N17" s="33">
        <v>14511.478811063504</v>
      </c>
      <c r="O17" s="30">
        <v>6943.6645923898423</v>
      </c>
      <c r="P17" s="31">
        <v>7567.8142186722062</v>
      </c>
      <c r="Q17" s="30">
        <v>2632.1719895259189</v>
      </c>
      <c r="R17" s="30">
        <v>1218.882364440331</v>
      </c>
      <c r="S17" s="32">
        <v>1413.2896250855883</v>
      </c>
      <c r="T17" s="30">
        <v>17720.230847389677</v>
      </c>
      <c r="U17" s="30">
        <v>8437.0720134311541</v>
      </c>
      <c r="V17" s="30">
        <v>9283.1588339569698</v>
      </c>
      <c r="W17" s="33">
        <v>14999.532915134512</v>
      </c>
      <c r="X17" s="30">
        <v>7177.1958572419317</v>
      </c>
      <c r="Y17" s="31">
        <v>7822.3370578928661</v>
      </c>
      <c r="Z17" s="30">
        <v>2720.6979322536113</v>
      </c>
      <c r="AA17" s="30">
        <v>1259.8761561893718</v>
      </c>
      <c r="AB17" s="32">
        <v>1460.8217760642876</v>
      </c>
    </row>
    <row r="18" spans="1:28" s="5" customFormat="1" ht="12" customHeight="1">
      <c r="A18" s="29" t="s">
        <v>17</v>
      </c>
      <c r="B18" s="30">
        <v>14083.732354236941</v>
      </c>
      <c r="C18" s="30">
        <v>6352.0936402224261</v>
      </c>
      <c r="D18" s="31">
        <v>7731.6387140144225</v>
      </c>
      <c r="E18" s="30">
        <v>11669.837790139914</v>
      </c>
      <c r="F18" s="30">
        <v>5309.0833288263248</v>
      </c>
      <c r="G18" s="31">
        <v>6360.7544613134969</v>
      </c>
      <c r="H18" s="30">
        <v>2413.8945640969332</v>
      </c>
      <c r="I18" s="30">
        <v>1043.0103113960076</v>
      </c>
      <c r="J18" s="32">
        <v>1370.8842527008319</v>
      </c>
      <c r="K18" s="30">
        <v>14558.801631089011</v>
      </c>
      <c r="L18" s="30">
        <v>6566.36102732161</v>
      </c>
      <c r="M18" s="30">
        <v>7992.4406037659455</v>
      </c>
      <c r="N18" s="33">
        <v>12063.48212109538</v>
      </c>
      <c r="O18" s="30">
        <v>5488.1681278215428</v>
      </c>
      <c r="P18" s="31">
        <v>6575.3139932723816</v>
      </c>
      <c r="Q18" s="30">
        <v>2495.3195099927443</v>
      </c>
      <c r="R18" s="30">
        <v>1078.1928994996842</v>
      </c>
      <c r="S18" s="32">
        <v>1417.1266104930605</v>
      </c>
      <c r="T18" s="30">
        <v>15048.447309446161</v>
      </c>
      <c r="U18" s="30">
        <v>6787.2027134058135</v>
      </c>
      <c r="V18" s="30">
        <v>8261.244596040633</v>
      </c>
      <c r="W18" s="33">
        <v>12469.204517499495</v>
      </c>
      <c r="X18" s="30">
        <v>5672.7477294944656</v>
      </c>
      <c r="Y18" s="31">
        <v>6796.4567880053146</v>
      </c>
      <c r="Z18" s="30">
        <v>2579.2427919469515</v>
      </c>
      <c r="AA18" s="30">
        <v>1114.4549839114723</v>
      </c>
      <c r="AB18" s="32">
        <v>1464.7878080355031</v>
      </c>
    </row>
    <row r="19" spans="1:28" s="5" customFormat="1" ht="12" customHeight="1">
      <c r="A19" s="29" t="s">
        <v>18</v>
      </c>
      <c r="B19" s="30">
        <v>9731.4668869342186</v>
      </c>
      <c r="C19" s="30">
        <v>4217.1372323820615</v>
      </c>
      <c r="D19" s="31">
        <v>5514.3296545510493</v>
      </c>
      <c r="E19" s="30">
        <v>8053.1926442436597</v>
      </c>
      <c r="F19" s="30">
        <v>3514.2810269850511</v>
      </c>
      <c r="G19" s="31">
        <v>4538.91161725861</v>
      </c>
      <c r="H19" s="30">
        <v>1678.2742426894504</v>
      </c>
      <c r="I19" s="30">
        <v>702.85620539701108</v>
      </c>
      <c r="J19" s="32">
        <v>975.41803729244043</v>
      </c>
      <c r="K19" s="30">
        <v>10059.72652865039</v>
      </c>
      <c r="L19" s="30">
        <v>4359.3887524317879</v>
      </c>
      <c r="M19" s="30">
        <v>5700.3377762199025</v>
      </c>
      <c r="N19" s="33">
        <v>8324.8411184977158</v>
      </c>
      <c r="O19" s="30">
        <v>3632.8239603598236</v>
      </c>
      <c r="P19" s="31">
        <v>4692.0171581379836</v>
      </c>
      <c r="Q19" s="30">
        <v>1734.8854101538834</v>
      </c>
      <c r="R19" s="30">
        <v>726.56479207196469</v>
      </c>
      <c r="S19" s="32">
        <v>1008.3206180819187</v>
      </c>
      <c r="T19" s="30">
        <v>10398.058057926486</v>
      </c>
      <c r="U19" s="30">
        <v>4506.0049312232968</v>
      </c>
      <c r="V19" s="30">
        <v>5892.0531267043971</v>
      </c>
      <c r="W19" s="33">
        <v>8604.8244976262722</v>
      </c>
      <c r="X19" s="30">
        <v>3755.0041093527007</v>
      </c>
      <c r="Y19" s="31">
        <v>4849.8203882735697</v>
      </c>
      <c r="Z19" s="30">
        <v>1793.2335603011861</v>
      </c>
      <c r="AA19" s="30">
        <v>751.00082187051157</v>
      </c>
      <c r="AB19" s="32">
        <v>1042.2327384307166</v>
      </c>
    </row>
    <row r="20" spans="1:28" s="5" customFormat="1" ht="12" customHeight="1">
      <c r="A20" s="29" t="s">
        <v>19</v>
      </c>
      <c r="B20" s="30">
        <v>6738.334177414783</v>
      </c>
      <c r="C20" s="30">
        <v>2985.5615475212321</v>
      </c>
      <c r="D20" s="31">
        <v>3752.7726298935518</v>
      </c>
      <c r="E20" s="30">
        <v>5492.8780288926127</v>
      </c>
      <c r="F20" s="30">
        <v>2418.9862580719368</v>
      </c>
      <c r="G20" s="31">
        <v>3073.8917708206768</v>
      </c>
      <c r="H20" s="30">
        <v>1245.4561485221714</v>
      </c>
      <c r="I20" s="30">
        <v>566.57528944929641</v>
      </c>
      <c r="J20" s="32">
        <v>678.88085907287609</v>
      </c>
      <c r="K20" s="30">
        <v>6965.6301430238627</v>
      </c>
      <c r="L20" s="30">
        <v>3086.2698349053294</v>
      </c>
      <c r="M20" s="30">
        <v>3879.3603081185333</v>
      </c>
      <c r="N20" s="33">
        <v>5678.1625491728228</v>
      </c>
      <c r="O20" s="30">
        <v>2500.5829558383416</v>
      </c>
      <c r="P20" s="31">
        <v>3177.5795933344812</v>
      </c>
      <c r="Q20" s="30">
        <v>1287.4675938510397</v>
      </c>
      <c r="R20" s="30">
        <v>585.68687906698767</v>
      </c>
      <c r="S20" s="32">
        <v>701.78071478405207</v>
      </c>
      <c r="T20" s="30">
        <v>7199.9001594054353</v>
      </c>
      <c r="U20" s="30">
        <v>3190.0681230622522</v>
      </c>
      <c r="V20" s="30">
        <v>4009.8320363429029</v>
      </c>
      <c r="W20" s="33">
        <v>5869.1320962343789</v>
      </c>
      <c r="X20" s="30">
        <v>2584.6832594717716</v>
      </c>
      <c r="Y20" s="31">
        <v>3284.4488367623271</v>
      </c>
      <c r="Z20" s="30">
        <v>1330.768063170897</v>
      </c>
      <c r="AA20" s="30">
        <v>605.38486359040826</v>
      </c>
      <c r="AB20" s="32">
        <v>725.3831995804934</v>
      </c>
    </row>
    <row r="21" spans="1:28" s="5" customFormat="1" ht="12" customHeight="1">
      <c r="A21" s="29" t="s">
        <v>20</v>
      </c>
      <c r="B21" s="30">
        <v>4212.0897910506646</v>
      </c>
      <c r="C21" s="30">
        <v>1837.2686446284508</v>
      </c>
      <c r="D21" s="31">
        <v>2374.8211464222145</v>
      </c>
      <c r="E21" s="30">
        <v>3409.5466193585667</v>
      </c>
      <c r="F21" s="30">
        <v>1472.5910084350292</v>
      </c>
      <c r="G21" s="31">
        <v>1936.9556109235384</v>
      </c>
      <c r="H21" s="30">
        <v>802.54317169209867</v>
      </c>
      <c r="I21" s="30">
        <v>364.67763619342276</v>
      </c>
      <c r="J21" s="32">
        <v>437.86553549867693</v>
      </c>
      <c r="K21" s="30">
        <v>4354.1710519501221</v>
      </c>
      <c r="L21" s="30">
        <v>1899.2429753263566</v>
      </c>
      <c r="M21" s="30">
        <v>2454.9280766237657</v>
      </c>
      <c r="N21" s="33">
        <v>3524.5566753652579</v>
      </c>
      <c r="O21" s="30">
        <v>1522.2641155260014</v>
      </c>
      <c r="P21" s="31">
        <v>2002.2925598392565</v>
      </c>
      <c r="Q21" s="30">
        <v>829.61437658486454</v>
      </c>
      <c r="R21" s="30">
        <v>376.97885980035511</v>
      </c>
      <c r="S21" s="32">
        <v>452.63551678450943</v>
      </c>
      <c r="T21" s="30">
        <v>4500.6117475832925</v>
      </c>
      <c r="U21" s="30">
        <v>1963.1188449612923</v>
      </c>
      <c r="V21" s="30">
        <v>2537.4929026217342</v>
      </c>
      <c r="W21" s="33">
        <v>3643.0955488226118</v>
      </c>
      <c r="X21" s="30">
        <v>1573.4613269710487</v>
      </c>
      <c r="Y21" s="31">
        <v>2069.6342218513628</v>
      </c>
      <c r="Z21" s="30">
        <v>857.51619876058714</v>
      </c>
      <c r="AA21" s="30">
        <v>389.65751799026037</v>
      </c>
      <c r="AB21" s="32">
        <v>467.85868077031256</v>
      </c>
    </row>
    <row r="22" spans="1:28" s="5" customFormat="1" ht="12" customHeight="1">
      <c r="A22" s="29" t="s">
        <v>29</v>
      </c>
      <c r="B22" s="30">
        <v>3192.5066421085025</v>
      </c>
      <c r="C22" s="30">
        <v>1346.4049751501082</v>
      </c>
      <c r="D22" s="31">
        <v>1846.1016669583953</v>
      </c>
      <c r="E22" s="30">
        <v>2623.4076319935089</v>
      </c>
      <c r="F22" s="30">
        <v>1091.5091879145677</v>
      </c>
      <c r="G22" s="31">
        <v>1531.898444078942</v>
      </c>
      <c r="H22" s="30">
        <v>569.09901011499483</v>
      </c>
      <c r="I22" s="30">
        <v>254.89578723554149</v>
      </c>
      <c r="J22" s="32">
        <v>314.20322287945436</v>
      </c>
      <c r="K22" s="30">
        <v>3300.1955546536278</v>
      </c>
      <c r="L22" s="30">
        <v>1391.821603484356</v>
      </c>
      <c r="M22" s="30">
        <v>1908.3739511692718</v>
      </c>
      <c r="N22" s="33">
        <v>2711.8998253458071</v>
      </c>
      <c r="O22" s="30">
        <v>1128.3277291602324</v>
      </c>
      <c r="P22" s="31">
        <v>1583.5720961855748</v>
      </c>
      <c r="Q22" s="30">
        <v>588.29572930782058</v>
      </c>
      <c r="R22" s="30">
        <v>263.49387432412362</v>
      </c>
      <c r="S22" s="32">
        <v>324.80185498369696</v>
      </c>
      <c r="T22" s="30">
        <v>3411.1886523024277</v>
      </c>
      <c r="U22" s="30">
        <v>1438.6317359709644</v>
      </c>
      <c r="V22" s="30">
        <v>1972.5569163312982</v>
      </c>
      <c r="W22" s="33">
        <v>2803.107196891945</v>
      </c>
      <c r="X22" s="30">
        <v>1166.2759621507942</v>
      </c>
      <c r="Y22" s="31">
        <v>1636.8312347410883</v>
      </c>
      <c r="Z22" s="30">
        <v>608.08145541041017</v>
      </c>
      <c r="AA22" s="30">
        <v>272.35577382018209</v>
      </c>
      <c r="AB22" s="32">
        <v>335.72568159022438</v>
      </c>
    </row>
    <row r="23" spans="1:28" s="5" customFormat="1" ht="12" customHeight="1">
      <c r="A23" s="29" t="s">
        <v>30</v>
      </c>
      <c r="B23" s="30">
        <v>757.11619970952711</v>
      </c>
      <c r="C23" s="30">
        <v>261.20508889978754</v>
      </c>
      <c r="D23" s="31">
        <v>495.91111080974059</v>
      </c>
      <c r="E23" s="30">
        <v>652.38179208304268</v>
      </c>
      <c r="F23" s="30">
        <v>214.51625658436677</v>
      </c>
      <c r="G23" s="31">
        <v>437.86553549867693</v>
      </c>
      <c r="H23" s="30">
        <v>104.73440762648525</v>
      </c>
      <c r="I23" s="30">
        <v>46.688832315421038</v>
      </c>
      <c r="J23" s="32">
        <v>58.045575311063992</v>
      </c>
      <c r="K23" s="30">
        <v>782.65507224987221</v>
      </c>
      <c r="L23" s="30">
        <v>270.01599992620589</v>
      </c>
      <c r="M23" s="30">
        <v>512.63907232366626</v>
      </c>
      <c r="N23" s="33">
        <v>674.38778725530653</v>
      </c>
      <c r="O23" s="30">
        <v>221.75227047079713</v>
      </c>
      <c r="P23" s="31">
        <v>452.63551678450943</v>
      </c>
      <c r="Q23" s="30">
        <v>108.26728499456564</v>
      </c>
      <c r="R23" s="30">
        <v>48.263729455408772</v>
      </c>
      <c r="S23" s="32">
        <v>60.003555539156856</v>
      </c>
      <c r="T23" s="30">
        <v>808.97754600055271</v>
      </c>
      <c r="U23" s="30">
        <v>279.09725337018659</v>
      </c>
      <c r="V23" s="30">
        <v>529.88029263035469</v>
      </c>
      <c r="W23" s="33">
        <v>697.06898547047331</v>
      </c>
      <c r="X23" s="30">
        <v>229.2103047001533</v>
      </c>
      <c r="Y23" s="31">
        <v>467.85868077031256</v>
      </c>
      <c r="Z23" s="30">
        <v>111.90856053007502</v>
      </c>
      <c r="AA23" s="30">
        <v>49.886948670033554</v>
      </c>
      <c r="AB23" s="32">
        <v>62.021611860041716</v>
      </c>
    </row>
    <row r="24" spans="1:28" s="5" customFormat="1" ht="12" customHeight="1">
      <c r="A24" s="29" t="s">
        <v>32</v>
      </c>
      <c r="B24" s="30">
        <v>307.89392121520831</v>
      </c>
      <c r="C24" s="30">
        <v>79.497200969500767</v>
      </c>
      <c r="D24" s="31">
        <v>228.39672024570808</v>
      </c>
      <c r="E24" s="30">
        <v>258.68136823408912</v>
      </c>
      <c r="F24" s="30">
        <v>58.045575311063992</v>
      </c>
      <c r="G24" s="31">
        <v>200.63579292302546</v>
      </c>
      <c r="H24" s="30">
        <v>49.212552981119472</v>
      </c>
      <c r="I24" s="30">
        <v>21.451625658436694</v>
      </c>
      <c r="J24" s="32">
        <v>27.760927322682779</v>
      </c>
      <c r="K24" s="30">
        <v>318.27972938161469</v>
      </c>
      <c r="L24" s="30">
        <v>82.178782586236565</v>
      </c>
      <c r="M24" s="30">
        <v>236.10094679537812</v>
      </c>
      <c r="N24" s="33">
        <v>267.40714968537299</v>
      </c>
      <c r="O24" s="30">
        <v>60.003555539156856</v>
      </c>
      <c r="P24" s="31">
        <v>207.40359414621614</v>
      </c>
      <c r="Q24" s="30">
        <v>50.872579696241679</v>
      </c>
      <c r="R24" s="30">
        <v>22.175227047079694</v>
      </c>
      <c r="S24" s="32">
        <v>28.697352649161964</v>
      </c>
      <c r="T24" s="30">
        <v>328.98420204021988</v>
      </c>
      <c r="U24" s="30">
        <v>84.942642330057026</v>
      </c>
      <c r="V24" s="30">
        <v>244.0415597101632</v>
      </c>
      <c r="W24" s="33">
        <v>276.40066155018479</v>
      </c>
      <c r="X24" s="30">
        <v>62.021611860041716</v>
      </c>
      <c r="Y24" s="31">
        <v>214.3790496901434</v>
      </c>
      <c r="Z24" s="30">
        <v>52.583540490035368</v>
      </c>
      <c r="AA24" s="30">
        <v>22.921030470015417</v>
      </c>
      <c r="AB24" s="32">
        <v>29.662510020019951</v>
      </c>
    </row>
    <row r="25" spans="1:28" s="5" customFormat="1" ht="12" customHeight="1" thickBot="1">
      <c r="A25" s="34" t="s">
        <v>31</v>
      </c>
      <c r="B25" s="35">
        <v>211.99253591866835</v>
      </c>
      <c r="C25" s="35">
        <v>55.521854645365558</v>
      </c>
      <c r="D25" s="36">
        <v>156.47068127330311</v>
      </c>
      <c r="E25" s="35">
        <v>169.08928460179521</v>
      </c>
      <c r="F25" s="35">
        <v>40.379530651174953</v>
      </c>
      <c r="G25" s="36">
        <v>128.7097539506205</v>
      </c>
      <c r="H25" s="35">
        <v>42.903251316873387</v>
      </c>
      <c r="I25" s="35">
        <v>15.142323994190606</v>
      </c>
      <c r="J25" s="37">
        <v>27.760927322682779</v>
      </c>
      <c r="K25" s="35">
        <v>219.14342022996422</v>
      </c>
      <c r="L25" s="35">
        <v>57.394705298323949</v>
      </c>
      <c r="M25" s="35">
        <v>161.74871493164025</v>
      </c>
      <c r="N25" s="38">
        <v>174.79296613580479</v>
      </c>
      <c r="O25" s="35">
        <v>41.741603853326502</v>
      </c>
      <c r="P25" s="36">
        <v>133.05136228247827</v>
      </c>
      <c r="Q25" s="35">
        <v>44.35045409415941</v>
      </c>
      <c r="R25" s="35">
        <v>15.653101444997425</v>
      </c>
      <c r="S25" s="37">
        <v>28.697352649161964</v>
      </c>
      <c r="T25" s="35">
        <v>226.5137128801515</v>
      </c>
      <c r="U25" s="35">
        <v>59.325020040039902</v>
      </c>
      <c r="V25" s="35">
        <v>167.18869284011191</v>
      </c>
      <c r="W25" s="38">
        <v>180.67165194012091</v>
      </c>
      <c r="X25" s="35">
        <v>43.14546912002902</v>
      </c>
      <c r="Y25" s="36">
        <v>137.52618282009212</v>
      </c>
      <c r="Z25" s="35">
        <v>45.842060940030834</v>
      </c>
      <c r="AA25" s="35">
        <v>16.179550920010882</v>
      </c>
      <c r="AB25" s="37">
        <v>29.662510020019951</v>
      </c>
    </row>
    <row r="26" spans="1:28" s="5" customFormat="1" ht="12" customHeight="1">
      <c r="A26" s="44" t="s">
        <v>72</v>
      </c>
      <c r="B26" s="40">
        <v>430491.63825611735</v>
      </c>
      <c r="C26" s="40">
        <v>212706.38196035786</v>
      </c>
      <c r="D26" s="41">
        <v>217785.256298252</v>
      </c>
      <c r="E26" s="40">
        <v>378422.20438962994</v>
      </c>
      <c r="F26" s="40">
        <v>186805.80946138466</v>
      </c>
      <c r="G26" s="41">
        <v>191616.3949298005</v>
      </c>
      <c r="H26" s="43">
        <v>52069.433867252483</v>
      </c>
      <c r="I26" s="40">
        <v>25900.572498878348</v>
      </c>
      <c r="J26" s="42">
        <v>26168.861368352853</v>
      </c>
      <c r="K26" s="40">
        <v>445012.88490697206</v>
      </c>
      <c r="L26" s="40">
        <v>219881.34556472651</v>
      </c>
      <c r="M26" s="40">
        <v>225131.53934393532</v>
      </c>
      <c r="N26" s="43">
        <v>391187.05666473653</v>
      </c>
      <c r="O26" s="40">
        <v>193107.10080783986</v>
      </c>
      <c r="P26" s="41">
        <v>198079.95585806284</v>
      </c>
      <c r="Q26" s="40">
        <v>53825.828242703697</v>
      </c>
      <c r="R26" s="40">
        <v>26774.244756881912</v>
      </c>
      <c r="S26" s="42">
        <v>27051.58348586853</v>
      </c>
      <c r="T26" s="40">
        <v>459979.68241305795</v>
      </c>
      <c r="U26" s="40">
        <v>227276.45632626503</v>
      </c>
      <c r="V26" s="40">
        <v>232703.22608748713</v>
      </c>
      <c r="W26" s="43">
        <v>404343.56889753527</v>
      </c>
      <c r="X26" s="40">
        <v>199601.73269956556</v>
      </c>
      <c r="Y26" s="41">
        <v>204741.83619829174</v>
      </c>
      <c r="Z26" s="40">
        <v>55636.113515581601</v>
      </c>
      <c r="AA26" s="40">
        <v>27674.723626547398</v>
      </c>
      <c r="AB26" s="42">
        <v>27961.38988904468</v>
      </c>
    </row>
    <row r="27" spans="1:28" s="5" customFormat="1" ht="12" customHeight="1">
      <c r="A27" s="39" t="s">
        <v>22</v>
      </c>
      <c r="B27" s="40">
        <v>21614.293357699356</v>
      </c>
      <c r="C27" s="40">
        <v>10528.809356275853</v>
      </c>
      <c r="D27" s="41">
        <v>11085.484001428797</v>
      </c>
      <c r="E27" s="40">
        <v>19355.588842664005</v>
      </c>
      <c r="F27" s="40">
        <v>9418.8892732296354</v>
      </c>
      <c r="G27" s="41">
        <v>9936.6995694396628</v>
      </c>
      <c r="H27" s="40">
        <v>2258.7045150366571</v>
      </c>
      <c r="I27" s="40">
        <v>1109.9200830468797</v>
      </c>
      <c r="J27" s="42">
        <v>1148.7844319898188</v>
      </c>
      <c r="K27" s="40">
        <v>22343.38181642806</v>
      </c>
      <c r="L27" s="40">
        <v>10883.964773973168</v>
      </c>
      <c r="M27" s="40">
        <v>11459.417042448682</v>
      </c>
      <c r="N27" s="43">
        <v>20008.487191155749</v>
      </c>
      <c r="O27" s="40">
        <v>9736.6051175260964</v>
      </c>
      <c r="P27" s="41">
        <v>10271.882073623443</v>
      </c>
      <c r="Q27" s="40">
        <v>2334.894625270606</v>
      </c>
      <c r="R27" s="40">
        <v>1147.359656446281</v>
      </c>
      <c r="S27" s="42">
        <v>1187.5349688244173</v>
      </c>
      <c r="T27" s="40">
        <v>23094.840667471213</v>
      </c>
      <c r="U27" s="40">
        <v>11250.017313877679</v>
      </c>
      <c r="V27" s="40">
        <v>11844.823353597716</v>
      </c>
      <c r="W27" s="43">
        <v>20681.418214729852</v>
      </c>
      <c r="X27" s="40">
        <v>10064.069337351692</v>
      </c>
      <c r="Y27" s="41">
        <v>10617.348877378749</v>
      </c>
      <c r="Z27" s="40">
        <v>2413.422452743444</v>
      </c>
      <c r="AA27" s="40">
        <v>1185.9479765252299</v>
      </c>
      <c r="AB27" s="42">
        <v>1227.4744762181867</v>
      </c>
    </row>
    <row r="28" spans="1:28" s="5" customFormat="1" ht="12" customHeight="1" thickBot="1">
      <c r="A28" s="45" t="s">
        <v>21</v>
      </c>
      <c r="B28" s="46">
        <v>426557.27454948885</v>
      </c>
      <c r="C28" s="46">
        <v>199022.82968804004</v>
      </c>
      <c r="D28" s="47">
        <v>227534.44486325447</v>
      </c>
      <c r="E28" s="46">
        <v>376070.14582022192</v>
      </c>
      <c r="F28" s="46">
        <v>175718.90421087897</v>
      </c>
      <c r="G28" s="47">
        <v>200351.24161034226</v>
      </c>
      <c r="H28" s="46">
        <v>50487.128729874603</v>
      </c>
      <c r="I28" s="46">
        <v>23303.925477053064</v>
      </c>
      <c r="J28" s="48">
        <v>27183.203252794698</v>
      </c>
      <c r="K28" s="46">
        <v>440945.80813386006</v>
      </c>
      <c r="L28" s="46">
        <v>205736.22280012054</v>
      </c>
      <c r="M28" s="46">
        <v>235209.58533478479</v>
      </c>
      <c r="N28" s="49">
        <v>388755.65898808261</v>
      </c>
      <c r="O28" s="46">
        <v>181646.214575477</v>
      </c>
      <c r="P28" s="47">
        <v>207109.44441317557</v>
      </c>
      <c r="Q28" s="46">
        <v>52190.149146087686</v>
      </c>
      <c r="R28" s="46">
        <v>24090.008224556601</v>
      </c>
      <c r="S28" s="48">
        <v>28100.140921511622</v>
      </c>
      <c r="T28" s="46">
        <v>455775.82057889597</v>
      </c>
      <c r="U28" s="46">
        <v>212655.60084539326</v>
      </c>
      <c r="V28" s="46">
        <v>243120.21973173012</v>
      </c>
      <c r="W28" s="49">
        <v>401830.39777528431</v>
      </c>
      <c r="X28" s="46">
        <v>187755.39074315509</v>
      </c>
      <c r="Y28" s="47">
        <v>214075.00703083546</v>
      </c>
      <c r="Z28" s="46">
        <v>53945.422803195273</v>
      </c>
      <c r="AA28" s="46">
        <v>24900.210102280249</v>
      </c>
      <c r="AB28" s="48">
        <v>29045.212700928158</v>
      </c>
    </row>
    <row r="29" spans="1:28" s="5" customFormat="1" ht="14.25" customHeight="1">
      <c r="A29" s="260" t="s">
        <v>118</v>
      </c>
      <c r="B29" s="54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</row>
    <row r="30" spans="1:28">
      <c r="B30" s="192"/>
    </row>
    <row r="33" ht="12" customHeight="1"/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31"/>
  <sheetViews>
    <sheetView workbookViewId="0">
      <pane xSplit="1" topLeftCell="B1" activePane="topRight" state="frozen"/>
      <selection pane="topRight" activeCell="A29" sqref="A29"/>
    </sheetView>
  </sheetViews>
  <sheetFormatPr defaultColWidth="9.125" defaultRowHeight="12"/>
  <cols>
    <col min="1" max="1" width="16" style="1" customWidth="1"/>
    <col min="2" max="16384" width="9.125" style="1"/>
  </cols>
  <sheetData>
    <row r="1" spans="1:29" s="5" customFormat="1" ht="30" customHeight="1" thickBot="1">
      <c r="A1" s="51" t="s">
        <v>102</v>
      </c>
      <c r="B1" s="53"/>
      <c r="C1" s="53"/>
      <c r="D1" s="53"/>
      <c r="E1" s="53"/>
      <c r="F1" s="53"/>
      <c r="G1" s="53"/>
      <c r="H1" s="53"/>
      <c r="I1" s="53"/>
      <c r="J1" s="53"/>
    </row>
    <row r="2" spans="1:29" s="5" customFormat="1" ht="11.1" customHeight="1">
      <c r="A2" s="232" t="s">
        <v>35</v>
      </c>
      <c r="B2" s="233"/>
      <c r="C2" s="233"/>
      <c r="D2" s="233"/>
      <c r="E2" s="233"/>
      <c r="F2" s="233"/>
      <c r="G2" s="233"/>
      <c r="H2" s="233"/>
      <c r="I2" s="233"/>
      <c r="J2" s="234"/>
      <c r="K2" s="232" t="s">
        <v>37</v>
      </c>
      <c r="L2" s="233"/>
      <c r="M2" s="233"/>
      <c r="N2" s="233"/>
      <c r="O2" s="233"/>
      <c r="P2" s="233"/>
      <c r="Q2" s="233"/>
      <c r="R2" s="233"/>
      <c r="S2" s="234"/>
      <c r="T2" s="232" t="s">
        <v>38</v>
      </c>
      <c r="U2" s="233"/>
      <c r="V2" s="233"/>
      <c r="W2" s="233"/>
      <c r="X2" s="233"/>
      <c r="Y2" s="233"/>
      <c r="Z2" s="233"/>
      <c r="AA2" s="233"/>
      <c r="AB2" s="234"/>
    </row>
    <row r="3" spans="1:29" s="5" customFormat="1" ht="17.25" customHeight="1" thickBot="1">
      <c r="A3" s="239" t="s">
        <v>58</v>
      </c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5"/>
      <c r="K3" s="11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5"/>
    </row>
    <row r="4" spans="1:29" s="5" customFormat="1" ht="12.75" customHeight="1" thickBot="1">
      <c r="A4" s="240"/>
      <c r="B4" s="9" t="s">
        <v>0</v>
      </c>
      <c r="C4" s="10" t="s">
        <v>3</v>
      </c>
      <c r="D4" s="16" t="s">
        <v>4</v>
      </c>
      <c r="E4" s="17" t="s">
        <v>0</v>
      </c>
      <c r="F4" s="10" t="s">
        <v>3</v>
      </c>
      <c r="G4" s="16" t="s">
        <v>4</v>
      </c>
      <c r="H4" s="17" t="s">
        <v>0</v>
      </c>
      <c r="I4" s="10" t="s">
        <v>3</v>
      </c>
      <c r="J4" s="18" t="s">
        <v>4</v>
      </c>
      <c r="K4" s="9" t="s">
        <v>0</v>
      </c>
      <c r="L4" s="10" t="s">
        <v>3</v>
      </c>
      <c r="M4" s="10" t="s">
        <v>4</v>
      </c>
      <c r="N4" s="19" t="s">
        <v>0</v>
      </c>
      <c r="O4" s="20" t="s">
        <v>3</v>
      </c>
      <c r="P4" s="21" t="s">
        <v>4</v>
      </c>
      <c r="Q4" s="17" t="s">
        <v>0</v>
      </c>
      <c r="R4" s="10" t="s">
        <v>3</v>
      </c>
      <c r="S4" s="18" t="s">
        <v>4</v>
      </c>
      <c r="T4" s="9" t="s">
        <v>0</v>
      </c>
      <c r="U4" s="10" t="s">
        <v>3</v>
      </c>
      <c r="V4" s="10" t="s">
        <v>4</v>
      </c>
      <c r="W4" s="19" t="s">
        <v>0</v>
      </c>
      <c r="X4" s="20" t="s">
        <v>3</v>
      </c>
      <c r="Y4" s="21" t="s">
        <v>4</v>
      </c>
      <c r="Z4" s="17" t="s">
        <v>0</v>
      </c>
      <c r="AA4" s="10" t="s">
        <v>3</v>
      </c>
      <c r="AB4" s="18" t="s">
        <v>4</v>
      </c>
    </row>
    <row r="5" spans="1:29" s="5" customFormat="1" ht="16.5" customHeight="1" thickBot="1">
      <c r="A5" s="22" t="s">
        <v>36</v>
      </c>
      <c r="B5" s="99">
        <f>+B6+B7+B8+B9+B10+B11+B12+B13+B14+B15+B16+B17+B18+B19+B20+B21+B22+B23+B24+B25</f>
        <v>79665.693667849628</v>
      </c>
      <c r="C5" s="99">
        <f t="shared" ref="C5:J5" si="0">+C6+C7+C8+C9+C10+C11+C12+C13+C14+C15+C16+C17+C18+C19+C20+C21+C22+C23+C24+C25</f>
        <v>38320.933049561587</v>
      </c>
      <c r="D5" s="94">
        <f t="shared" si="0"/>
        <v>41344.760618289678</v>
      </c>
      <c r="E5" s="99">
        <f t="shared" si="0"/>
        <v>34601.6440448102</v>
      </c>
      <c r="F5" s="99">
        <f t="shared" si="0"/>
        <v>16618.801051951923</v>
      </c>
      <c r="G5" s="94">
        <f t="shared" si="0"/>
        <v>17982.842992858583</v>
      </c>
      <c r="H5" s="99">
        <f t="shared" si="0"/>
        <v>45064.049623041064</v>
      </c>
      <c r="I5" s="99">
        <f t="shared" si="0"/>
        <v>21702.131997610384</v>
      </c>
      <c r="J5" s="99">
        <f t="shared" si="0"/>
        <v>23361.917625431466</v>
      </c>
      <c r="K5" s="96">
        <f>+K6+K7+K8+K9+K10+K11+K12+K13+K14+K15+K16+K17+K18+K19+K20+K21+K22+K23+K24+K25</f>
        <v>82352.958842207969</v>
      </c>
      <c r="L5" s="23">
        <f t="shared" ref="L5:S5" si="1">+L6+L7+L8+L9+L10+L11+L12+L13+L14+L15+L16+L17+L18+L19+L20+L21+L22+L23+L24+L25</f>
        <v>39613.566102658282</v>
      </c>
      <c r="M5" s="94">
        <f t="shared" si="1"/>
        <v>42739.392739549323</v>
      </c>
      <c r="N5" s="23">
        <f t="shared" si="1"/>
        <v>35768.818881758045</v>
      </c>
      <c r="O5" s="23">
        <f t="shared" si="1"/>
        <v>17179.382693187457</v>
      </c>
      <c r="P5" s="23">
        <f t="shared" si="1"/>
        <v>18589.436188571341</v>
      </c>
      <c r="Q5" s="98">
        <f t="shared" si="1"/>
        <v>46584.139960449538</v>
      </c>
      <c r="R5" s="23">
        <f t="shared" si="1"/>
        <v>22434.183409471992</v>
      </c>
      <c r="S5" s="95">
        <f t="shared" si="1"/>
        <v>24149.956550979183</v>
      </c>
      <c r="T5" s="23">
        <f>+T6+T7+T8+T9+T10+T11+T12+T13+T14+T15+T16+T17+T18+T19+T20+T21+T22+T23+T24+T25</f>
        <v>85122.676530465804</v>
      </c>
      <c r="U5" s="23">
        <f t="shared" ref="U5:AB5" si="2">+U6+U7+U8+U9+U10+U11+U12+U13+U14+U15+U16+U17+U18+U19+U20+U21+U22+U23+U24+U25</f>
        <v>40945.860610009346</v>
      </c>
      <c r="V5" s="23">
        <f t="shared" si="2"/>
        <v>44176.815920458037</v>
      </c>
      <c r="W5" s="98">
        <f t="shared" si="2"/>
        <v>36971.805777890659</v>
      </c>
      <c r="X5" s="23">
        <f t="shared" si="2"/>
        <v>17757.164484972451</v>
      </c>
      <c r="Y5" s="23">
        <f t="shared" si="2"/>
        <v>19214.641292917986</v>
      </c>
      <c r="Z5" s="98">
        <f t="shared" si="2"/>
        <v>48150.8707525762</v>
      </c>
      <c r="AA5" s="23">
        <f t="shared" si="2"/>
        <v>23188.696125036364</v>
      </c>
      <c r="AB5" s="99">
        <f t="shared" si="2"/>
        <v>24962.174627539447</v>
      </c>
      <c r="AC5" s="106"/>
    </row>
    <row r="6" spans="1:29" s="5" customFormat="1" ht="12" customHeight="1">
      <c r="A6" s="24" t="s">
        <v>5</v>
      </c>
      <c r="B6" s="25">
        <v>14336.759226191965</v>
      </c>
      <c r="C6" s="25">
        <v>7124.3500201842053</v>
      </c>
      <c r="D6" s="26">
        <v>7212.4092060076819</v>
      </c>
      <c r="E6" s="25">
        <v>6016.9756011985683</v>
      </c>
      <c r="F6" s="25">
        <v>2996.4248984316455</v>
      </c>
      <c r="G6" s="26">
        <v>3020.5507027668446</v>
      </c>
      <c r="H6" s="25">
        <v>8319.7836249933189</v>
      </c>
      <c r="I6" s="25">
        <v>4127.9251217524816</v>
      </c>
      <c r="J6" s="27">
        <v>4191.8585032407591</v>
      </c>
      <c r="K6" s="25">
        <v>14820.363548298514</v>
      </c>
      <c r="L6" s="25">
        <v>7364.6669849608261</v>
      </c>
      <c r="M6" s="25">
        <v>7455.6965633390919</v>
      </c>
      <c r="N6" s="28">
        <v>6219.9388623409905</v>
      </c>
      <c r="O6" s="25">
        <v>3097.4996259135369</v>
      </c>
      <c r="P6" s="26">
        <v>3122.4392364281393</v>
      </c>
      <c r="Q6" s="25">
        <v>8600.4246859589275</v>
      </c>
      <c r="R6" s="25">
        <v>4267.1673590483297</v>
      </c>
      <c r="S6" s="27">
        <v>4333.2573269120021</v>
      </c>
      <c r="T6" s="25">
        <v>15318.806150036684</v>
      </c>
      <c r="U6" s="25">
        <v>7612.3575197424861</v>
      </c>
      <c r="V6" s="25">
        <v>7706.4486302980713</v>
      </c>
      <c r="W6" s="28">
        <v>6429.129581522936</v>
      </c>
      <c r="X6" s="25">
        <v>3201.6755975344126</v>
      </c>
      <c r="Y6" s="26">
        <v>3227.4539839879885</v>
      </c>
      <c r="Z6" s="25">
        <v>8889.6765685171285</v>
      </c>
      <c r="AA6" s="25">
        <v>4410.6819222072327</v>
      </c>
      <c r="AB6" s="27">
        <v>4478.9946463092328</v>
      </c>
    </row>
    <row r="7" spans="1:29" s="5" customFormat="1" ht="12" customHeight="1">
      <c r="A7" s="24" t="s">
        <v>6</v>
      </c>
      <c r="B7" s="25">
        <v>12327.775946482559</v>
      </c>
      <c r="C7" s="25">
        <v>6125.3168987852978</v>
      </c>
      <c r="D7" s="26">
        <v>6202.459047698555</v>
      </c>
      <c r="E7" s="25">
        <v>5351.5926589388973</v>
      </c>
      <c r="F7" s="25">
        <v>2676.9477048264494</v>
      </c>
      <c r="G7" s="26">
        <v>2674.6449541126199</v>
      </c>
      <c r="H7" s="25">
        <v>6976.1832875449554</v>
      </c>
      <c r="I7" s="25">
        <v>3448.3691939593259</v>
      </c>
      <c r="J7" s="27">
        <v>3527.8140935864431</v>
      </c>
      <c r="K7" s="25">
        <v>12743.613698634554</v>
      </c>
      <c r="L7" s="25">
        <v>6331.9347040940902</v>
      </c>
      <c r="M7" s="25">
        <v>6411.6789945403889</v>
      </c>
      <c r="N7" s="28">
        <v>5532.1113730506167</v>
      </c>
      <c r="O7" s="25">
        <v>2767.2458998155143</v>
      </c>
      <c r="P7" s="26">
        <v>2764.8654732350278</v>
      </c>
      <c r="Q7" s="25">
        <v>7211.5023255838623</v>
      </c>
      <c r="R7" s="25">
        <v>3564.6888042785013</v>
      </c>
      <c r="S7" s="27">
        <v>3646.8135213052865</v>
      </c>
      <c r="T7" s="25">
        <v>13172.210470015294</v>
      </c>
      <c r="U7" s="25">
        <v>6544.8920986719868</v>
      </c>
      <c r="V7" s="25">
        <v>6627.3183713432327</v>
      </c>
      <c r="W7" s="28">
        <v>5718.1688862081473</v>
      </c>
      <c r="X7" s="25">
        <v>2860.3146859797262</v>
      </c>
      <c r="Y7" s="26">
        <v>2857.8542002283457</v>
      </c>
      <c r="Z7" s="25">
        <v>7454.0415838070721</v>
      </c>
      <c r="AA7" s="25">
        <v>3684.5774126921851</v>
      </c>
      <c r="AB7" s="27">
        <v>3769.4641711148115</v>
      </c>
    </row>
    <row r="8" spans="1:29" s="5" customFormat="1" ht="12" customHeight="1">
      <c r="A8" s="24" t="s">
        <v>7</v>
      </c>
      <c r="B8" s="25">
        <v>11596.652594841988</v>
      </c>
      <c r="C8" s="25">
        <v>6014.7848645215263</v>
      </c>
      <c r="D8" s="26">
        <v>5581.8677303217546</v>
      </c>
      <c r="E8" s="25">
        <v>5203.0652378969544</v>
      </c>
      <c r="F8" s="25">
        <v>2704.5807133924031</v>
      </c>
      <c r="G8" s="26">
        <v>2498.4845245046645</v>
      </c>
      <c r="H8" s="25">
        <v>6393.5873569463265</v>
      </c>
      <c r="I8" s="25">
        <v>3310.204151129557</v>
      </c>
      <c r="J8" s="27">
        <v>3083.383205817353</v>
      </c>
      <c r="K8" s="25">
        <v>11987.828259330081</v>
      </c>
      <c r="L8" s="25">
        <v>6217.6742282307368</v>
      </c>
      <c r="M8" s="25">
        <v>5770.1540310992696</v>
      </c>
      <c r="N8" s="28">
        <v>5378.5738586092357</v>
      </c>
      <c r="O8" s="25">
        <v>2795.8110187813527</v>
      </c>
      <c r="P8" s="26">
        <v>2582.7628398278084</v>
      </c>
      <c r="Q8" s="25">
        <v>6609.2544007207707</v>
      </c>
      <c r="R8" s="25">
        <v>3421.8632094493096</v>
      </c>
      <c r="S8" s="27">
        <v>3187.3911912713866</v>
      </c>
      <c r="T8" s="25">
        <v>12391.006243951993</v>
      </c>
      <c r="U8" s="25">
        <v>6426.788782605724</v>
      </c>
      <c r="V8" s="25">
        <v>5964.2174613461948</v>
      </c>
      <c r="W8" s="28">
        <v>5559.4675552441067</v>
      </c>
      <c r="X8" s="25">
        <v>2889.8405149962919</v>
      </c>
      <c r="Y8" s="26">
        <v>2669.6270402477394</v>
      </c>
      <c r="Z8" s="25">
        <v>6831.5386887078121</v>
      </c>
      <c r="AA8" s="25">
        <v>3536.9482676093567</v>
      </c>
      <c r="AB8" s="27">
        <v>3294.5904210983799</v>
      </c>
    </row>
    <row r="9" spans="1:29" s="5" customFormat="1" ht="12" customHeight="1">
      <c r="A9" s="24" t="s">
        <v>8</v>
      </c>
      <c r="B9" s="25">
        <v>9986.9946092481423</v>
      </c>
      <c r="C9" s="25">
        <v>4947.2030066186053</v>
      </c>
      <c r="D9" s="26">
        <v>5039.7916026297435</v>
      </c>
      <c r="E9" s="25">
        <v>4584.8501061799534</v>
      </c>
      <c r="F9" s="25">
        <v>2287.2812422005773</v>
      </c>
      <c r="G9" s="26">
        <v>2297.5688639795885</v>
      </c>
      <c r="H9" s="25">
        <v>5402.1445030683954</v>
      </c>
      <c r="I9" s="25">
        <v>2659.9217644180962</v>
      </c>
      <c r="J9" s="27">
        <v>2742.2227386501863</v>
      </c>
      <c r="K9" s="25">
        <v>10323.87365434813</v>
      </c>
      <c r="L9" s="25">
        <v>5114.0809403699222</v>
      </c>
      <c r="M9" s="25">
        <v>5209.7927139766589</v>
      </c>
      <c r="N9" s="28">
        <v>4739.5052337855332</v>
      </c>
      <c r="O9" s="25">
        <v>2364.4352961368827</v>
      </c>
      <c r="P9" s="26">
        <v>2375.0699376487423</v>
      </c>
      <c r="Q9" s="25">
        <v>5584.368420561048</v>
      </c>
      <c r="R9" s="25">
        <v>2749.6456442331314</v>
      </c>
      <c r="S9" s="27">
        <v>2834.7227763280084</v>
      </c>
      <c r="T9" s="25">
        <v>10671.089053452017</v>
      </c>
      <c r="U9" s="25">
        <v>5286.079137385098</v>
      </c>
      <c r="V9" s="25">
        <v>5385.009916065359</v>
      </c>
      <c r="W9" s="28">
        <v>4898.9055961302493</v>
      </c>
      <c r="X9" s="25">
        <v>2443.9566436941418</v>
      </c>
      <c r="Y9" s="26">
        <v>2454.948952436393</v>
      </c>
      <c r="Z9" s="25">
        <v>5772.1834573202077</v>
      </c>
      <c r="AA9" s="25">
        <v>2842.1224936912417</v>
      </c>
      <c r="AB9" s="27">
        <v>2930.0609636292515</v>
      </c>
    </row>
    <row r="10" spans="1:29" s="5" customFormat="1" ht="12" customHeight="1">
      <c r="A10" s="24" t="s">
        <v>9</v>
      </c>
      <c r="B10" s="25">
        <v>6225.1734352956664</v>
      </c>
      <c r="C10" s="25">
        <v>3065.4620133683443</v>
      </c>
      <c r="D10" s="26">
        <v>3159.711421926952</v>
      </c>
      <c r="E10" s="25">
        <v>2834.5509623997555</v>
      </c>
      <c r="F10" s="25">
        <v>1373.6851297414667</v>
      </c>
      <c r="G10" s="26">
        <v>1460.8658326581619</v>
      </c>
      <c r="H10" s="25">
        <v>3390.6224728955408</v>
      </c>
      <c r="I10" s="25">
        <v>1691.7768836267062</v>
      </c>
      <c r="J10" s="27">
        <v>1698.8455892686004</v>
      </c>
      <c r="K10" s="25">
        <v>6435.1595787254637</v>
      </c>
      <c r="L10" s="25">
        <v>3168.8654852086293</v>
      </c>
      <c r="M10" s="25">
        <v>3266.2940935163388</v>
      </c>
      <c r="N10" s="28">
        <v>2930.165394854741</v>
      </c>
      <c r="O10" s="25">
        <v>1420.0219660851262</v>
      </c>
      <c r="P10" s="26">
        <v>1510.1434287697743</v>
      </c>
      <c r="Q10" s="25">
        <v>3504.9941838702271</v>
      </c>
      <c r="R10" s="25">
        <v>1748.8435191237072</v>
      </c>
      <c r="S10" s="27">
        <v>1756.1506647467868</v>
      </c>
      <c r="T10" s="25">
        <v>6651.5886610871767</v>
      </c>
      <c r="U10" s="25">
        <v>3275.4416533207077</v>
      </c>
      <c r="V10" s="25">
        <v>3376.1470077656159</v>
      </c>
      <c r="W10" s="28">
        <v>3028.7135349306827</v>
      </c>
      <c r="X10" s="25">
        <v>1467.7805410346061</v>
      </c>
      <c r="Y10" s="26">
        <v>1560.9329938961462</v>
      </c>
      <c r="Z10" s="25">
        <v>3622.8751261556408</v>
      </c>
      <c r="AA10" s="25">
        <v>1807.6611122861711</v>
      </c>
      <c r="AB10" s="27">
        <v>1815.2140138695393</v>
      </c>
    </row>
    <row r="11" spans="1:29" s="5" customFormat="1" ht="12" customHeight="1">
      <c r="A11" s="29" t="s">
        <v>10</v>
      </c>
      <c r="B11" s="25">
        <v>4824.3916005933597</v>
      </c>
      <c r="C11" s="25">
        <v>2261.9858054062138</v>
      </c>
      <c r="D11" s="26">
        <v>2562.4057951867758</v>
      </c>
      <c r="E11" s="30">
        <v>2097.0493404286503</v>
      </c>
      <c r="F11" s="30">
        <v>963.70020251160224</v>
      </c>
      <c r="G11" s="31">
        <v>1133.3491379170634</v>
      </c>
      <c r="H11" s="30">
        <v>2727.3422601643392</v>
      </c>
      <c r="I11" s="30">
        <v>1298.2856028945951</v>
      </c>
      <c r="J11" s="32">
        <v>1429.056657269638</v>
      </c>
      <c r="K11" s="25">
        <v>4987.1268877515904</v>
      </c>
      <c r="L11" s="25">
        <v>2338.2865993854057</v>
      </c>
      <c r="M11" s="25">
        <v>2648.8402883662297</v>
      </c>
      <c r="N11" s="33">
        <v>2167.786534846914</v>
      </c>
      <c r="O11" s="30">
        <v>996.20751994651084</v>
      </c>
      <c r="P11" s="31">
        <v>1171.5790149004206</v>
      </c>
      <c r="Q11" s="30">
        <v>2819.3403529047214</v>
      </c>
      <c r="R11" s="30">
        <v>1342.0790794389441</v>
      </c>
      <c r="S11" s="32">
        <v>1477.2612734659162</v>
      </c>
      <c r="T11" s="25">
        <v>5154.8553306491885</v>
      </c>
      <c r="U11" s="25">
        <v>2416.9285066778657</v>
      </c>
      <c r="V11" s="25">
        <v>2737.9268239710104</v>
      </c>
      <c r="W11" s="33">
        <v>2240.6941363992764</v>
      </c>
      <c r="X11" s="30">
        <v>1029.7122491992557</v>
      </c>
      <c r="Y11" s="31">
        <v>1210.9818872000903</v>
      </c>
      <c r="Z11" s="30">
        <v>2914.1611942495997</v>
      </c>
      <c r="AA11" s="30">
        <v>1387.2162574786796</v>
      </c>
      <c r="AB11" s="32">
        <v>1526.9449367709897</v>
      </c>
    </row>
    <row r="12" spans="1:29" s="5" customFormat="1" ht="12" customHeight="1">
      <c r="A12" s="29" t="s">
        <v>11</v>
      </c>
      <c r="B12" s="30">
        <v>3828.3771497446955</v>
      </c>
      <c r="C12" s="30">
        <v>1823.9782675994741</v>
      </c>
      <c r="D12" s="31">
        <v>2004.3988821452215</v>
      </c>
      <c r="E12" s="25">
        <v>1649.7364412231016</v>
      </c>
      <c r="F12" s="25">
        <v>741.45458032498948</v>
      </c>
      <c r="G12" s="26">
        <v>908.28186089811209</v>
      </c>
      <c r="H12" s="25">
        <v>2178.6407085215942</v>
      </c>
      <c r="I12" s="25">
        <v>1082.5236872744847</v>
      </c>
      <c r="J12" s="27">
        <v>1096.1170212471095</v>
      </c>
      <c r="K12" s="30">
        <v>3957.5151025464638</v>
      </c>
      <c r="L12" s="30">
        <v>1885.5042903030871</v>
      </c>
      <c r="M12" s="30">
        <v>2072.0108122436395</v>
      </c>
      <c r="N12" s="28">
        <v>1705.3849780180292</v>
      </c>
      <c r="O12" s="25">
        <v>766.4651586597713</v>
      </c>
      <c r="P12" s="26">
        <v>938.9198193582157</v>
      </c>
      <c r="Q12" s="25">
        <v>2252.1301245286654</v>
      </c>
      <c r="R12" s="25">
        <v>1119.039131643266</v>
      </c>
      <c r="S12" s="27">
        <v>1133.0909928853628</v>
      </c>
      <c r="T12" s="30">
        <v>4090.6153546219025</v>
      </c>
      <c r="U12" s="30">
        <v>1948.9180966502404</v>
      </c>
      <c r="V12" s="30">
        <v>2141.6972579719964</v>
      </c>
      <c r="W12" s="28">
        <v>1762.7409614011319</v>
      </c>
      <c r="X12" s="25">
        <v>792.2431287196091</v>
      </c>
      <c r="Y12" s="26">
        <v>970.49783268152146</v>
      </c>
      <c r="Z12" s="25">
        <v>2327.8743932210728</v>
      </c>
      <c r="AA12" s="25">
        <v>1156.6749679306299</v>
      </c>
      <c r="AB12" s="27">
        <v>1171.1994252904894</v>
      </c>
    </row>
    <row r="13" spans="1:29" s="5" customFormat="1" ht="12" customHeight="1">
      <c r="A13" s="29" t="s">
        <v>12</v>
      </c>
      <c r="B13" s="30">
        <v>3143.7674205779554</v>
      </c>
      <c r="C13" s="30">
        <v>1505.1527980597286</v>
      </c>
      <c r="D13" s="31">
        <v>1638.6146225182267</v>
      </c>
      <c r="E13" s="30">
        <v>1376.6340041367305</v>
      </c>
      <c r="F13" s="30">
        <v>636.41518144561599</v>
      </c>
      <c r="G13" s="31">
        <v>740.2188226911145</v>
      </c>
      <c r="H13" s="30">
        <v>1767.1334164412249</v>
      </c>
      <c r="I13" s="30">
        <v>868.73761661411265</v>
      </c>
      <c r="J13" s="32">
        <v>898.39579982711223</v>
      </c>
      <c r="K13" s="30">
        <v>3249.812272717355</v>
      </c>
      <c r="L13" s="30">
        <v>1555.9242720793641</v>
      </c>
      <c r="M13" s="30">
        <v>1693.8880006381319</v>
      </c>
      <c r="N13" s="33">
        <v>1423.0703112449951</v>
      </c>
      <c r="O13" s="30">
        <v>657.88259451630631</v>
      </c>
      <c r="P13" s="31">
        <v>765.18771672867172</v>
      </c>
      <c r="Q13" s="30">
        <v>1826.7419614725009</v>
      </c>
      <c r="R13" s="30">
        <v>898.04167756302888</v>
      </c>
      <c r="S13" s="32">
        <v>928.700283909419</v>
      </c>
      <c r="T13" s="30">
        <v>3359.1108657709215</v>
      </c>
      <c r="U13" s="30">
        <v>1608.2535513008079</v>
      </c>
      <c r="V13" s="30">
        <v>1750.8573144703378</v>
      </c>
      <c r="W13" s="33">
        <v>1470.9314089894087</v>
      </c>
      <c r="X13" s="30">
        <v>680.00868548433095</v>
      </c>
      <c r="Y13" s="31">
        <v>790.92272350507642</v>
      </c>
      <c r="Z13" s="30">
        <v>1888.1794567817369</v>
      </c>
      <c r="AA13" s="30">
        <v>928.24486581647557</v>
      </c>
      <c r="AB13" s="32">
        <v>959.93459096525999</v>
      </c>
    </row>
    <row r="14" spans="1:29" s="5" customFormat="1" ht="12" customHeight="1">
      <c r="A14" s="29" t="s">
        <v>13</v>
      </c>
      <c r="B14" s="30">
        <v>2200.8843459313439</v>
      </c>
      <c r="C14" s="30">
        <v>966.36246969023625</v>
      </c>
      <c r="D14" s="31">
        <v>1234.5218762411075</v>
      </c>
      <c r="E14" s="30">
        <v>924.34671013848686</v>
      </c>
      <c r="F14" s="30">
        <v>401.6212310093693</v>
      </c>
      <c r="G14" s="31">
        <v>522.72547912911762</v>
      </c>
      <c r="H14" s="30">
        <v>1276.5376357928569</v>
      </c>
      <c r="I14" s="30">
        <v>564.74123868086701</v>
      </c>
      <c r="J14" s="32">
        <v>711.7963971119899</v>
      </c>
      <c r="K14" s="30">
        <v>2275.124079288456</v>
      </c>
      <c r="L14" s="30">
        <v>998.95959011989635</v>
      </c>
      <c r="M14" s="30">
        <v>1276.1644891685294</v>
      </c>
      <c r="N14" s="33">
        <v>955.52656446251035</v>
      </c>
      <c r="O14" s="30">
        <v>415.1686276073803</v>
      </c>
      <c r="P14" s="31">
        <v>540.3579368551442</v>
      </c>
      <c r="Q14" s="30">
        <v>1319.5975148259192</v>
      </c>
      <c r="R14" s="30">
        <v>583.7909625125302</v>
      </c>
      <c r="S14" s="32">
        <v>735.80655231338119</v>
      </c>
      <c r="T14" s="30">
        <v>2351.641687082657</v>
      </c>
      <c r="U14" s="30">
        <v>1032.5568777645576</v>
      </c>
      <c r="V14" s="30">
        <v>1319.0848093181501</v>
      </c>
      <c r="W14" s="33">
        <v>987.66310047044635</v>
      </c>
      <c r="X14" s="30">
        <v>429.13169472312097</v>
      </c>
      <c r="Y14" s="31">
        <v>558.53140574732402</v>
      </c>
      <c r="Z14" s="30">
        <v>1363.9785866122613</v>
      </c>
      <c r="AA14" s="30">
        <v>603.42518304143528</v>
      </c>
      <c r="AB14" s="32">
        <v>760.55340357082468</v>
      </c>
    </row>
    <row r="15" spans="1:29" s="5" customFormat="1" ht="12" customHeight="1">
      <c r="A15" s="29" t="s">
        <v>14</v>
      </c>
      <c r="B15" s="30">
        <v>2642.7876929323766</v>
      </c>
      <c r="C15" s="30">
        <v>1039.2985309284059</v>
      </c>
      <c r="D15" s="31">
        <v>1603.489162003877</v>
      </c>
      <c r="E15" s="30">
        <v>1101.1615387217689</v>
      </c>
      <c r="F15" s="30">
        <v>423.14297330656478</v>
      </c>
      <c r="G15" s="31">
        <v>678.01856541519726</v>
      </c>
      <c r="H15" s="30">
        <v>1541.626154210514</v>
      </c>
      <c r="I15" s="30">
        <v>616.15555762183988</v>
      </c>
      <c r="J15" s="32">
        <v>925.47059658862679</v>
      </c>
      <c r="K15" s="30">
        <v>2731.9336101201957</v>
      </c>
      <c r="L15" s="30">
        <v>1074.3559140922121</v>
      </c>
      <c r="M15" s="30">
        <v>1657.5776960279841</v>
      </c>
      <c r="N15" s="33">
        <v>1138.3056708834151</v>
      </c>
      <c r="O15" s="30">
        <v>437.41633645182941</v>
      </c>
      <c r="P15" s="31">
        <v>700.88933443158612</v>
      </c>
      <c r="Q15" s="30">
        <v>1593.627939236781</v>
      </c>
      <c r="R15" s="30">
        <v>636.93957764038305</v>
      </c>
      <c r="S15" s="32">
        <v>956.68836159639841</v>
      </c>
      <c r="T15" s="30">
        <v>2823.8147635051951</v>
      </c>
      <c r="U15" s="30">
        <v>1110.4889519402568</v>
      </c>
      <c r="V15" s="30">
        <v>1713.3258115650042</v>
      </c>
      <c r="W15" s="33">
        <v>1176.5894847938475</v>
      </c>
      <c r="X15" s="30">
        <v>452.12764471853978</v>
      </c>
      <c r="Y15" s="31">
        <v>724.46184007531269</v>
      </c>
      <c r="Z15" s="30">
        <v>1647.2252787114135</v>
      </c>
      <c r="AA15" s="30">
        <v>658.36130722172766</v>
      </c>
      <c r="AB15" s="32">
        <v>988.86397148965284</v>
      </c>
    </row>
    <row r="16" spans="1:29" s="5" customFormat="1" ht="12" customHeight="1">
      <c r="A16" s="29" t="s">
        <v>15</v>
      </c>
      <c r="B16" s="30">
        <v>2129.3247282474631</v>
      </c>
      <c r="C16" s="30">
        <v>888.35279191261236</v>
      </c>
      <c r="D16" s="31">
        <v>1240.9719363347695</v>
      </c>
      <c r="E16" s="30">
        <v>904.43717393888528</v>
      </c>
      <c r="F16" s="30">
        <v>383.55064831881606</v>
      </c>
      <c r="G16" s="31">
        <v>520.88652562006951</v>
      </c>
      <c r="H16" s="30">
        <v>1224.8875543084951</v>
      </c>
      <c r="I16" s="30">
        <v>504.80214359379653</v>
      </c>
      <c r="J16" s="32">
        <v>720.08541071468028</v>
      </c>
      <c r="K16" s="30">
        <v>2201.1506287532102</v>
      </c>
      <c r="L16" s="30">
        <v>918.31850752167657</v>
      </c>
      <c r="M16" s="30">
        <v>1282.8321212315341</v>
      </c>
      <c r="N16" s="33">
        <v>934.94544428738936</v>
      </c>
      <c r="O16" s="30">
        <v>396.48849210545944</v>
      </c>
      <c r="P16" s="31">
        <v>538.45695218193032</v>
      </c>
      <c r="Q16" s="30">
        <v>1266.2051844658213</v>
      </c>
      <c r="R16" s="30">
        <v>521.83001541621752</v>
      </c>
      <c r="S16" s="32">
        <v>744.37516904960421</v>
      </c>
      <c r="T16" s="30">
        <v>2275.1803408204864</v>
      </c>
      <c r="U16" s="30">
        <v>949.20365177750182</v>
      </c>
      <c r="V16" s="30">
        <v>1325.9766890429626</v>
      </c>
      <c r="W16" s="33">
        <v>966.38979031943393</v>
      </c>
      <c r="X16" s="30">
        <v>409.82330369224354</v>
      </c>
      <c r="Y16" s="31">
        <v>556.5664866272067</v>
      </c>
      <c r="Z16" s="30">
        <v>1308.790550501029</v>
      </c>
      <c r="AA16" s="30">
        <v>539.38034808527459</v>
      </c>
      <c r="AB16" s="32">
        <v>769.41020241575052</v>
      </c>
    </row>
    <row r="17" spans="1:28" s="5" customFormat="1" ht="12" customHeight="1">
      <c r="A17" s="29" t="s">
        <v>16</v>
      </c>
      <c r="B17" s="30">
        <v>2078.5970618569054</v>
      </c>
      <c r="C17" s="30">
        <v>862.37032863940226</v>
      </c>
      <c r="D17" s="31">
        <v>1216.2267332174242</v>
      </c>
      <c r="E17" s="30">
        <v>824.01526380752068</v>
      </c>
      <c r="F17" s="30">
        <v>345.19558348693448</v>
      </c>
      <c r="G17" s="31">
        <v>478.81968032058643</v>
      </c>
      <c r="H17" s="30">
        <v>1254.5817980493093</v>
      </c>
      <c r="I17" s="30">
        <v>517.17474515246806</v>
      </c>
      <c r="J17" s="32">
        <v>737.40705289682035</v>
      </c>
      <c r="K17" s="30">
        <v>2148.7118281844237</v>
      </c>
      <c r="L17" s="30">
        <v>891.45960966937128</v>
      </c>
      <c r="M17" s="30">
        <v>1257.2522185150528</v>
      </c>
      <c r="N17" s="33">
        <v>851.81076045882537</v>
      </c>
      <c r="O17" s="30">
        <v>356.83964289491354</v>
      </c>
      <c r="P17" s="31">
        <v>494.97111756391217</v>
      </c>
      <c r="Q17" s="30">
        <v>1296.9010677255988</v>
      </c>
      <c r="R17" s="30">
        <v>534.61996677445813</v>
      </c>
      <c r="S17" s="32">
        <v>762.28110095114107</v>
      </c>
      <c r="T17" s="30">
        <v>2220.9779038805514</v>
      </c>
      <c r="U17" s="30">
        <v>921.4414279789961</v>
      </c>
      <c r="V17" s="30">
        <v>1299.5364759015263</v>
      </c>
      <c r="W17" s="33">
        <v>880.45909760977338</v>
      </c>
      <c r="X17" s="30">
        <v>368.84097332301906</v>
      </c>
      <c r="Y17" s="31">
        <v>511.61812428676888</v>
      </c>
      <c r="Z17" s="30">
        <v>1340.5188062707525</v>
      </c>
      <c r="AA17" s="30">
        <v>552.6004546559916</v>
      </c>
      <c r="AB17" s="32">
        <v>787.91835161475433</v>
      </c>
    </row>
    <row r="18" spans="1:28" s="5" customFormat="1" ht="12" customHeight="1">
      <c r="A18" s="29" t="s">
        <v>17</v>
      </c>
      <c r="B18" s="30">
        <v>1669.0639502648419</v>
      </c>
      <c r="C18" s="30">
        <v>679.25582557106441</v>
      </c>
      <c r="D18" s="31">
        <v>989.80812469371847</v>
      </c>
      <c r="E18" s="30">
        <v>663.17144354479149</v>
      </c>
      <c r="F18" s="30">
        <v>273.43449444663992</v>
      </c>
      <c r="G18" s="31">
        <v>389.7369490981518</v>
      </c>
      <c r="H18" s="30">
        <v>1005.8925067199914</v>
      </c>
      <c r="I18" s="30">
        <v>405.82133112442472</v>
      </c>
      <c r="J18" s="32">
        <v>600.07117559556696</v>
      </c>
      <c r="K18" s="30">
        <v>1725.3644382266593</v>
      </c>
      <c r="L18" s="30">
        <v>702.16832956741018</v>
      </c>
      <c r="M18" s="30">
        <v>1023.1961086592496</v>
      </c>
      <c r="N18" s="33">
        <v>685.54139280169738</v>
      </c>
      <c r="O18" s="30">
        <v>282.65792501711798</v>
      </c>
      <c r="P18" s="31">
        <v>402.88346778457975</v>
      </c>
      <c r="Q18" s="30">
        <v>1039.8230454249624</v>
      </c>
      <c r="R18" s="30">
        <v>419.51040455029255</v>
      </c>
      <c r="S18" s="32">
        <v>620.31264087467025</v>
      </c>
      <c r="T18" s="30">
        <v>1783.3923763898104</v>
      </c>
      <c r="U18" s="30">
        <v>725.78385073238439</v>
      </c>
      <c r="V18" s="30">
        <v>1057.6085256573842</v>
      </c>
      <c r="W18" s="33">
        <v>708.59771219045228</v>
      </c>
      <c r="X18" s="30">
        <v>292.16435521285712</v>
      </c>
      <c r="Y18" s="31">
        <v>416.43335697760233</v>
      </c>
      <c r="Z18" s="30">
        <v>1074.7946641993178</v>
      </c>
      <c r="AA18" s="30">
        <v>433.61949551953518</v>
      </c>
      <c r="AB18" s="32">
        <v>641.17516867979555</v>
      </c>
    </row>
    <row r="19" spans="1:28" s="5" customFormat="1" ht="12" customHeight="1">
      <c r="A19" s="29" t="s">
        <v>18</v>
      </c>
      <c r="B19" s="30">
        <v>1143.2454615613854</v>
      </c>
      <c r="C19" s="30">
        <v>422.72321150448641</v>
      </c>
      <c r="D19" s="31">
        <v>720.52225005690002</v>
      </c>
      <c r="E19" s="30">
        <v>427.77065283588325</v>
      </c>
      <c r="F19" s="30">
        <v>169.08928460179521</v>
      </c>
      <c r="G19" s="31">
        <v>258.68136823408912</v>
      </c>
      <c r="H19" s="30">
        <v>715.47480872550318</v>
      </c>
      <c r="I19" s="30">
        <v>253.63392690269228</v>
      </c>
      <c r="J19" s="32">
        <v>461.84088182281192</v>
      </c>
      <c r="K19" s="30">
        <v>1181.809159097307</v>
      </c>
      <c r="L19" s="30">
        <v>436.98241533951199</v>
      </c>
      <c r="M19" s="30">
        <v>744.82674375779504</v>
      </c>
      <c r="N19" s="33">
        <v>442.2001158211778</v>
      </c>
      <c r="O19" s="30">
        <v>174.79296613580479</v>
      </c>
      <c r="P19" s="31">
        <v>267.40714968537299</v>
      </c>
      <c r="Q19" s="30">
        <v>739.60904327612923</v>
      </c>
      <c r="R19" s="30">
        <v>262.18944920370717</v>
      </c>
      <c r="S19" s="32">
        <v>477.41959407242206</v>
      </c>
      <c r="T19" s="30">
        <v>1221.5560944608287</v>
      </c>
      <c r="U19" s="30">
        <v>451.67912985030176</v>
      </c>
      <c r="V19" s="30">
        <v>769.87696461052496</v>
      </c>
      <c r="W19" s="33">
        <v>457.07231349030536</v>
      </c>
      <c r="X19" s="30">
        <v>180.67165194012091</v>
      </c>
      <c r="Y19" s="31">
        <v>276.40066155018479</v>
      </c>
      <c r="Z19" s="30">
        <v>764.48378097052114</v>
      </c>
      <c r="AA19" s="30">
        <v>271.00747791018119</v>
      </c>
      <c r="AB19" s="32">
        <v>493.47630306032966</v>
      </c>
    </row>
    <row r="20" spans="1:28" s="5" customFormat="1" ht="12" customHeight="1">
      <c r="A20" s="29" t="s">
        <v>19</v>
      </c>
      <c r="B20" s="30">
        <v>736.92643438393975</v>
      </c>
      <c r="C20" s="30">
        <v>305.37020054950989</v>
      </c>
      <c r="D20" s="31">
        <v>431.55623383443088</v>
      </c>
      <c r="E20" s="30">
        <v>320.51252454370041</v>
      </c>
      <c r="F20" s="30">
        <v>128.7097539506205</v>
      </c>
      <c r="G20" s="31">
        <v>191.80277059308099</v>
      </c>
      <c r="H20" s="30">
        <v>416.41390984024036</v>
      </c>
      <c r="I20" s="30">
        <v>176.66044659889047</v>
      </c>
      <c r="J20" s="32">
        <v>239.75346324135097</v>
      </c>
      <c r="K20" s="30">
        <v>761.78427032320894</v>
      </c>
      <c r="L20" s="30">
        <v>315.67087914078178</v>
      </c>
      <c r="M20" s="30">
        <v>446.11339118242716</v>
      </c>
      <c r="N20" s="33">
        <v>331.32398058577922</v>
      </c>
      <c r="O20" s="30">
        <v>133.05136228247827</v>
      </c>
      <c r="P20" s="31">
        <v>198.27261830330096</v>
      </c>
      <c r="Q20" s="30">
        <v>430.46028973742972</v>
      </c>
      <c r="R20" s="30">
        <v>182.61951685830351</v>
      </c>
      <c r="S20" s="32">
        <v>247.84077287912621</v>
      </c>
      <c r="T20" s="30">
        <v>787.4048114405374</v>
      </c>
      <c r="U20" s="30">
        <v>326.28761022021808</v>
      </c>
      <c r="V20" s="30">
        <v>461.11720122030806</v>
      </c>
      <c r="W20" s="33">
        <v>342.46716114022888</v>
      </c>
      <c r="X20" s="30">
        <v>137.52618282009212</v>
      </c>
      <c r="Y20" s="31">
        <v>204.94097832013711</v>
      </c>
      <c r="Z20" s="30">
        <v>444.93765030029726</v>
      </c>
      <c r="AA20" s="30">
        <v>188.76142740012631</v>
      </c>
      <c r="AB20" s="32">
        <v>256.1762229001713</v>
      </c>
    </row>
    <row r="21" spans="1:28" s="5" customFormat="1" ht="12" customHeight="1">
      <c r="A21" s="29" t="s">
        <v>20</v>
      </c>
      <c r="B21" s="30">
        <v>378.55809985476407</v>
      </c>
      <c r="C21" s="30">
        <v>146.37579861050943</v>
      </c>
      <c r="D21" s="31">
        <v>232.18230124425571</v>
      </c>
      <c r="E21" s="30">
        <v>132.49533494916813</v>
      </c>
      <c r="F21" s="30">
        <v>47.950692648270255</v>
      </c>
      <c r="G21" s="31">
        <v>84.544642300897664</v>
      </c>
      <c r="H21" s="30">
        <v>246.06276490559702</v>
      </c>
      <c r="I21" s="30">
        <v>98.42510596223913</v>
      </c>
      <c r="J21" s="32">
        <v>147.63765894335864</v>
      </c>
      <c r="K21" s="30">
        <v>391.3275361249361</v>
      </c>
      <c r="L21" s="30">
        <v>151.31331396830862</v>
      </c>
      <c r="M21" s="30">
        <v>240.01422215662748</v>
      </c>
      <c r="N21" s="33">
        <v>136.96463764372763</v>
      </c>
      <c r="O21" s="30">
        <v>49.568154575825226</v>
      </c>
      <c r="P21" s="31">
        <v>87.396483067902381</v>
      </c>
      <c r="Q21" s="30">
        <v>254.36289848120848</v>
      </c>
      <c r="R21" s="30">
        <v>101.74515939248337</v>
      </c>
      <c r="S21" s="32">
        <v>152.61773908872507</v>
      </c>
      <c r="T21" s="30">
        <v>404.48877300027027</v>
      </c>
      <c r="U21" s="30">
        <v>156.40232556010471</v>
      </c>
      <c r="V21" s="30">
        <v>248.0864474401659</v>
      </c>
      <c r="W21" s="33">
        <v>141.57107055009482</v>
      </c>
      <c r="X21" s="30">
        <v>51.235244580034461</v>
      </c>
      <c r="Y21" s="31">
        <v>90.335825970060625</v>
      </c>
      <c r="Z21" s="30">
        <v>262.9177024501758</v>
      </c>
      <c r="AA21" s="30">
        <v>105.16708098007052</v>
      </c>
      <c r="AB21" s="32">
        <v>157.75062147010561</v>
      </c>
    </row>
    <row r="22" spans="1:28" s="5" customFormat="1" ht="12" customHeight="1">
      <c r="A22" s="29" t="s">
        <v>29</v>
      </c>
      <c r="B22" s="30">
        <v>290.22787655531937</v>
      </c>
      <c r="C22" s="30">
        <v>114.82929028927904</v>
      </c>
      <c r="D22" s="31">
        <v>175.39858626604126</v>
      </c>
      <c r="E22" s="30">
        <v>117.35301095497749</v>
      </c>
      <c r="F22" s="30">
        <v>50.474413313968689</v>
      </c>
      <c r="G22" s="31">
        <v>66.878597641008525</v>
      </c>
      <c r="H22" s="30">
        <v>172.87486560034284</v>
      </c>
      <c r="I22" s="30">
        <v>64.354876975310077</v>
      </c>
      <c r="J22" s="32">
        <v>108.51998862503292</v>
      </c>
      <c r="K22" s="30">
        <v>300.01777769578433</v>
      </c>
      <c r="L22" s="30">
        <v>118.70268595789727</v>
      </c>
      <c r="M22" s="30">
        <v>181.31509173788706</v>
      </c>
      <c r="N22" s="33">
        <v>121.31153619873018</v>
      </c>
      <c r="O22" s="30">
        <v>52.177004816658133</v>
      </c>
      <c r="P22" s="31">
        <v>69.134531382072026</v>
      </c>
      <c r="Q22" s="30">
        <v>178.70624149705415</v>
      </c>
      <c r="R22" s="30">
        <v>66.525681141239119</v>
      </c>
      <c r="S22" s="32">
        <v>112.180560355815</v>
      </c>
      <c r="T22" s="30">
        <v>310.10805930020729</v>
      </c>
      <c r="U22" s="30">
        <v>122.69492781008222</v>
      </c>
      <c r="V22" s="30">
        <v>187.41313149012541</v>
      </c>
      <c r="W22" s="33">
        <v>125.39151963008402</v>
      </c>
      <c r="X22" s="30">
        <v>53.931836400036275</v>
      </c>
      <c r="Y22" s="31">
        <v>71.459683230048029</v>
      </c>
      <c r="Z22" s="30">
        <v>184.71653967012361</v>
      </c>
      <c r="AA22" s="30">
        <v>68.763091410046229</v>
      </c>
      <c r="AB22" s="32">
        <v>115.95344826007772</v>
      </c>
    </row>
    <row r="23" spans="1:28" s="5" customFormat="1" ht="12" customHeight="1">
      <c r="A23" s="29" t="s">
        <v>30</v>
      </c>
      <c r="B23" s="30">
        <v>70.664178639556198</v>
      </c>
      <c r="C23" s="30">
        <v>16.404184327039825</v>
      </c>
      <c r="D23" s="31">
        <v>54.259994312516341</v>
      </c>
      <c r="E23" s="30">
        <v>34.070228986928868</v>
      </c>
      <c r="F23" s="30">
        <v>7.5711619970953041</v>
      </c>
      <c r="G23" s="31">
        <v>26.499066989833562</v>
      </c>
      <c r="H23" s="30">
        <v>36.593949652627302</v>
      </c>
      <c r="I23" s="30">
        <v>8.8330223299445212</v>
      </c>
      <c r="J23" s="32">
        <v>27.760927322682779</v>
      </c>
      <c r="K23" s="30">
        <v>73.047806743321388</v>
      </c>
      <c r="L23" s="30">
        <v>16.957526565413879</v>
      </c>
      <c r="M23" s="30">
        <v>56.090280177907495</v>
      </c>
      <c r="N23" s="33">
        <v>35.219478251244233</v>
      </c>
      <c r="O23" s="30">
        <v>7.8265507224987125</v>
      </c>
      <c r="P23" s="31">
        <v>27.39292752874551</v>
      </c>
      <c r="Q23" s="30">
        <v>37.828328492077141</v>
      </c>
      <c r="R23" s="30">
        <v>9.1309758429151646</v>
      </c>
      <c r="S23" s="32">
        <v>28.697352649161964</v>
      </c>
      <c r="T23" s="30">
        <v>75.504570960050728</v>
      </c>
      <c r="U23" s="30">
        <v>17.527846830011789</v>
      </c>
      <c r="V23" s="30">
        <v>57.976724130038995</v>
      </c>
      <c r="W23" s="33">
        <v>36.403989570024486</v>
      </c>
      <c r="X23" s="30">
        <v>8.0897754600054412</v>
      </c>
      <c r="Y23" s="31">
        <v>28.314214110019044</v>
      </c>
      <c r="Z23" s="30">
        <v>39.100581390026299</v>
      </c>
      <c r="AA23" s="30">
        <v>9.4380713700063481</v>
      </c>
      <c r="AB23" s="32">
        <v>29.662510020019951</v>
      </c>
    </row>
    <row r="24" spans="1:28" s="5" customFormat="1" ht="12" customHeight="1">
      <c r="A24" s="29" t="s">
        <v>32</v>
      </c>
      <c r="B24" s="30">
        <v>36.593949652627302</v>
      </c>
      <c r="C24" s="30">
        <v>6.3093016642460871</v>
      </c>
      <c r="D24" s="31">
        <v>30.284647988381213</v>
      </c>
      <c r="E24" s="30">
        <v>22.713485991285911</v>
      </c>
      <c r="F24" s="30">
        <v>3.7855809985476525</v>
      </c>
      <c r="G24" s="31">
        <v>18.927904992738259</v>
      </c>
      <c r="H24" s="30">
        <v>13.880463661341389</v>
      </c>
      <c r="I24" s="30">
        <v>2.523720665698435</v>
      </c>
      <c r="J24" s="32">
        <v>11.356742995642955</v>
      </c>
      <c r="K24" s="30">
        <v>37.828328492077141</v>
      </c>
      <c r="L24" s="30">
        <v>6.5221256020822604</v>
      </c>
      <c r="M24" s="30">
        <v>31.306202889994871</v>
      </c>
      <c r="N24" s="33">
        <v>23.479652167496148</v>
      </c>
      <c r="O24" s="30">
        <v>3.9132753612493563</v>
      </c>
      <c r="P24" s="31">
        <v>19.566376806246787</v>
      </c>
      <c r="Q24" s="30">
        <v>14.348676324580973</v>
      </c>
      <c r="R24" s="30">
        <v>2.6088502408329042</v>
      </c>
      <c r="S24" s="32">
        <v>11.739826083748069</v>
      </c>
      <c r="T24" s="30">
        <v>39.100581390026299</v>
      </c>
      <c r="U24" s="30">
        <v>6.7414795500045344</v>
      </c>
      <c r="V24" s="30">
        <v>32.359101840021765</v>
      </c>
      <c r="W24" s="33">
        <v>24.269326380016324</v>
      </c>
      <c r="X24" s="30">
        <v>4.0448877300027206</v>
      </c>
      <c r="Y24" s="31">
        <v>20.224438650013603</v>
      </c>
      <c r="Z24" s="30">
        <v>14.831255010009976</v>
      </c>
      <c r="AA24" s="30">
        <v>2.6965918200018137</v>
      </c>
      <c r="AB24" s="32">
        <v>12.134663190008162</v>
      </c>
    </row>
    <row r="25" spans="1:28" s="5" customFormat="1" ht="12" customHeight="1" thickBot="1">
      <c r="A25" s="34" t="s">
        <v>31</v>
      </c>
      <c r="B25" s="35">
        <v>18.927904992738259</v>
      </c>
      <c r="C25" s="35">
        <v>5.04744133139687</v>
      </c>
      <c r="D25" s="36">
        <v>13.880463661341389</v>
      </c>
      <c r="E25" s="35">
        <v>15.142323994190606</v>
      </c>
      <c r="F25" s="35">
        <v>3.7855809985476525</v>
      </c>
      <c r="G25" s="36">
        <v>11.356742995642955</v>
      </c>
      <c r="H25" s="35">
        <v>3.7855809985476525</v>
      </c>
      <c r="I25" s="35">
        <v>1.2618603328492175</v>
      </c>
      <c r="J25" s="37">
        <v>2.523720665698435</v>
      </c>
      <c r="K25" s="35">
        <v>19.566376806246787</v>
      </c>
      <c r="L25" s="35">
        <v>5.2177004816658084</v>
      </c>
      <c r="M25" s="35">
        <v>14.348676324580973</v>
      </c>
      <c r="N25" s="38">
        <v>15.653101444997425</v>
      </c>
      <c r="O25" s="35">
        <v>3.9132753612493563</v>
      </c>
      <c r="P25" s="36">
        <v>11.739826083748069</v>
      </c>
      <c r="Q25" s="35">
        <v>3.9132753612493563</v>
      </c>
      <c r="R25" s="35">
        <v>1.3044251204164521</v>
      </c>
      <c r="S25" s="37">
        <v>2.6088502408329042</v>
      </c>
      <c r="T25" s="35">
        <v>20.224438650013603</v>
      </c>
      <c r="U25" s="35">
        <v>5.3931836400036275</v>
      </c>
      <c r="V25" s="35">
        <v>14.831255010009976</v>
      </c>
      <c r="W25" s="38">
        <v>16.179550920010882</v>
      </c>
      <c r="X25" s="35">
        <v>4.0448877300027206</v>
      </c>
      <c r="Y25" s="36">
        <v>12.134663190008162</v>
      </c>
      <c r="Z25" s="35">
        <v>4.0448877300027206</v>
      </c>
      <c r="AA25" s="35">
        <v>1.3482959100009069</v>
      </c>
      <c r="AB25" s="37">
        <v>2.6965918200018137</v>
      </c>
    </row>
    <row r="26" spans="1:28" s="5" customFormat="1" ht="12" customHeight="1">
      <c r="A26" s="44" t="s">
        <v>72</v>
      </c>
      <c r="B26" s="40">
        <v>44558.355365382762</v>
      </c>
      <c r="C26" s="40">
        <v>22403.319495178872</v>
      </c>
      <c r="D26" s="41">
        <v>22155.035870186995</v>
      </c>
      <c r="E26" s="40">
        <v>19473.885908802626</v>
      </c>
      <c r="F26" s="40">
        <v>9849.0832310486294</v>
      </c>
      <c r="G26" s="41">
        <v>9624.8026777528376</v>
      </c>
      <c r="H26" s="40">
        <v>25084.469456563213</v>
      </c>
      <c r="I26" s="40">
        <v>12554.236264126557</v>
      </c>
      <c r="J26" s="42">
        <v>12530.233192430727</v>
      </c>
      <c r="K26" s="40">
        <v>46061.387738339057</v>
      </c>
      <c r="L26" s="40">
        <v>23159.023205241469</v>
      </c>
      <c r="M26" s="40">
        <v>22902.36453312356</v>
      </c>
      <c r="N26" s="43">
        <v>20130.774627182192</v>
      </c>
      <c r="O26" s="40">
        <v>10181.310280706</v>
      </c>
      <c r="P26" s="41">
        <v>9949.4643464737856</v>
      </c>
      <c r="Q26" s="40">
        <v>25930.613111182985</v>
      </c>
      <c r="R26" s="40">
        <v>12977.712924531677</v>
      </c>
      <c r="S26" s="42">
        <v>12952.900186646079</v>
      </c>
      <c r="T26" s="40">
        <v>47610.537181884873</v>
      </c>
      <c r="U26" s="40">
        <v>23937.913935039851</v>
      </c>
      <c r="V26" s="40">
        <v>23672.623246853884</v>
      </c>
      <c r="W26" s="43">
        <v>20807.818455925193</v>
      </c>
      <c r="X26" s="40">
        <v>10523.73094865269</v>
      </c>
      <c r="Y26" s="41">
        <v>10284.087507275424</v>
      </c>
      <c r="Z26" s="40">
        <v>26802.71872596852</v>
      </c>
      <c r="AA26" s="40">
        <v>13414.182986391719</v>
      </c>
      <c r="AB26" s="42">
        <v>13388.535739582769</v>
      </c>
    </row>
    <row r="27" spans="1:28" s="5" customFormat="1" ht="12" customHeight="1">
      <c r="A27" s="39" t="s">
        <v>22</v>
      </c>
      <c r="B27" s="40">
        <v>1916.9268581561457</v>
      </c>
      <c r="C27" s="40">
        <v>925.88596011119716</v>
      </c>
      <c r="D27" s="41">
        <v>991.04089804494811</v>
      </c>
      <c r="E27" s="40">
        <v>873.3047821295736</v>
      </c>
      <c r="F27" s="40">
        <v>416.07714750676001</v>
      </c>
      <c r="G27" s="41">
        <v>457.22763462281324</v>
      </c>
      <c r="H27" s="40">
        <v>1043.6220760265717</v>
      </c>
      <c r="I27" s="40">
        <v>509.80881260443681</v>
      </c>
      <c r="J27" s="42">
        <v>533.81326342213447</v>
      </c>
      <c r="K27" s="40">
        <v>1981.5882017099361</v>
      </c>
      <c r="L27" s="40">
        <v>957.11773606745237</v>
      </c>
      <c r="M27" s="40">
        <v>1024.4704656425697</v>
      </c>
      <c r="N27" s="43">
        <v>902.76290167349794</v>
      </c>
      <c r="O27" s="40">
        <v>430.1121678130246</v>
      </c>
      <c r="P27" s="41">
        <v>472.6507338604672</v>
      </c>
      <c r="Q27" s="40">
        <v>1078.8253000365189</v>
      </c>
      <c r="R27" s="40">
        <v>527.00556825442163</v>
      </c>
      <c r="S27" s="42">
        <v>551.81973178209648</v>
      </c>
      <c r="T27" s="40">
        <v>2048.2335289730977</v>
      </c>
      <c r="U27" s="40">
        <v>989.30778680270248</v>
      </c>
      <c r="V27" s="40">
        <v>1058.9257421703032</v>
      </c>
      <c r="W27" s="43">
        <v>933.12487545341321</v>
      </c>
      <c r="X27" s="40">
        <v>444.57782024220216</v>
      </c>
      <c r="Y27" s="41">
        <v>488.54705521121116</v>
      </c>
      <c r="Z27" s="40">
        <v>1115.1086535195977</v>
      </c>
      <c r="AA27" s="40">
        <v>544.72996656050043</v>
      </c>
      <c r="AB27" s="42">
        <v>570.37868695908901</v>
      </c>
    </row>
    <row r="28" spans="1:28" s="5" customFormat="1" ht="12" customHeight="1" thickBot="1">
      <c r="A28" s="45" t="s">
        <v>21</v>
      </c>
      <c r="B28" s="46">
        <v>35107.338302491669</v>
      </c>
      <c r="C28" s="46">
        <v>15917.613554383597</v>
      </c>
      <c r="D28" s="47">
        <v>19189.724748103614</v>
      </c>
      <c r="E28" s="46">
        <v>15127.758136006671</v>
      </c>
      <c r="F28" s="46">
        <v>6769.7178209032099</v>
      </c>
      <c r="G28" s="47">
        <v>8358.0403151059545</v>
      </c>
      <c r="H28" s="46">
        <v>19979.580166480791</v>
      </c>
      <c r="I28" s="46">
        <v>9147.8957334830593</v>
      </c>
      <c r="J28" s="48">
        <v>10831.684432999604</v>
      </c>
      <c r="K28" s="46">
        <v>36291.571103850998</v>
      </c>
      <c r="L28" s="46">
        <v>16454.542897419968</v>
      </c>
      <c r="M28" s="46">
        <v>19837.028206428535</v>
      </c>
      <c r="N28" s="49">
        <v>15638.044254577511</v>
      </c>
      <c r="O28" s="46">
        <v>6998.0724124814715</v>
      </c>
      <c r="P28" s="47">
        <v>8639.9718420977588</v>
      </c>
      <c r="Q28" s="46">
        <v>20653.5268492709</v>
      </c>
      <c r="R28" s="46">
        <v>9456.4704849402679</v>
      </c>
      <c r="S28" s="48">
        <v>11197.056364332821</v>
      </c>
      <c r="T28" s="46">
        <v>37512.139348561861</v>
      </c>
      <c r="U28" s="46">
        <v>17007.946674964664</v>
      </c>
      <c r="V28" s="46">
        <v>20504.192673599668</v>
      </c>
      <c r="W28" s="49">
        <v>16163.987321962783</v>
      </c>
      <c r="X28" s="46">
        <v>7233.4335363200853</v>
      </c>
      <c r="Y28" s="47">
        <v>8930.5537856430001</v>
      </c>
      <c r="Z28" s="46">
        <v>21348.1520266017</v>
      </c>
      <c r="AA28" s="46">
        <v>9774.5131386449193</v>
      </c>
      <c r="AB28" s="48">
        <v>11573.638887956711</v>
      </c>
    </row>
    <row r="29" spans="1:28" s="5" customFormat="1" ht="14.25" customHeight="1">
      <c r="A29" s="260" t="s">
        <v>118</v>
      </c>
      <c r="B29" s="54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</row>
    <row r="30" spans="1:28" ht="12" customHeight="1"/>
    <row r="31" spans="1:28">
      <c r="B31" s="192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0"/>
  <sheetViews>
    <sheetView workbookViewId="0">
      <pane xSplit="1" topLeftCell="B1" activePane="topRight" state="frozen"/>
      <selection pane="topRight" activeCell="A29" sqref="A29"/>
    </sheetView>
  </sheetViews>
  <sheetFormatPr defaultColWidth="9.125" defaultRowHeight="12"/>
  <cols>
    <col min="1" max="1" width="16.625" style="1" customWidth="1"/>
    <col min="2" max="16384" width="9.125" style="1"/>
  </cols>
  <sheetData>
    <row r="1" spans="1:28" s="5" customFormat="1" ht="30" customHeight="1" thickBot="1">
      <c r="A1" s="55" t="s">
        <v>103</v>
      </c>
      <c r="B1" s="53"/>
      <c r="C1" s="53"/>
      <c r="D1" s="53"/>
      <c r="E1" s="53"/>
      <c r="F1" s="53"/>
      <c r="G1" s="53"/>
      <c r="H1" s="53"/>
      <c r="I1" s="53"/>
      <c r="J1" s="53"/>
    </row>
    <row r="2" spans="1:28" s="5" customFormat="1" ht="11.1" customHeight="1">
      <c r="A2" s="241" t="s">
        <v>55</v>
      </c>
      <c r="B2" s="233" t="s">
        <v>40</v>
      </c>
      <c r="C2" s="233"/>
      <c r="D2" s="233"/>
      <c r="E2" s="233"/>
      <c r="F2" s="233"/>
      <c r="G2" s="233"/>
      <c r="H2" s="233"/>
      <c r="I2" s="233"/>
      <c r="J2" s="234"/>
      <c r="K2" s="233" t="s">
        <v>42</v>
      </c>
      <c r="L2" s="233"/>
      <c r="M2" s="233"/>
      <c r="N2" s="233"/>
      <c r="O2" s="233"/>
      <c r="P2" s="233"/>
      <c r="Q2" s="233"/>
      <c r="R2" s="233"/>
      <c r="S2" s="234"/>
      <c r="T2" s="233" t="s">
        <v>41</v>
      </c>
      <c r="U2" s="233"/>
      <c r="V2" s="233"/>
      <c r="W2" s="233"/>
      <c r="X2" s="233"/>
      <c r="Y2" s="233"/>
      <c r="Z2" s="233"/>
      <c r="AA2" s="233"/>
      <c r="AB2" s="234"/>
    </row>
    <row r="3" spans="1:28" s="5" customFormat="1" ht="17.25" customHeight="1" thickBot="1">
      <c r="A3" s="242"/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5"/>
      <c r="K3" s="11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5"/>
    </row>
    <row r="4" spans="1:28" s="5" customFormat="1" ht="12.75" customHeight="1" thickBot="1">
      <c r="A4" s="238"/>
      <c r="B4" s="9" t="s">
        <v>0</v>
      </c>
      <c r="C4" s="10" t="s">
        <v>3</v>
      </c>
      <c r="D4" s="16" t="s">
        <v>4</v>
      </c>
      <c r="E4" s="17" t="s">
        <v>0</v>
      </c>
      <c r="F4" s="10" t="s">
        <v>3</v>
      </c>
      <c r="G4" s="16" t="s">
        <v>4</v>
      </c>
      <c r="H4" s="17" t="s">
        <v>0</v>
      </c>
      <c r="I4" s="10" t="s">
        <v>3</v>
      </c>
      <c r="J4" s="18" t="s">
        <v>4</v>
      </c>
      <c r="K4" s="9" t="s">
        <v>0</v>
      </c>
      <c r="L4" s="10" t="s">
        <v>3</v>
      </c>
      <c r="M4" s="10" t="s">
        <v>4</v>
      </c>
      <c r="N4" s="19" t="s">
        <v>0</v>
      </c>
      <c r="O4" s="20" t="s">
        <v>3</v>
      </c>
      <c r="P4" s="21" t="s">
        <v>4</v>
      </c>
      <c r="Q4" s="17" t="s">
        <v>0</v>
      </c>
      <c r="R4" s="10" t="s">
        <v>3</v>
      </c>
      <c r="S4" s="18" t="s">
        <v>4</v>
      </c>
      <c r="T4" s="105" t="s">
        <v>0</v>
      </c>
      <c r="U4" s="20" t="s">
        <v>3</v>
      </c>
      <c r="V4" s="20" t="s">
        <v>4</v>
      </c>
      <c r="W4" s="19" t="s">
        <v>0</v>
      </c>
      <c r="X4" s="20" t="s">
        <v>3</v>
      </c>
      <c r="Y4" s="21" t="s">
        <v>4</v>
      </c>
      <c r="Z4" s="103" t="s">
        <v>0</v>
      </c>
      <c r="AA4" s="20" t="s">
        <v>3</v>
      </c>
      <c r="AB4" s="104" t="s">
        <v>4</v>
      </c>
    </row>
    <row r="5" spans="1:28" s="5" customFormat="1" ht="16.5" customHeight="1" thickBot="1">
      <c r="A5" s="22" t="s">
        <v>39</v>
      </c>
      <c r="B5" s="99">
        <f>+B6+B7+B8+B9+B10+B11+B12+B13+B14+B15+B16+B17+B18+B19+B20+B21+B22+B23+B24+B25</f>
        <v>269953.00899028406</v>
      </c>
      <c r="C5" s="99">
        <f t="shared" ref="C5:J5" si="0">+C6+C7+C8+C9+C10+C11+C12+C13+C14+C15+C16+C17+C18+C19+C20+C21+C22+C23+C24+C25</f>
        <v>130270.12714188005</v>
      </c>
      <c r="D5" s="94">
        <f t="shared" si="0"/>
        <v>139682.88184836999</v>
      </c>
      <c r="E5" s="99">
        <f t="shared" si="0"/>
        <v>179737.29018865613</v>
      </c>
      <c r="F5" s="99">
        <f t="shared" si="0"/>
        <v>86400.923798211326</v>
      </c>
      <c r="G5" s="99">
        <f t="shared" si="0"/>
        <v>93336.366390427225</v>
      </c>
      <c r="H5" s="98">
        <f t="shared" si="0"/>
        <v>90215.71880159888</v>
      </c>
      <c r="I5" s="99">
        <f t="shared" si="0"/>
        <v>43869.203343663343</v>
      </c>
      <c r="J5" s="95">
        <f t="shared" si="0"/>
        <v>46346.515457937974</v>
      </c>
      <c r="K5" s="23">
        <f>+K6+K7+K8+K9+K10+K11+K12+K13+K14+K15+K16+K17+K18+K19+K20+K21+K22+K23+K24+K25</f>
        <v>279059.0028800756</v>
      </c>
      <c r="L5" s="23">
        <f t="shared" ref="L5:S5" si="1">+L6+L7+L8+L9+L10+L11+L12+L13+L14+L15+L16+L17+L18+L19+L20+L21+L22+L23+L24+L25</f>
        <v>134664.36962958911</v>
      </c>
      <c r="M5" s="94">
        <f t="shared" si="1"/>
        <v>144394.63325055703</v>
      </c>
      <c r="N5" s="23">
        <f t="shared" si="1"/>
        <v>185800.14784067959</v>
      </c>
      <c r="O5" s="23">
        <f t="shared" si="1"/>
        <v>89315.380233167496</v>
      </c>
      <c r="P5" s="94">
        <f t="shared" si="1"/>
        <v>96484.767607495654</v>
      </c>
      <c r="Q5" s="23">
        <f t="shared" si="1"/>
        <v>93258.855039465605</v>
      </c>
      <c r="R5" s="23">
        <f t="shared" si="1"/>
        <v>45348.989396411547</v>
      </c>
      <c r="S5" s="95">
        <f t="shared" si="1"/>
        <v>47909.865643052115</v>
      </c>
      <c r="T5" s="99">
        <f>+T6+T7+T8+T9+T10+T11+T12+T13+T14+T15+T16+T17+T18+T19+T20+T21+T22+T23+T24+T25</f>
        <v>288444.39312237169</v>
      </c>
      <c r="U5" s="99">
        <f t="shared" ref="U5:AB5" si="2">+U6+U7+U8+U9+U10+U11+U12+U13+U14+U15+U16+U17+U18+U19+U20+U21+U22+U23+U24+U25</f>
        <v>139193.43928031813</v>
      </c>
      <c r="V5" s="94">
        <f t="shared" si="2"/>
        <v>149250.95384212947</v>
      </c>
      <c r="W5" s="99">
        <f t="shared" si="2"/>
        <v>192049.03025105549</v>
      </c>
      <c r="X5" s="99">
        <f t="shared" si="2"/>
        <v>92319.260020162314</v>
      </c>
      <c r="Y5" s="99">
        <f t="shared" si="2"/>
        <v>99729.770230924332</v>
      </c>
      <c r="Z5" s="98">
        <f t="shared" si="2"/>
        <v>96395.362871375168</v>
      </c>
      <c r="AA5" s="99">
        <f t="shared" si="2"/>
        <v>46874.179260161342</v>
      </c>
      <c r="AB5" s="95">
        <f t="shared" si="2"/>
        <v>49521.183611213477</v>
      </c>
    </row>
    <row r="6" spans="1:28" s="5" customFormat="1" ht="12" customHeight="1">
      <c r="A6" s="24" t="s">
        <v>5</v>
      </c>
      <c r="B6" s="107">
        <v>42095.909694272006</v>
      </c>
      <c r="C6" s="107">
        <v>21014.781866175064</v>
      </c>
      <c r="D6" s="108">
        <v>21081.127828096862</v>
      </c>
      <c r="E6" s="107">
        <v>27882.192070189478</v>
      </c>
      <c r="F6" s="107">
        <v>13913.351360109222</v>
      </c>
      <c r="G6" s="108">
        <v>13968.84071008018</v>
      </c>
      <c r="H6" s="107">
        <v>14213.71762408245</v>
      </c>
      <c r="I6" s="107">
        <v>7101.4305060657662</v>
      </c>
      <c r="J6" s="109">
        <v>7112.2871180166057</v>
      </c>
      <c r="K6" s="107">
        <v>43515.879406397864</v>
      </c>
      <c r="L6" s="107">
        <v>21723.647738745749</v>
      </c>
      <c r="M6" s="107">
        <v>21792.231667660981</v>
      </c>
      <c r="N6" s="121">
        <v>28822.707871735107</v>
      </c>
      <c r="O6" s="107">
        <v>14382.6733837674</v>
      </c>
      <c r="P6" s="108">
        <v>14440.034487950965</v>
      </c>
      <c r="Q6" s="107">
        <v>14693.171534674088</v>
      </c>
      <c r="R6" s="107">
        <v>7340.9743549719624</v>
      </c>
      <c r="S6" s="109">
        <v>7352.1971797035294</v>
      </c>
      <c r="T6" s="107">
        <v>44979.417603550974</v>
      </c>
      <c r="U6" s="107">
        <v>22454.263520392535</v>
      </c>
      <c r="V6" s="107">
        <v>22525.154083139943</v>
      </c>
      <c r="W6" s="121">
        <v>29792.081224410675</v>
      </c>
      <c r="X6" s="107">
        <v>14866.395467776587</v>
      </c>
      <c r="Y6" s="108">
        <v>14925.68575661979</v>
      </c>
      <c r="Z6" s="107">
        <v>15187.336379123493</v>
      </c>
      <c r="AA6" s="107">
        <v>7587.8680526115804</v>
      </c>
      <c r="AB6" s="109">
        <v>7599.4683265156937</v>
      </c>
    </row>
    <row r="7" spans="1:28" s="5" customFormat="1" ht="12" customHeight="1">
      <c r="A7" s="24" t="s">
        <v>6</v>
      </c>
      <c r="B7" s="107">
        <v>40098.949555292609</v>
      </c>
      <c r="C7" s="107">
        <v>19984.422069968252</v>
      </c>
      <c r="D7" s="108">
        <v>20114.527485299772</v>
      </c>
      <c r="E7" s="107">
        <v>26466.665329405925</v>
      </c>
      <c r="F7" s="107">
        <v>13162.523080245417</v>
      </c>
      <c r="G7" s="108">
        <v>13304.142249145874</v>
      </c>
      <c r="H7" s="107">
        <v>13632.284225866446</v>
      </c>
      <c r="I7" s="107">
        <v>6821.898989718441</v>
      </c>
      <c r="J7" s="109">
        <v>6810.3852361492982</v>
      </c>
      <c r="K7" s="107">
        <v>41451.558259275538</v>
      </c>
      <c r="L7" s="107">
        <v>20658.532078752258</v>
      </c>
      <c r="M7" s="107">
        <v>20793.026180549747</v>
      </c>
      <c r="N7" s="121">
        <v>27359.432902821834</v>
      </c>
      <c r="O7" s="107">
        <v>13606.51833406092</v>
      </c>
      <c r="P7" s="108">
        <v>13752.914568760842</v>
      </c>
      <c r="Q7" s="107">
        <v>14092.125356480172</v>
      </c>
      <c r="R7" s="107">
        <v>7052.0137446912649</v>
      </c>
      <c r="S7" s="109">
        <v>7040.1116117888323</v>
      </c>
      <c r="T7" s="107">
        <v>42845.668631624692</v>
      </c>
      <c r="U7" s="107">
        <v>21353.325593348025</v>
      </c>
      <c r="V7" s="107">
        <v>21492.343038300816</v>
      </c>
      <c r="W7" s="121">
        <v>28279.59298347382</v>
      </c>
      <c r="X7" s="107">
        <v>14064.136554890716</v>
      </c>
      <c r="Y7" s="108">
        <v>14215.456428600615</v>
      </c>
      <c r="Z7" s="107">
        <v>14566.075648172333</v>
      </c>
      <c r="AA7" s="107">
        <v>7289.1890384645803</v>
      </c>
      <c r="AB7" s="109">
        <v>7276.886609707678</v>
      </c>
    </row>
    <row r="8" spans="1:28" s="5" customFormat="1" ht="12" customHeight="1">
      <c r="A8" s="24" t="s">
        <v>7</v>
      </c>
      <c r="B8" s="107">
        <v>40543.380443062226</v>
      </c>
      <c r="C8" s="107">
        <v>20076.53209852154</v>
      </c>
      <c r="D8" s="108">
        <v>20466.8483445161</v>
      </c>
      <c r="E8" s="107">
        <v>26838.559569689827</v>
      </c>
      <c r="F8" s="107">
        <v>13207.426719165074</v>
      </c>
      <c r="G8" s="108">
        <v>13631.132850509532</v>
      </c>
      <c r="H8" s="107">
        <v>13704.820873352046</v>
      </c>
      <c r="I8" s="107">
        <v>6869.1053793519268</v>
      </c>
      <c r="J8" s="109">
        <v>6835.7154940014125</v>
      </c>
      <c r="K8" s="107">
        <v>41910.980589308034</v>
      </c>
      <c r="L8" s="107">
        <v>20753.749141971719</v>
      </c>
      <c r="M8" s="107">
        <v>21157.231447364185</v>
      </c>
      <c r="N8" s="121">
        <v>27743.871795570409</v>
      </c>
      <c r="O8" s="107">
        <v>13652.936652380407</v>
      </c>
      <c r="P8" s="108">
        <v>14090.935143189929</v>
      </c>
      <c r="Q8" s="107">
        <v>14167.108793765497</v>
      </c>
      <c r="R8" s="107">
        <v>7100.8124895912388</v>
      </c>
      <c r="S8" s="109">
        <v>7066.2963041741841</v>
      </c>
      <c r="T8" s="107">
        <v>43320.542381640422</v>
      </c>
      <c r="U8" s="107">
        <v>21451.745023403098</v>
      </c>
      <c r="V8" s="107">
        <v>21868.797358261472</v>
      </c>
      <c r="W8" s="121">
        <v>28676.961432321179</v>
      </c>
      <c r="X8" s="107">
        <v>14112.116027042635</v>
      </c>
      <c r="Y8" s="108">
        <v>14564.845405296643</v>
      </c>
      <c r="Z8" s="107">
        <v>14643.580949340818</v>
      </c>
      <c r="AA8" s="107">
        <v>7339.6289963678801</v>
      </c>
      <c r="AB8" s="109">
        <v>7303.9519529728632</v>
      </c>
    </row>
    <row r="9" spans="1:28" s="5" customFormat="1" ht="12" customHeight="1">
      <c r="A9" s="24" t="s">
        <v>8</v>
      </c>
      <c r="B9" s="107">
        <v>34801.881409306465</v>
      </c>
      <c r="C9" s="107">
        <v>16696.81014733393</v>
      </c>
      <c r="D9" s="108">
        <v>18105.071261971356</v>
      </c>
      <c r="E9" s="107">
        <v>23620.379604605754</v>
      </c>
      <c r="F9" s="107">
        <v>11244.370604460129</v>
      </c>
      <c r="G9" s="108">
        <v>12376.009000150918</v>
      </c>
      <c r="H9" s="107">
        <v>11181.50180469953</v>
      </c>
      <c r="I9" s="107">
        <v>5452.4395428769149</v>
      </c>
      <c r="J9" s="109">
        <v>5729.0622618237721</v>
      </c>
      <c r="K9" s="107">
        <v>35975.810607807944</v>
      </c>
      <c r="L9" s="107">
        <v>17260.023173755246</v>
      </c>
      <c r="M9" s="107">
        <v>18715.787434046484</v>
      </c>
      <c r="N9" s="121">
        <v>24417.136911242284</v>
      </c>
      <c r="O9" s="107">
        <v>11623.663172465307</v>
      </c>
      <c r="P9" s="108">
        <v>12793.473738770766</v>
      </c>
      <c r="Q9" s="107">
        <v>11558.673696559448</v>
      </c>
      <c r="R9" s="107">
        <v>5636.360001285695</v>
      </c>
      <c r="S9" s="109">
        <v>5922.3136952712539</v>
      </c>
      <c r="T9" s="107">
        <v>37185.759107388767</v>
      </c>
      <c r="U9" s="107">
        <v>17840.51708867904</v>
      </c>
      <c r="V9" s="107">
        <v>19345.24201872831</v>
      </c>
      <c r="W9" s="121">
        <v>25238.340872208606</v>
      </c>
      <c r="X9" s="107">
        <v>12014.593455283723</v>
      </c>
      <c r="Y9" s="108">
        <v>13223.747416932258</v>
      </c>
      <c r="Z9" s="107">
        <v>11947.418235192137</v>
      </c>
      <c r="AA9" s="107">
        <v>5825.9236333934359</v>
      </c>
      <c r="AB9" s="109">
        <v>6121.4946017961911</v>
      </c>
    </row>
    <row r="10" spans="1:28" s="5" customFormat="1" ht="12" customHeight="1">
      <c r="A10" s="24" t="s">
        <v>9</v>
      </c>
      <c r="B10" s="107">
        <v>26511.180509914848</v>
      </c>
      <c r="C10" s="107">
        <v>12273.629229541164</v>
      </c>
      <c r="D10" s="108">
        <v>14237.551280379636</v>
      </c>
      <c r="E10" s="107">
        <v>18208.985733514903</v>
      </c>
      <c r="F10" s="107">
        <v>8351.6757158991295</v>
      </c>
      <c r="G10" s="108">
        <v>9857.3100176217249</v>
      </c>
      <c r="H10" s="107">
        <v>8302.1947764058987</v>
      </c>
      <c r="I10" s="107">
        <v>3921.9535136446916</v>
      </c>
      <c r="J10" s="109">
        <v>4380.241262760921</v>
      </c>
      <c r="K10" s="107">
        <v>27405.449659349571</v>
      </c>
      <c r="L10" s="107">
        <v>12687.640516871699</v>
      </c>
      <c r="M10" s="107">
        <v>14717.809142482838</v>
      </c>
      <c r="N10" s="121">
        <v>18823.207125047415</v>
      </c>
      <c r="O10" s="107">
        <v>8633.3925536686511</v>
      </c>
      <c r="P10" s="108">
        <v>10189.814571383729</v>
      </c>
      <c r="Q10" s="107">
        <v>8582.2425343071227</v>
      </c>
      <c r="R10" s="107">
        <v>4054.2479632049394</v>
      </c>
      <c r="S10" s="109">
        <v>4527.9945711013379</v>
      </c>
      <c r="T10" s="107">
        <v>28327.157388413667</v>
      </c>
      <c r="U10" s="107">
        <v>13114.354782591492</v>
      </c>
      <c r="V10" s="107">
        <v>15212.802605838024</v>
      </c>
      <c r="W10" s="121">
        <v>19456.274478757434</v>
      </c>
      <c r="X10" s="107">
        <v>8923.7532207512377</v>
      </c>
      <c r="Y10" s="108">
        <v>10532.521258009227</v>
      </c>
      <c r="Z10" s="107">
        <v>8870.8829096676418</v>
      </c>
      <c r="AA10" s="107">
        <v>4190.6015618388446</v>
      </c>
      <c r="AB10" s="109">
        <v>4680.2813478273874</v>
      </c>
    </row>
    <row r="11" spans="1:28" s="5" customFormat="1" ht="12" customHeight="1">
      <c r="A11" s="29" t="s">
        <v>10</v>
      </c>
      <c r="B11" s="107">
        <v>18478.774665513709</v>
      </c>
      <c r="C11" s="107">
        <v>8478.9124174531516</v>
      </c>
      <c r="D11" s="108">
        <v>9999.862248066509</v>
      </c>
      <c r="E11" s="110">
        <v>12883.894149957678</v>
      </c>
      <c r="F11" s="110">
        <v>5812.8322728517578</v>
      </c>
      <c r="G11" s="111">
        <v>7071.0618771091704</v>
      </c>
      <c r="H11" s="110">
        <v>5594.8805155599775</v>
      </c>
      <c r="I11" s="110">
        <v>2666.0801446012442</v>
      </c>
      <c r="J11" s="112">
        <v>2928.8003709583631</v>
      </c>
      <c r="K11" s="107">
        <v>19102.096516328129</v>
      </c>
      <c r="L11" s="107">
        <v>8764.9211748840098</v>
      </c>
      <c r="M11" s="107">
        <v>10337.175341449085</v>
      </c>
      <c r="N11" s="122">
        <v>13318.490755663883</v>
      </c>
      <c r="O11" s="110">
        <v>6008.9094173790754</v>
      </c>
      <c r="P11" s="111">
        <v>7309.581338287483</v>
      </c>
      <c r="Q11" s="110">
        <v>5783.6057606674131</v>
      </c>
      <c r="R11" s="110">
        <v>2756.0117575047102</v>
      </c>
      <c r="S11" s="112">
        <v>3027.5940031624505</v>
      </c>
      <c r="T11" s="107">
        <v>19744.543555855671</v>
      </c>
      <c r="U11" s="107">
        <v>9059.7054492519128</v>
      </c>
      <c r="V11" s="107">
        <v>10684.838106607205</v>
      </c>
      <c r="W11" s="122">
        <v>13766.421952622508</v>
      </c>
      <c r="X11" s="110">
        <v>6211.0027353905443</v>
      </c>
      <c r="Y11" s="111">
        <v>7555.4192172305538</v>
      </c>
      <c r="Z11" s="110">
        <v>5978.1216032366101</v>
      </c>
      <c r="AA11" s="110">
        <v>2848.7027138604094</v>
      </c>
      <c r="AB11" s="112">
        <v>3129.4188893755909</v>
      </c>
    </row>
    <row r="12" spans="1:28" s="5" customFormat="1" ht="12" customHeight="1">
      <c r="A12" s="29" t="s">
        <v>11</v>
      </c>
      <c r="B12" s="110">
        <v>15293.736476835675</v>
      </c>
      <c r="C12" s="110">
        <v>7179.7518528147821</v>
      </c>
      <c r="D12" s="111">
        <v>8113.9846240246125</v>
      </c>
      <c r="E12" s="107">
        <v>10580.556861238227</v>
      </c>
      <c r="F12" s="107">
        <v>4987.5178103197568</v>
      </c>
      <c r="G12" s="108">
        <v>5593.0390509187209</v>
      </c>
      <c r="H12" s="107">
        <v>4713.1796155994098</v>
      </c>
      <c r="I12" s="107">
        <v>2192.234042494219</v>
      </c>
      <c r="J12" s="109">
        <v>2520.9455731049643</v>
      </c>
      <c r="K12" s="110">
        <v>15809.621339286134</v>
      </c>
      <c r="L12" s="110">
        <v>7421.9376196894227</v>
      </c>
      <c r="M12" s="110">
        <v>8387.6837196008291</v>
      </c>
      <c r="N12" s="121">
        <v>10937.457814074472</v>
      </c>
      <c r="O12" s="107">
        <v>5155.7556339181483</v>
      </c>
      <c r="P12" s="108">
        <v>5781.7021801571136</v>
      </c>
      <c r="Q12" s="107">
        <v>4872.163525213964</v>
      </c>
      <c r="R12" s="107">
        <v>2266.1819857707596</v>
      </c>
      <c r="S12" s="109">
        <v>2605.9815394432198</v>
      </c>
      <c r="T12" s="110">
        <v>16341.334935052641</v>
      </c>
      <c r="U12" s="110">
        <v>7671.5542964351562</v>
      </c>
      <c r="V12" s="110">
        <v>8669.7806386217089</v>
      </c>
      <c r="W12" s="121">
        <v>11305.309446827585</v>
      </c>
      <c r="X12" s="107">
        <v>5329.1554458537712</v>
      </c>
      <c r="Y12" s="108">
        <v>5976.1540009748978</v>
      </c>
      <c r="Z12" s="107">
        <v>5036.0254882274648</v>
      </c>
      <c r="AA12" s="107">
        <v>2342.3988505809298</v>
      </c>
      <c r="AB12" s="109">
        <v>2693.6266376465633</v>
      </c>
    </row>
    <row r="13" spans="1:28" s="5" customFormat="1" ht="12" customHeight="1">
      <c r="A13" s="29" t="s">
        <v>12</v>
      </c>
      <c r="B13" s="110">
        <v>12514.517558251862</v>
      </c>
      <c r="C13" s="110">
        <v>5893.3281559504521</v>
      </c>
      <c r="D13" s="111">
        <v>6621.1894023030845</v>
      </c>
      <c r="E13" s="110">
        <v>8551.4428264162525</v>
      </c>
      <c r="F13" s="110">
        <v>4055.7565543776923</v>
      </c>
      <c r="G13" s="111">
        <v>4495.6862720373329</v>
      </c>
      <c r="H13" s="110">
        <v>3963.0747318370686</v>
      </c>
      <c r="I13" s="110">
        <v>1837.5716015720989</v>
      </c>
      <c r="J13" s="112">
        <v>2125.50313026497</v>
      </c>
      <c r="K13" s="110">
        <v>12936.654436244438</v>
      </c>
      <c r="L13" s="110">
        <v>6092.1205694143964</v>
      </c>
      <c r="M13" s="110">
        <v>6844.5338668322547</v>
      </c>
      <c r="N13" s="122">
        <v>8839.8981632098821</v>
      </c>
      <c r="O13" s="110">
        <v>4192.5644178688017</v>
      </c>
      <c r="P13" s="111">
        <v>4647.3337453403765</v>
      </c>
      <c r="Q13" s="110">
        <v>4096.756273036307</v>
      </c>
      <c r="R13" s="110">
        <v>1899.5561515451839</v>
      </c>
      <c r="S13" s="112">
        <v>2197.200121491388</v>
      </c>
      <c r="T13" s="110">
        <v>13371.743607570168</v>
      </c>
      <c r="U13" s="110">
        <v>6297.0124681063953</v>
      </c>
      <c r="V13" s="110">
        <v>7074.7311394662802</v>
      </c>
      <c r="W13" s="122">
        <v>9137.2040845660376</v>
      </c>
      <c r="X13" s="110">
        <v>4333.5699140959559</v>
      </c>
      <c r="Y13" s="111">
        <v>4803.6341704696724</v>
      </c>
      <c r="Z13" s="110">
        <v>4234.5395230059876</v>
      </c>
      <c r="AA13" s="110">
        <v>1963.4425540100999</v>
      </c>
      <c r="AB13" s="112">
        <v>2271.0969689961771</v>
      </c>
    </row>
    <row r="14" spans="1:28" s="5" customFormat="1" ht="12" customHeight="1">
      <c r="A14" s="29" t="s">
        <v>13</v>
      </c>
      <c r="B14" s="110">
        <v>9435.0095346365397</v>
      </c>
      <c r="C14" s="110">
        <v>4557.4741537311047</v>
      </c>
      <c r="D14" s="111">
        <v>4877.5353809048429</v>
      </c>
      <c r="E14" s="110">
        <v>6359.2087839214919</v>
      </c>
      <c r="F14" s="110">
        <v>3073.3292354470814</v>
      </c>
      <c r="G14" s="111">
        <v>3285.8795484735783</v>
      </c>
      <c r="H14" s="110">
        <v>3075.8007507148313</v>
      </c>
      <c r="I14" s="110">
        <v>1484.1449182838539</v>
      </c>
      <c r="J14" s="112">
        <v>1591.6558324309774</v>
      </c>
      <c r="K14" s="110">
        <v>9753.2691439456812</v>
      </c>
      <c r="L14" s="110">
        <v>4711.2058418953729</v>
      </c>
      <c r="M14" s="110">
        <v>5042.0633020502546</v>
      </c>
      <c r="N14" s="122">
        <v>6573.7161774390697</v>
      </c>
      <c r="O14" s="110">
        <v>3176.9980826446849</v>
      </c>
      <c r="P14" s="111">
        <v>3396.7180947937945</v>
      </c>
      <c r="Q14" s="110">
        <v>3179.5529665068839</v>
      </c>
      <c r="R14" s="110">
        <v>1534.2077592506691</v>
      </c>
      <c r="S14" s="112">
        <v>1645.3452072563432</v>
      </c>
      <c r="T14" s="110">
        <v>10081.293812956419</v>
      </c>
      <c r="U14" s="110">
        <v>4869.654431196318</v>
      </c>
      <c r="V14" s="110">
        <v>5211.6393817603421</v>
      </c>
      <c r="W14" s="122">
        <v>6794.8052339853029</v>
      </c>
      <c r="X14" s="110">
        <v>3283.8477685425714</v>
      </c>
      <c r="Y14" s="111">
        <v>3510.957465442154</v>
      </c>
      <c r="Z14" s="110">
        <v>3286.4885789716363</v>
      </c>
      <c r="AA14" s="110">
        <v>1585.8066626537523</v>
      </c>
      <c r="AB14" s="112">
        <v>1700.6819163180958</v>
      </c>
    </row>
    <row r="15" spans="1:28" s="5" customFormat="1" ht="12" customHeight="1">
      <c r="A15" s="29" t="s">
        <v>14</v>
      </c>
      <c r="B15" s="110">
        <v>8282.2194833753529</v>
      </c>
      <c r="C15" s="110">
        <v>4056.9760510886563</v>
      </c>
      <c r="D15" s="111">
        <v>4225.2434322866038</v>
      </c>
      <c r="E15" s="110">
        <v>5216.2888171362802</v>
      </c>
      <c r="F15" s="110">
        <v>2584.6364656066153</v>
      </c>
      <c r="G15" s="111">
        <v>2631.6523515295712</v>
      </c>
      <c r="H15" s="110">
        <v>3065.9306662389799</v>
      </c>
      <c r="I15" s="110">
        <v>1472.3395854819473</v>
      </c>
      <c r="J15" s="112">
        <v>1593.5910807569389</v>
      </c>
      <c r="K15" s="110">
        <v>8561.5934392078543</v>
      </c>
      <c r="L15" s="110">
        <v>4193.8250503671325</v>
      </c>
      <c r="M15" s="110">
        <v>4367.7683888392667</v>
      </c>
      <c r="N15" s="122">
        <v>5392.2434926347041</v>
      </c>
      <c r="O15" s="110">
        <v>2671.8208387364648</v>
      </c>
      <c r="P15" s="111">
        <v>2720.4226538977791</v>
      </c>
      <c r="Q15" s="110">
        <v>3169.3499465720247</v>
      </c>
      <c r="R15" s="110">
        <v>1522.0042116306336</v>
      </c>
      <c r="S15" s="112">
        <v>1647.3457349413916</v>
      </c>
      <c r="T15" s="110">
        <v>8849.5393384374893</v>
      </c>
      <c r="U15" s="110">
        <v>4334.8729445380195</v>
      </c>
      <c r="V15" s="110">
        <v>4514.6663938997553</v>
      </c>
      <c r="W15" s="122">
        <v>5573.5969302140966</v>
      </c>
      <c r="X15" s="110">
        <v>2761.6802626228305</v>
      </c>
      <c r="Y15" s="111">
        <v>2811.9166675915508</v>
      </c>
      <c r="Z15" s="110">
        <v>3275.9424082236778</v>
      </c>
      <c r="AA15" s="110">
        <v>1573.1926819153919</v>
      </c>
      <c r="AB15" s="112">
        <v>1702.7497263084297</v>
      </c>
    </row>
    <row r="16" spans="1:28" s="5" customFormat="1" ht="12" customHeight="1">
      <c r="A16" s="29" t="s">
        <v>15</v>
      </c>
      <c r="B16" s="110">
        <v>6386.7369245867094</v>
      </c>
      <c r="C16" s="110">
        <v>3101.8112107591305</v>
      </c>
      <c r="D16" s="111">
        <v>3284.9257138274852</v>
      </c>
      <c r="E16" s="110">
        <v>3997.5875636070277</v>
      </c>
      <c r="F16" s="110">
        <v>1956.1083064260465</v>
      </c>
      <c r="G16" s="111">
        <v>2041.4792571808875</v>
      </c>
      <c r="H16" s="110">
        <v>2389.149360979588</v>
      </c>
      <c r="I16" s="110">
        <v>1145.7029043329903</v>
      </c>
      <c r="J16" s="112">
        <v>1243.446456646504</v>
      </c>
      <c r="K16" s="110">
        <v>6602.1728911246964</v>
      </c>
      <c r="L16" s="110">
        <v>3206.4408055109225</v>
      </c>
      <c r="M16" s="110">
        <v>3395.7320856128836</v>
      </c>
      <c r="N16" s="122">
        <v>4132.4332838475557</v>
      </c>
      <c r="O16" s="110">
        <v>2022.0913097378416</v>
      </c>
      <c r="P16" s="111">
        <v>2110.3419741097018</v>
      </c>
      <c r="Q16" s="110">
        <v>2469.7396072762631</v>
      </c>
      <c r="R16" s="110">
        <v>1184.3494957730813</v>
      </c>
      <c r="S16" s="112">
        <v>1285.3901115031822</v>
      </c>
      <c r="T16" s="110">
        <v>6824.2190118038179</v>
      </c>
      <c r="U16" s="110">
        <v>3314.2807172787539</v>
      </c>
      <c r="V16" s="110">
        <v>3509.9382945253487</v>
      </c>
      <c r="W16" s="122">
        <v>4271.4164329985833</v>
      </c>
      <c r="X16" s="110">
        <v>2090.0988488304642</v>
      </c>
      <c r="Y16" s="111">
        <v>2181.3175841684038</v>
      </c>
      <c r="Z16" s="110">
        <v>2552.8025788055197</v>
      </c>
      <c r="AA16" s="110">
        <v>1224.1818684484329</v>
      </c>
      <c r="AB16" s="112">
        <v>1328.6207103571062</v>
      </c>
    </row>
    <row r="17" spans="1:28" s="5" customFormat="1" ht="12" customHeight="1">
      <c r="A17" s="29" t="s">
        <v>16</v>
      </c>
      <c r="B17" s="110">
        <v>4842.6362500643672</v>
      </c>
      <c r="C17" s="110">
        <v>2249.3389633665874</v>
      </c>
      <c r="D17" s="111">
        <v>2593.2972866976861</v>
      </c>
      <c r="E17" s="110">
        <v>2922.4084881583776</v>
      </c>
      <c r="F17" s="110">
        <v>1328.817407401345</v>
      </c>
      <c r="G17" s="111">
        <v>1593.5910807569389</v>
      </c>
      <c r="H17" s="110">
        <v>1920.2277619058959</v>
      </c>
      <c r="I17" s="110">
        <v>920.5215559651582</v>
      </c>
      <c r="J17" s="112">
        <v>999.70620594065565</v>
      </c>
      <c r="K17" s="110">
        <v>5005.9869616157002</v>
      </c>
      <c r="L17" s="110">
        <v>2325.2131569281441</v>
      </c>
      <c r="M17" s="110">
        <v>2680.7738046872332</v>
      </c>
      <c r="N17" s="122">
        <v>3020.9865108164336</v>
      </c>
      <c r="O17" s="110">
        <v>1373.6407758750424</v>
      </c>
      <c r="P17" s="111">
        <v>1647.3457349413916</v>
      </c>
      <c r="Q17" s="110">
        <v>1985.0004507989438</v>
      </c>
      <c r="R17" s="110">
        <v>951.57238105310216</v>
      </c>
      <c r="S17" s="112">
        <v>1033.4280697458421</v>
      </c>
      <c r="T17" s="110">
        <v>5174.3497117784773</v>
      </c>
      <c r="U17" s="110">
        <v>2403.4153745564304</v>
      </c>
      <c r="V17" s="110">
        <v>2770.9343372223316</v>
      </c>
      <c r="W17" s="122">
        <v>3122.5891720033737</v>
      </c>
      <c r="X17" s="110">
        <v>1419.8394456950614</v>
      </c>
      <c r="Y17" s="111">
        <v>1702.7497263084297</v>
      </c>
      <c r="Z17" s="110">
        <v>2051.7605397753882</v>
      </c>
      <c r="AA17" s="110">
        <v>983.57592886136604</v>
      </c>
      <c r="AB17" s="112">
        <v>1068.1846109139587</v>
      </c>
    </row>
    <row r="18" spans="1:28" s="5" customFormat="1" ht="12" customHeight="1">
      <c r="A18" s="29" t="s">
        <v>17</v>
      </c>
      <c r="B18" s="110">
        <v>3982.7404417366206</v>
      </c>
      <c r="C18" s="110">
        <v>1859.6020142684001</v>
      </c>
      <c r="D18" s="111">
        <v>2123.1384274681268</v>
      </c>
      <c r="E18" s="110">
        <v>2373.0649789533136</v>
      </c>
      <c r="F18" s="110">
        <v>1104.8733191893707</v>
      </c>
      <c r="G18" s="111">
        <v>1268.1916597638492</v>
      </c>
      <c r="H18" s="110">
        <v>1609.6754627832133</v>
      </c>
      <c r="I18" s="110">
        <v>754.72869507896041</v>
      </c>
      <c r="J18" s="112">
        <v>854.94676770419937</v>
      </c>
      <c r="K18" s="110">
        <v>4117.0853422176615</v>
      </c>
      <c r="L18" s="110">
        <v>1922.3296891435648</v>
      </c>
      <c r="M18" s="110">
        <v>2194.7556530740899</v>
      </c>
      <c r="N18" s="122">
        <v>2453.1126705105503</v>
      </c>
      <c r="O18" s="110">
        <v>1142.1426562908873</v>
      </c>
      <c r="P18" s="111">
        <v>1310.9700142196634</v>
      </c>
      <c r="Q18" s="110">
        <v>1663.9726717071044</v>
      </c>
      <c r="R18" s="110">
        <v>780.18703285267793</v>
      </c>
      <c r="S18" s="112">
        <v>883.78563885442691</v>
      </c>
      <c r="T18" s="110">
        <v>4255.5523051137243</v>
      </c>
      <c r="U18" s="110">
        <v>1986.9820175788698</v>
      </c>
      <c r="V18" s="110">
        <v>2268.5702875351285</v>
      </c>
      <c r="W18" s="122">
        <v>2535.6164402635891</v>
      </c>
      <c r="X18" s="110">
        <v>1180.555516765063</v>
      </c>
      <c r="Y18" s="111">
        <v>1355.0609234985425</v>
      </c>
      <c r="Z18" s="110">
        <v>1719.9358648503633</v>
      </c>
      <c r="AA18" s="110">
        <v>806.42650081375814</v>
      </c>
      <c r="AB18" s="112">
        <v>913.5093640365659</v>
      </c>
    </row>
    <row r="19" spans="1:28" s="5" customFormat="1" ht="12" customHeight="1">
      <c r="A19" s="29" t="s">
        <v>18</v>
      </c>
      <c r="B19" s="110">
        <v>2521.1969450327229</v>
      </c>
      <c r="C19" s="110">
        <v>1092.771048247417</v>
      </c>
      <c r="D19" s="111">
        <v>1428.4258967853068</v>
      </c>
      <c r="E19" s="110">
        <v>1477.638449766426</v>
      </c>
      <c r="F19" s="110">
        <v>639.76318875455058</v>
      </c>
      <c r="G19" s="111">
        <v>837.87526101187655</v>
      </c>
      <c r="H19" s="110">
        <v>1043.5584952662978</v>
      </c>
      <c r="I19" s="110">
        <v>453.00785949286745</v>
      </c>
      <c r="J19" s="112">
        <v>590.5506357734314</v>
      </c>
      <c r="K19" s="110">
        <v>2606.2413905920744</v>
      </c>
      <c r="L19" s="110">
        <v>1129.6321542806488</v>
      </c>
      <c r="M19" s="110">
        <v>1476.6092363114255</v>
      </c>
      <c r="N19" s="122">
        <v>1527.4818160076672</v>
      </c>
      <c r="O19" s="110">
        <v>661.343536051142</v>
      </c>
      <c r="P19" s="111">
        <v>866.13827995652525</v>
      </c>
      <c r="Q19" s="110">
        <v>1078.7595745844071</v>
      </c>
      <c r="R19" s="110">
        <v>468.28861822950688</v>
      </c>
      <c r="S19" s="112">
        <v>610.4709563549003</v>
      </c>
      <c r="T19" s="110">
        <v>2693.8952281818583</v>
      </c>
      <c r="U19" s="110">
        <v>1167.624258060795</v>
      </c>
      <c r="V19" s="110">
        <v>1526.2709701210192</v>
      </c>
      <c r="W19" s="122">
        <v>1578.8545106110521</v>
      </c>
      <c r="X19" s="110">
        <v>683.58602637046374</v>
      </c>
      <c r="Y19" s="111">
        <v>895.26848424061393</v>
      </c>
      <c r="Z19" s="110">
        <v>1115.0407175707621</v>
      </c>
      <c r="AA19" s="110">
        <v>484.03823169032336</v>
      </c>
      <c r="AB19" s="112">
        <v>631.00248588042643</v>
      </c>
    </row>
    <row r="20" spans="1:28" s="5" customFormat="1" ht="12" customHeight="1">
      <c r="A20" s="29" t="s">
        <v>19</v>
      </c>
      <c r="B20" s="110">
        <v>1828.4356222985064</v>
      </c>
      <c r="C20" s="110">
        <v>776.04410470226526</v>
      </c>
      <c r="D20" s="111">
        <v>1052.3915175962422</v>
      </c>
      <c r="E20" s="110">
        <v>1024.6305902735596</v>
      </c>
      <c r="F20" s="110">
        <v>429.03251316873246</v>
      </c>
      <c r="G20" s="111">
        <v>595.59807710482823</v>
      </c>
      <c r="H20" s="110">
        <v>803.80503202494788</v>
      </c>
      <c r="I20" s="110">
        <v>347.01159153353382</v>
      </c>
      <c r="J20" s="112">
        <v>456.79344049141508</v>
      </c>
      <c r="K20" s="110">
        <v>1890.1119994834414</v>
      </c>
      <c r="L20" s="110">
        <v>802.22144905611901</v>
      </c>
      <c r="M20" s="110">
        <v>1087.8905504273223</v>
      </c>
      <c r="N20" s="122">
        <v>1059.1931977781603</v>
      </c>
      <c r="O20" s="110">
        <v>443.50454094159426</v>
      </c>
      <c r="P20" s="111">
        <v>615.68865683656611</v>
      </c>
      <c r="Q20" s="110">
        <v>830.918801705281</v>
      </c>
      <c r="R20" s="110">
        <v>358.71690811452476</v>
      </c>
      <c r="S20" s="112">
        <v>472.20189359075624</v>
      </c>
      <c r="T20" s="110">
        <v>1953.6807735912864</v>
      </c>
      <c r="U20" s="110">
        <v>829.20198465056706</v>
      </c>
      <c r="V20" s="110">
        <v>1124.478788940768</v>
      </c>
      <c r="W20" s="122">
        <v>1094.8162789207495</v>
      </c>
      <c r="X20" s="110">
        <v>458.42060940030626</v>
      </c>
      <c r="Y20" s="111">
        <v>636.39566952043026</v>
      </c>
      <c r="Z20" s="110">
        <v>858.8644946705881</v>
      </c>
      <c r="AA20" s="110">
        <v>370.78137525024778</v>
      </c>
      <c r="AB20" s="112">
        <v>488.08311942032606</v>
      </c>
    </row>
    <row r="21" spans="1:28" s="5" customFormat="1" ht="12" customHeight="1">
      <c r="A21" s="29" t="s">
        <v>20</v>
      </c>
      <c r="B21" s="110">
        <v>1083.9380259174725</v>
      </c>
      <c r="C21" s="110">
        <v>488.33994881264533</v>
      </c>
      <c r="D21" s="111">
        <v>595.59807710482823</v>
      </c>
      <c r="E21" s="110">
        <v>612.00226143186796</v>
      </c>
      <c r="F21" s="110">
        <v>273.82369222827964</v>
      </c>
      <c r="G21" s="111">
        <v>338.17856920358935</v>
      </c>
      <c r="H21" s="110">
        <v>471.9357644856056</v>
      </c>
      <c r="I21" s="110">
        <v>214.51625658436677</v>
      </c>
      <c r="J21" s="112">
        <v>257.41950790123991</v>
      </c>
      <c r="K21" s="110">
        <v>1120.5011784377336</v>
      </c>
      <c r="L21" s="110">
        <v>504.81252160116759</v>
      </c>
      <c r="M21" s="110">
        <v>615.68865683656611</v>
      </c>
      <c r="N21" s="122">
        <v>632.64618340198001</v>
      </c>
      <c r="O21" s="110">
        <v>283.06025113037043</v>
      </c>
      <c r="P21" s="111">
        <v>349.58593227160958</v>
      </c>
      <c r="Q21" s="110">
        <v>487.85499503575369</v>
      </c>
      <c r="R21" s="110">
        <v>221.75227047079713</v>
      </c>
      <c r="S21" s="112">
        <v>266.10272456495653</v>
      </c>
      <c r="T21" s="110">
        <v>1158.1861866907891</v>
      </c>
      <c r="U21" s="110">
        <v>521.79051717034895</v>
      </c>
      <c r="V21" s="110">
        <v>636.39566952043026</v>
      </c>
      <c r="W21" s="122">
        <v>653.9235163504427</v>
      </c>
      <c r="X21" s="110">
        <v>292.58021247019559</v>
      </c>
      <c r="Y21" s="111">
        <v>361.34330388024148</v>
      </c>
      <c r="Z21" s="110">
        <v>504.26267034033685</v>
      </c>
      <c r="AA21" s="110">
        <v>229.2103047001533</v>
      </c>
      <c r="AB21" s="112">
        <v>275.05236564018389</v>
      </c>
    </row>
    <row r="22" spans="1:28" s="5" customFormat="1" ht="12" customHeight="1">
      <c r="A22" s="29" t="s">
        <v>29</v>
      </c>
      <c r="B22" s="110">
        <v>839.13712134472576</v>
      </c>
      <c r="C22" s="110">
        <v>357.1064741963275</v>
      </c>
      <c r="D22" s="111">
        <v>482.03064714839928</v>
      </c>
      <c r="E22" s="110">
        <v>487.07808847979612</v>
      </c>
      <c r="F22" s="110">
        <v>209.46881525296993</v>
      </c>
      <c r="G22" s="111">
        <v>277.60927322682727</v>
      </c>
      <c r="H22" s="110">
        <v>352.05903286493066</v>
      </c>
      <c r="I22" s="110">
        <v>147.63765894335864</v>
      </c>
      <c r="J22" s="112">
        <v>204.42137392157309</v>
      </c>
      <c r="K22" s="110">
        <v>867.44270507694171</v>
      </c>
      <c r="L22" s="110">
        <v>369.15230907785639</v>
      </c>
      <c r="M22" s="110">
        <v>498.29039599908532</v>
      </c>
      <c r="N22" s="122">
        <v>503.50809648075114</v>
      </c>
      <c r="O22" s="110">
        <v>216.53456998913131</v>
      </c>
      <c r="P22" s="111">
        <v>286.97352649161979</v>
      </c>
      <c r="Q22" s="110">
        <v>363.93460859619057</v>
      </c>
      <c r="R22" s="110">
        <v>152.61773908872507</v>
      </c>
      <c r="S22" s="112">
        <v>211.3168695074655</v>
      </c>
      <c r="T22" s="110">
        <v>896.61678015061489</v>
      </c>
      <c r="U22" s="110">
        <v>381.56774253025498</v>
      </c>
      <c r="V22" s="110">
        <v>515.04903762034417</v>
      </c>
      <c r="W22" s="122">
        <v>520.44222126034799</v>
      </c>
      <c r="X22" s="110">
        <v>223.8171210601497</v>
      </c>
      <c r="Y22" s="111">
        <v>296.62510020019829</v>
      </c>
      <c r="Z22" s="110">
        <v>376.17455889025138</v>
      </c>
      <c r="AA22" s="110">
        <v>157.75062147010561</v>
      </c>
      <c r="AB22" s="112">
        <v>218.4239374201461</v>
      </c>
    </row>
    <row r="23" spans="1:28" s="5" customFormat="1" ht="12" customHeight="1">
      <c r="A23" s="29" t="s">
        <v>30</v>
      </c>
      <c r="B23" s="110">
        <v>204.42137392157309</v>
      </c>
      <c r="C23" s="110">
        <v>73.187899305254646</v>
      </c>
      <c r="D23" s="111">
        <v>131.23347461631892</v>
      </c>
      <c r="E23" s="110">
        <v>104.73440762648525</v>
      </c>
      <c r="F23" s="110">
        <v>32.808368654079651</v>
      </c>
      <c r="G23" s="111">
        <v>71.926038972405422</v>
      </c>
      <c r="H23" s="110">
        <v>99.686966295088354</v>
      </c>
      <c r="I23" s="110">
        <v>40.379530651174953</v>
      </c>
      <c r="J23" s="112">
        <v>59.307435643913209</v>
      </c>
      <c r="K23" s="110">
        <v>211.3168695074655</v>
      </c>
      <c r="L23" s="110">
        <v>75.656656984154296</v>
      </c>
      <c r="M23" s="110">
        <v>135.66021252331117</v>
      </c>
      <c r="N23" s="122">
        <v>108.26728499456564</v>
      </c>
      <c r="O23" s="110">
        <v>33.915053130827779</v>
      </c>
      <c r="P23" s="111">
        <v>74.352231863737842</v>
      </c>
      <c r="Q23" s="110">
        <v>103.04958451289983</v>
      </c>
      <c r="R23" s="110">
        <v>41.741603853326502</v>
      </c>
      <c r="S23" s="112">
        <v>61.30798065957331</v>
      </c>
      <c r="T23" s="110">
        <v>218.4239374201461</v>
      </c>
      <c r="U23" s="110">
        <v>78.201162780052528</v>
      </c>
      <c r="V23" s="110">
        <v>140.22277464009392</v>
      </c>
      <c r="W23" s="122">
        <v>111.90856053007502</v>
      </c>
      <c r="X23" s="110">
        <v>35.055693660023579</v>
      </c>
      <c r="Y23" s="111">
        <v>76.852866870051628</v>
      </c>
      <c r="Z23" s="110">
        <v>106.51537689007142</v>
      </c>
      <c r="AA23" s="110">
        <v>43.14546912002902</v>
      </c>
      <c r="AB23" s="112">
        <v>63.369907770042623</v>
      </c>
    </row>
    <row r="24" spans="1:28" s="5" customFormat="1" ht="12" customHeight="1">
      <c r="A24" s="29" t="s">
        <v>32</v>
      </c>
      <c r="B24" s="110">
        <v>129.97161428346971</v>
      </c>
      <c r="C24" s="110">
        <v>42.903251316873387</v>
      </c>
      <c r="D24" s="111">
        <v>87.068362966596112</v>
      </c>
      <c r="E24" s="110">
        <v>78.235340636651543</v>
      </c>
      <c r="F24" s="110">
        <v>22.713485991285911</v>
      </c>
      <c r="G24" s="111">
        <v>55.521854645365558</v>
      </c>
      <c r="H24" s="110">
        <v>51.736273646817907</v>
      </c>
      <c r="I24" s="110">
        <v>20.189765325587476</v>
      </c>
      <c r="J24" s="112">
        <v>31.54650832123043</v>
      </c>
      <c r="K24" s="110">
        <v>134.35578740289472</v>
      </c>
      <c r="L24" s="110">
        <v>44.35045409415941</v>
      </c>
      <c r="M24" s="110">
        <v>90.005333308735288</v>
      </c>
      <c r="N24" s="122">
        <v>80.874357465820111</v>
      </c>
      <c r="O24" s="110">
        <v>23.479652167496148</v>
      </c>
      <c r="P24" s="111">
        <v>57.394705298323949</v>
      </c>
      <c r="Q24" s="110">
        <v>53.481429937074587</v>
      </c>
      <c r="R24" s="110">
        <v>20.870801926663241</v>
      </c>
      <c r="S24" s="112">
        <v>32.610628010411325</v>
      </c>
      <c r="T24" s="110">
        <v>138.87447873009302</v>
      </c>
      <c r="U24" s="110">
        <v>45.842060940030834</v>
      </c>
      <c r="V24" s="110">
        <v>93.032417790062425</v>
      </c>
      <c r="W24" s="122">
        <v>83.594346420056127</v>
      </c>
      <c r="X24" s="110">
        <v>24.269326380016324</v>
      </c>
      <c r="Y24" s="111">
        <v>59.325020040039902</v>
      </c>
      <c r="Z24" s="110">
        <v>55.280132310037182</v>
      </c>
      <c r="AA24" s="110">
        <v>21.57273456001451</v>
      </c>
      <c r="AB24" s="112">
        <v>33.707397750022672</v>
      </c>
    </row>
    <row r="25" spans="1:28" s="5" customFormat="1" ht="12" customHeight="1" thickBot="1">
      <c r="A25" s="34" t="s">
        <v>31</v>
      </c>
      <c r="B25" s="113">
        <v>78.235340636651543</v>
      </c>
      <c r="C25" s="113">
        <v>16.404184327039825</v>
      </c>
      <c r="D25" s="114">
        <v>61.831156309611643</v>
      </c>
      <c r="E25" s="113">
        <v>51.736273646817907</v>
      </c>
      <c r="F25" s="113">
        <v>10.094882662793738</v>
      </c>
      <c r="G25" s="114">
        <v>41.64139098402417</v>
      </c>
      <c r="H25" s="113">
        <v>26.499066989833562</v>
      </c>
      <c r="I25" s="113">
        <v>6.3093016642460871</v>
      </c>
      <c r="J25" s="115">
        <v>20.189765325587476</v>
      </c>
      <c r="K25" s="113">
        <v>80.874357465820111</v>
      </c>
      <c r="L25" s="113">
        <v>16.957526565413879</v>
      </c>
      <c r="M25" s="113">
        <v>63.916830900406218</v>
      </c>
      <c r="N25" s="123">
        <v>53.481429937074587</v>
      </c>
      <c r="O25" s="113">
        <v>10.435400963331617</v>
      </c>
      <c r="P25" s="114">
        <v>43.046028973742956</v>
      </c>
      <c r="Q25" s="113">
        <v>27.39292752874551</v>
      </c>
      <c r="R25" s="113">
        <v>6.5221256020822604</v>
      </c>
      <c r="S25" s="115">
        <v>20.870801926663241</v>
      </c>
      <c r="T25" s="113">
        <v>83.594346420056127</v>
      </c>
      <c r="U25" s="113">
        <v>17.527846830011789</v>
      </c>
      <c r="V25" s="113">
        <v>66.06649959004443</v>
      </c>
      <c r="W25" s="123">
        <v>55.280132310037182</v>
      </c>
      <c r="X25" s="113">
        <v>10.786367280007255</v>
      </c>
      <c r="Y25" s="114">
        <v>44.493765030029927</v>
      </c>
      <c r="Z25" s="113">
        <v>28.314214110019044</v>
      </c>
      <c r="AA25" s="113">
        <v>6.7414795500045344</v>
      </c>
      <c r="AB25" s="115">
        <v>21.57273456001451</v>
      </c>
    </row>
    <row r="26" spans="1:28" s="5" customFormat="1" ht="14.25" customHeight="1">
      <c r="A26" s="44" t="s">
        <v>72</v>
      </c>
      <c r="B26" s="126">
        <v>144797.18692494117</v>
      </c>
      <c r="C26" s="110">
        <v>71725.710714147281</v>
      </c>
      <c r="D26" s="110">
        <v>73071.476210865934</v>
      </c>
      <c r="E26" s="153">
        <v>96176.481901280873</v>
      </c>
      <c r="F26" s="110">
        <v>47434.341365048764</v>
      </c>
      <c r="G26" s="155">
        <v>48742.140536287261</v>
      </c>
      <c r="H26" s="110">
        <v>48620.70502368654</v>
      </c>
      <c r="I26" s="110">
        <v>24291.369349091176</v>
      </c>
      <c r="J26" s="110">
        <v>24329.33567457517</v>
      </c>
      <c r="K26" s="160">
        <v>149681.45291010858</v>
      </c>
      <c r="L26" s="127">
        <v>74145.146177852395</v>
      </c>
      <c r="M26" s="156">
        <v>75536.306732165889</v>
      </c>
      <c r="N26" s="127">
        <v>99420.685252847936</v>
      </c>
      <c r="O26" s="127">
        <v>49034.385847761921</v>
      </c>
      <c r="P26" s="127">
        <v>50386.299405077763</v>
      </c>
      <c r="Q26" s="158">
        <v>50260.767657209908</v>
      </c>
      <c r="R26" s="127">
        <v>25110.760330126188</v>
      </c>
      <c r="S26" s="129">
        <v>25150.007327121457</v>
      </c>
      <c r="T26" s="127">
        <v>154715.58129574719</v>
      </c>
      <c r="U26" s="127">
        <v>76638.816420648189</v>
      </c>
      <c r="V26" s="156">
        <v>78076.764874860426</v>
      </c>
      <c r="W26" s="127">
        <v>102764.42947772486</v>
      </c>
      <c r="X26" s="127">
        <v>50683.523993193303</v>
      </c>
      <c r="Y26" s="127">
        <v>52080.905484453782</v>
      </c>
      <c r="Z26" s="158">
        <v>51951.151817818667</v>
      </c>
      <c r="AA26" s="127">
        <v>25955.292427440781</v>
      </c>
      <c r="AB26" s="129">
        <v>25995.859390388978</v>
      </c>
    </row>
    <row r="27" spans="1:28" s="5" customFormat="1" ht="12" customHeight="1">
      <c r="A27" s="39" t="s">
        <v>22</v>
      </c>
      <c r="B27" s="116">
        <v>6544.0705205390996</v>
      </c>
      <c r="C27" s="116">
        <v>3126.2939517332734</v>
      </c>
      <c r="D27" s="117">
        <v>3417.7765688052591</v>
      </c>
      <c r="E27" s="116">
        <v>4472.8293356973418</v>
      </c>
      <c r="F27" s="116">
        <v>2139.8253300347492</v>
      </c>
      <c r="G27" s="117">
        <v>2333.0040056628495</v>
      </c>
      <c r="H27" s="116">
        <v>2071.2411848413408</v>
      </c>
      <c r="I27" s="116">
        <v>986.46862169871997</v>
      </c>
      <c r="J27" s="118">
        <v>1084.7725631426249</v>
      </c>
      <c r="K27" s="116">
        <v>6764.8136283774666</v>
      </c>
      <c r="L27" s="116">
        <v>3231.7493927707678</v>
      </c>
      <c r="M27" s="116">
        <v>3533.0642356067906</v>
      </c>
      <c r="N27" s="124">
        <v>4623.7058039897283</v>
      </c>
      <c r="O27" s="116">
        <v>2212.0054344668947</v>
      </c>
      <c r="P27" s="117">
        <v>2411.7003695229255</v>
      </c>
      <c r="Q27" s="116">
        <v>2141.1078243878305</v>
      </c>
      <c r="R27" s="116">
        <v>1019.7439583039651</v>
      </c>
      <c r="S27" s="118">
        <v>1121.3638660839574</v>
      </c>
      <c r="T27" s="116">
        <v>6992.3297277100937</v>
      </c>
      <c r="U27" s="116">
        <v>3340.4404900066306</v>
      </c>
      <c r="V27" s="116">
        <v>3651.8892377037487</v>
      </c>
      <c r="W27" s="124">
        <v>4779.2115676035137</v>
      </c>
      <c r="X27" s="116">
        <v>2286.4002183885409</v>
      </c>
      <c r="Y27" s="117">
        <v>2492.8113492152584</v>
      </c>
      <c r="Z27" s="116">
        <v>2213.1181601068661</v>
      </c>
      <c r="AA27" s="116">
        <v>1054.0402716181907</v>
      </c>
      <c r="AB27" s="118">
        <v>1159.0778884886108</v>
      </c>
    </row>
    <row r="28" spans="1:28" ht="12.75" thickBot="1">
      <c r="A28" s="45" t="s">
        <v>21</v>
      </c>
      <c r="B28" s="128">
        <v>125155.82206509462</v>
      </c>
      <c r="C28" s="128">
        <v>58544.416427805285</v>
      </c>
      <c r="D28" s="154">
        <v>66611.405637582939</v>
      </c>
      <c r="E28" s="128">
        <v>83560.808287338165</v>
      </c>
      <c r="F28" s="128">
        <v>38966.582433197989</v>
      </c>
      <c r="G28" s="154">
        <v>44594.225854187469</v>
      </c>
      <c r="H28" s="128">
        <v>41595.01377795382</v>
      </c>
      <c r="I28" s="128">
        <v>19577.833994574641</v>
      </c>
      <c r="J28" s="128">
        <v>22017.179783364962</v>
      </c>
      <c r="K28" s="159">
        <v>129377.54996999288</v>
      </c>
      <c r="L28" s="128">
        <v>60519.223451696271</v>
      </c>
      <c r="M28" s="128">
        <v>68858.326518356393</v>
      </c>
      <c r="N28" s="157">
        <v>86379.46258778825</v>
      </c>
      <c r="O28" s="128">
        <v>40280.994385382277</v>
      </c>
      <c r="P28" s="154">
        <v>46098.46820239901</v>
      </c>
      <c r="Q28" s="128">
        <v>42998.087382233178</v>
      </c>
      <c r="R28" s="128">
        <v>20238.229066288764</v>
      </c>
      <c r="S28" s="128">
        <v>22759.858315933674</v>
      </c>
      <c r="T28" s="159">
        <v>133728.81182695783</v>
      </c>
      <c r="U28" s="128">
        <v>62554.62285963571</v>
      </c>
      <c r="V28" s="128">
        <v>71174.188967239737</v>
      </c>
      <c r="W28" s="157">
        <v>89284.600773391503</v>
      </c>
      <c r="X28" s="128">
        <v>41635.736026936727</v>
      </c>
      <c r="Y28" s="128">
        <v>47648.864746429594</v>
      </c>
      <c r="Z28" s="157">
        <v>44444.211053524603</v>
      </c>
      <c r="AA28" s="128">
        <v>20918.886832714208</v>
      </c>
      <c r="AB28" s="130">
        <v>23525.324220818398</v>
      </c>
    </row>
    <row r="29" spans="1:28">
      <c r="A29" s="260" t="s">
        <v>118</v>
      </c>
    </row>
    <row r="30" spans="1:28" ht="12" customHeight="1"/>
  </sheetData>
  <mergeCells count="4">
    <mergeCell ref="K2:S2"/>
    <mergeCell ref="T2:AB2"/>
    <mergeCell ref="A2:A4"/>
    <mergeCell ref="B2: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32"/>
  <sheetViews>
    <sheetView workbookViewId="0">
      <pane xSplit="1" topLeftCell="B1" activePane="topRight" state="frozen"/>
      <selection pane="topRight" activeCell="A29" sqref="A29"/>
    </sheetView>
  </sheetViews>
  <sheetFormatPr defaultColWidth="9.125" defaultRowHeight="12"/>
  <cols>
    <col min="1" max="1" width="15.625" style="1" customWidth="1"/>
    <col min="2" max="2" width="9.625" style="1" customWidth="1"/>
    <col min="3" max="7" width="8.75" style="1" customWidth="1"/>
    <col min="8" max="16384" width="9.125" style="1"/>
  </cols>
  <sheetData>
    <row r="1" spans="1:29" s="5" customFormat="1" ht="30" customHeight="1" thickBot="1">
      <c r="A1" s="55" t="s">
        <v>104</v>
      </c>
      <c r="B1" s="53"/>
      <c r="C1" s="53"/>
      <c r="D1" s="53"/>
      <c r="E1" s="53"/>
      <c r="F1" s="53"/>
      <c r="G1" s="53"/>
      <c r="H1" s="53"/>
      <c r="I1" s="53"/>
      <c r="J1" s="53"/>
    </row>
    <row r="2" spans="1:29" s="5" customFormat="1" ht="13.5" customHeight="1">
      <c r="A2" s="241" t="s">
        <v>58</v>
      </c>
      <c r="B2" s="233" t="s">
        <v>44</v>
      </c>
      <c r="C2" s="233"/>
      <c r="D2" s="233"/>
      <c r="E2" s="233"/>
      <c r="F2" s="233"/>
      <c r="G2" s="233"/>
      <c r="H2" s="233"/>
      <c r="I2" s="233"/>
      <c r="J2" s="234"/>
      <c r="K2" s="233" t="s">
        <v>45</v>
      </c>
      <c r="L2" s="233"/>
      <c r="M2" s="233"/>
      <c r="N2" s="233"/>
      <c r="O2" s="233"/>
      <c r="P2" s="233"/>
      <c r="Q2" s="233"/>
      <c r="R2" s="233"/>
      <c r="S2" s="234"/>
      <c r="T2" s="233" t="s">
        <v>46</v>
      </c>
      <c r="U2" s="233"/>
      <c r="V2" s="233"/>
      <c r="W2" s="233"/>
      <c r="X2" s="233"/>
      <c r="Y2" s="233"/>
      <c r="Z2" s="233"/>
      <c r="AA2" s="233"/>
      <c r="AB2" s="234"/>
    </row>
    <row r="3" spans="1:29" s="5" customFormat="1" ht="17.25" customHeight="1" thickBot="1">
      <c r="A3" s="242"/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5"/>
      <c r="K3" s="11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5"/>
    </row>
    <row r="4" spans="1:29" s="5" customFormat="1" ht="12.75" customHeight="1" thickBot="1">
      <c r="A4" s="238"/>
      <c r="B4" s="9" t="s">
        <v>0</v>
      </c>
      <c r="C4" s="10" t="s">
        <v>3</v>
      </c>
      <c r="D4" s="16" t="s">
        <v>4</v>
      </c>
      <c r="E4" s="17" t="s">
        <v>0</v>
      </c>
      <c r="F4" s="10" t="s">
        <v>3</v>
      </c>
      <c r="G4" s="16" t="s">
        <v>4</v>
      </c>
      <c r="H4" s="17" t="s">
        <v>0</v>
      </c>
      <c r="I4" s="10" t="s">
        <v>3</v>
      </c>
      <c r="J4" s="18" t="s">
        <v>4</v>
      </c>
      <c r="K4" s="9" t="s">
        <v>0</v>
      </c>
      <c r="L4" s="10" t="s">
        <v>3</v>
      </c>
      <c r="M4" s="10" t="s">
        <v>4</v>
      </c>
      <c r="N4" s="19" t="s">
        <v>0</v>
      </c>
      <c r="O4" s="20" t="s">
        <v>3</v>
      </c>
      <c r="P4" s="21" t="s">
        <v>4</v>
      </c>
      <c r="Q4" s="17" t="s">
        <v>0</v>
      </c>
      <c r="R4" s="10" t="s">
        <v>3</v>
      </c>
      <c r="S4" s="18" t="s">
        <v>4</v>
      </c>
      <c r="T4" s="9" t="s">
        <v>0</v>
      </c>
      <c r="U4" s="10" t="s">
        <v>3</v>
      </c>
      <c r="V4" s="10" t="s">
        <v>4</v>
      </c>
      <c r="W4" s="19" t="s">
        <v>0</v>
      </c>
      <c r="X4" s="20" t="s">
        <v>3</v>
      </c>
      <c r="Y4" s="21" t="s">
        <v>4</v>
      </c>
      <c r="Z4" s="17" t="s">
        <v>0</v>
      </c>
      <c r="AA4" s="10" t="s">
        <v>3</v>
      </c>
      <c r="AB4" s="18" t="s">
        <v>4</v>
      </c>
    </row>
    <row r="5" spans="1:29" s="5" customFormat="1" ht="16.5" customHeight="1" thickBot="1">
      <c r="A5" s="22" t="s">
        <v>43</v>
      </c>
      <c r="B5" s="23">
        <f>+B6+B7+B8+B9+B10+B11+B12+B13+B14+B15+B16+B17+B18+B19+B20+B21+B22+B23+B24+B25</f>
        <v>61313.856227109573</v>
      </c>
      <c r="C5" s="23">
        <f t="shared" ref="C5:I5" si="0">+C6+C7+C8+C9+C10+C11+C12+C13+C14+C15+C16+C17+C18+C19+C20+C21+C22+C23+C24+C25</f>
        <v>29490.875276484934</v>
      </c>
      <c r="D5" s="23">
        <f t="shared" si="0"/>
        <v>31822.980950625399</v>
      </c>
      <c r="E5" s="98">
        <f t="shared" si="0"/>
        <v>11649.30456732218</v>
      </c>
      <c r="F5" s="23">
        <f t="shared" si="0"/>
        <v>5581.1202408232293</v>
      </c>
      <c r="G5" s="23">
        <f t="shared" si="0"/>
        <v>6068.1843264990384</v>
      </c>
      <c r="H5" s="98">
        <f t="shared" si="0"/>
        <v>49664.551659787547</v>
      </c>
      <c r="I5" s="23">
        <f t="shared" si="0"/>
        <v>23909.755035661852</v>
      </c>
      <c r="J5" s="23">
        <f>+J6+J7+J8+J9+J10+J11+J12+J13+J14+J15+J16+J17+J18+J19+J20+J21+J22+J23+J24+J25</f>
        <v>25754.796624126539</v>
      </c>
      <c r="K5" s="96">
        <f>+K6+K7+K8+K9+K10+K11+K12+K13+K14+K15+K16+K17+K18+K19+K20+K21+K22+K23+K24+K25</f>
        <v>63382.081368429623</v>
      </c>
      <c r="L5" s="99">
        <f t="shared" ref="L5:S5" si="1">+L6+L7+L8+L9+L10+L11+L12+L13+L14+L15+L16+L17+L18+L19+L20+L21+L22+L23+L24+L25</f>
        <v>30485.654816373353</v>
      </c>
      <c r="M5" s="94">
        <f t="shared" si="1"/>
        <v>32896.426552058052</v>
      </c>
      <c r="N5" s="99">
        <f t="shared" si="1"/>
        <v>12042.25627624443</v>
      </c>
      <c r="O5" s="99">
        <f t="shared" si="1"/>
        <v>5769.3813274534541</v>
      </c>
      <c r="P5" s="94">
        <f t="shared" si="1"/>
        <v>6272.8749487907917</v>
      </c>
      <c r="Q5" s="99">
        <f t="shared" si="1"/>
        <v>51339.82509218582</v>
      </c>
      <c r="R5" s="99">
        <f t="shared" si="1"/>
        <v>24716.273488920182</v>
      </c>
      <c r="S5" s="95">
        <f t="shared" si="1"/>
        <v>26623.551603267497</v>
      </c>
      <c r="T5" s="23">
        <f>+T6+T7+T8+T9+T10+T11+T12+T13+T14+T15+T16+T17+T18+T19+T20+T21++T22+T23+T24+T25</f>
        <v>65513.765212615006</v>
      </c>
      <c r="U5" s="23">
        <f t="shared" ref="U5:AB5" si="2">+U6+U7+U8+U9+U10+U11+U12+U13+U14+U15+U16+U17+U18+U19+U20+U21++U22+U23+U24+U25</f>
        <v>31510.956864655756</v>
      </c>
      <c r="V5" s="23">
        <f t="shared" si="2"/>
        <v>34002.808347960352</v>
      </c>
      <c r="W5" s="23">
        <f t="shared" si="2"/>
        <v>12447.26479911668</v>
      </c>
      <c r="X5" s="23">
        <f t="shared" si="2"/>
        <v>5963.4187699157465</v>
      </c>
      <c r="Y5" s="23">
        <f t="shared" si="2"/>
        <v>6483.8460292006239</v>
      </c>
      <c r="Z5" s="23">
        <f t="shared" si="2"/>
        <v>53066.500413499292</v>
      </c>
      <c r="AA5" s="23">
        <f t="shared" si="2"/>
        <v>25547.538094739728</v>
      </c>
      <c r="AB5" s="99">
        <f t="shared" si="2"/>
        <v>27518.96231875943</v>
      </c>
      <c r="AC5" s="106"/>
    </row>
    <row r="6" spans="1:29" s="5" customFormat="1" ht="12" customHeight="1">
      <c r="A6" s="24" t="s">
        <v>5</v>
      </c>
      <c r="B6" s="107">
        <v>10655.161484640588</v>
      </c>
      <c r="C6" s="107">
        <v>5277.519698324717</v>
      </c>
      <c r="D6" s="108">
        <v>5377.6417863157931</v>
      </c>
      <c r="E6" s="107">
        <v>1919.2077348650075</v>
      </c>
      <c r="F6" s="107">
        <v>980.71394622576793</v>
      </c>
      <c r="G6" s="108">
        <v>938.49378863917354</v>
      </c>
      <c r="H6" s="107">
        <v>8735.9537497755027</v>
      </c>
      <c r="I6" s="107">
        <v>4296.805752098875</v>
      </c>
      <c r="J6" s="109">
        <v>4439.1479976765495</v>
      </c>
      <c r="K6" s="107">
        <v>11014.578983771566</v>
      </c>
      <c r="L6" s="107">
        <v>5455.5398000687037</v>
      </c>
      <c r="M6" s="107">
        <v>5559.0391837042662</v>
      </c>
      <c r="N6" s="121">
        <v>1983.9460164365371</v>
      </c>
      <c r="O6" s="107">
        <v>1013.7951674185023</v>
      </c>
      <c r="P6" s="108">
        <v>970.15084901795194</v>
      </c>
      <c r="Q6" s="107">
        <v>9030.6329673356631</v>
      </c>
      <c r="R6" s="107">
        <v>4441.7446326504833</v>
      </c>
      <c r="S6" s="109">
        <v>4588.8883346865841</v>
      </c>
      <c r="T6" s="107">
        <v>11385.024377222393</v>
      </c>
      <c r="U6" s="107">
        <v>5639.0220367205566</v>
      </c>
      <c r="V6" s="107">
        <v>5746.0023405029342</v>
      </c>
      <c r="W6" s="121">
        <v>2050.6706423822498</v>
      </c>
      <c r="X6" s="107">
        <v>1047.8914093379719</v>
      </c>
      <c r="Y6" s="108">
        <v>1002.7792330442081</v>
      </c>
      <c r="Z6" s="107">
        <v>9334.3537348411555</v>
      </c>
      <c r="AA6" s="107">
        <v>4591.1306273823275</v>
      </c>
      <c r="AB6" s="109">
        <v>4743.2231074584788</v>
      </c>
    </row>
    <row r="7" spans="1:29" s="5" customFormat="1" ht="12" customHeight="1">
      <c r="A7" s="24" t="s">
        <v>6</v>
      </c>
      <c r="B7" s="107">
        <v>9151.1313367560433</v>
      </c>
      <c r="C7" s="107">
        <v>4474.2446369702111</v>
      </c>
      <c r="D7" s="108">
        <v>4676.8866997871255</v>
      </c>
      <c r="E7" s="107">
        <v>1892.8610867675413</v>
      </c>
      <c r="F7" s="107">
        <v>907.28378124870596</v>
      </c>
      <c r="G7" s="108">
        <v>985.57730551890063</v>
      </c>
      <c r="H7" s="107">
        <v>7258.2702499889556</v>
      </c>
      <c r="I7" s="107">
        <v>3566.9608557215442</v>
      </c>
      <c r="J7" s="109">
        <v>3691.3093942683363</v>
      </c>
      <c r="K7" s="107">
        <v>9459.8152308533881</v>
      </c>
      <c r="L7" s="107">
        <v>4625.1688458852495</v>
      </c>
      <c r="M7" s="107">
        <v>4834.646384968064</v>
      </c>
      <c r="N7" s="121">
        <v>1956.7106491598515</v>
      </c>
      <c r="O7" s="107">
        <v>937.88807271162568</v>
      </c>
      <c r="P7" s="108">
        <v>1018.8225764481599</v>
      </c>
      <c r="Q7" s="107">
        <v>7503.104581693462</v>
      </c>
      <c r="R7" s="107">
        <v>3687.2807731735575</v>
      </c>
      <c r="S7" s="109">
        <v>3815.82380851983</v>
      </c>
      <c r="T7" s="107">
        <v>9777.9703759859294</v>
      </c>
      <c r="U7" s="107">
        <v>4780.7238149321865</v>
      </c>
      <c r="V7" s="107">
        <v>4997.2465610536683</v>
      </c>
      <c r="W7" s="121">
        <v>2022.5192876346746</v>
      </c>
      <c r="X7" s="107">
        <v>969.4313860438366</v>
      </c>
      <c r="Y7" s="108">
        <v>1053.0879015907676</v>
      </c>
      <c r="Z7" s="107">
        <v>7755.4510883511803</v>
      </c>
      <c r="AA7" s="107">
        <v>3811.2924288882796</v>
      </c>
      <c r="AB7" s="109">
        <v>3944.1586594628252</v>
      </c>
    </row>
    <row r="8" spans="1:29" s="5" customFormat="1" ht="12" customHeight="1">
      <c r="A8" s="24" t="s">
        <v>7</v>
      </c>
      <c r="B8" s="107">
        <v>9018.7231707109004</v>
      </c>
      <c r="C8" s="107">
        <v>4555.9922873111254</v>
      </c>
      <c r="D8" s="108">
        <v>4462.7308834010682</v>
      </c>
      <c r="E8" s="107">
        <v>1900.9207142659429</v>
      </c>
      <c r="F8" s="107">
        <v>944.12779266997404</v>
      </c>
      <c r="G8" s="108">
        <v>956.79292159603494</v>
      </c>
      <c r="H8" s="107">
        <v>7117.8024564454126</v>
      </c>
      <c r="I8" s="107">
        <v>3611.8644946412192</v>
      </c>
      <c r="J8" s="109">
        <v>3505.937961805063</v>
      </c>
      <c r="K8" s="107">
        <v>9322.9407024754128</v>
      </c>
      <c r="L8" s="107">
        <v>4709.6739894925213</v>
      </c>
      <c r="M8" s="107">
        <v>4613.2667129828169</v>
      </c>
      <c r="N8" s="121">
        <v>1965.0421421915544</v>
      </c>
      <c r="O8" s="107">
        <v>975.97489799940649</v>
      </c>
      <c r="P8" s="108">
        <v>989.06724419208115</v>
      </c>
      <c r="Q8" s="107">
        <v>7357.8985602837838</v>
      </c>
      <c r="R8" s="107">
        <v>3733.6990914930448</v>
      </c>
      <c r="S8" s="109">
        <v>3624.1994687906645</v>
      </c>
      <c r="T8" s="107">
        <v>9636.4924452815521</v>
      </c>
      <c r="U8" s="107">
        <v>4868.0710591061934</v>
      </c>
      <c r="V8" s="107">
        <v>4768.4213861752842</v>
      </c>
      <c r="W8" s="121">
        <v>2031.1309877645062</v>
      </c>
      <c r="X8" s="107">
        <v>1008.7991580659206</v>
      </c>
      <c r="Y8" s="108">
        <v>1022.3318296985119</v>
      </c>
      <c r="Z8" s="107">
        <v>7605.3614575169713</v>
      </c>
      <c r="AA8" s="107">
        <v>3859.2719010401988</v>
      </c>
      <c r="AB8" s="109">
        <v>3746.089556476697</v>
      </c>
    </row>
    <row r="9" spans="1:29" s="5" customFormat="1" ht="12" customHeight="1">
      <c r="A9" s="24" t="s">
        <v>8</v>
      </c>
      <c r="B9" s="107">
        <v>7188.761485357395</v>
      </c>
      <c r="C9" s="107">
        <v>3545.8003064996215</v>
      </c>
      <c r="D9" s="108">
        <v>3642.96117885695</v>
      </c>
      <c r="E9" s="107">
        <v>1512.2804015149557</v>
      </c>
      <c r="F9" s="107">
        <v>749.85332078141391</v>
      </c>
      <c r="G9" s="108">
        <v>762.42708073354129</v>
      </c>
      <c r="H9" s="107">
        <v>5676.4810838421381</v>
      </c>
      <c r="I9" s="107">
        <v>2795.9469857183562</v>
      </c>
      <c r="J9" s="109">
        <v>2880.5340981235599</v>
      </c>
      <c r="K9" s="107">
        <v>7431.2511631206698</v>
      </c>
      <c r="L9" s="107">
        <v>3665.4064410877104</v>
      </c>
      <c r="M9" s="107">
        <v>3765.8447220330513</v>
      </c>
      <c r="N9" s="121">
        <v>1563.2923022434575</v>
      </c>
      <c r="O9" s="107">
        <v>775.14720353117013</v>
      </c>
      <c r="P9" s="108">
        <v>788.14509871233315</v>
      </c>
      <c r="Q9" s="107">
        <v>5867.9588608773047</v>
      </c>
      <c r="R9" s="107">
        <v>2890.2592375566087</v>
      </c>
      <c r="S9" s="109">
        <v>2977.6996233207879</v>
      </c>
      <c r="T9" s="107">
        <v>7681.1810755578372</v>
      </c>
      <c r="U9" s="107">
        <v>3788.682413162875</v>
      </c>
      <c r="V9" s="107">
        <v>3892.4986623952477</v>
      </c>
      <c r="W9" s="121">
        <v>1615.8693851111357</v>
      </c>
      <c r="X9" s="107">
        <v>801.21717054638623</v>
      </c>
      <c r="Y9" s="108">
        <v>814.65221456469453</v>
      </c>
      <c r="Z9" s="107">
        <v>6065.3116904469071</v>
      </c>
      <c r="AA9" s="107">
        <v>2987.4652426165635</v>
      </c>
      <c r="AB9" s="109">
        <v>3077.8464478306291</v>
      </c>
    </row>
    <row r="10" spans="1:29" s="5" customFormat="1" ht="12" customHeight="1">
      <c r="A10" s="24" t="s">
        <v>9</v>
      </c>
      <c r="B10" s="107">
        <v>4842.0633646980987</v>
      </c>
      <c r="C10" s="107">
        <v>2396.2912126022297</v>
      </c>
      <c r="D10" s="108">
        <v>2445.7721520954988</v>
      </c>
      <c r="E10" s="107">
        <v>940.13785037195487</v>
      </c>
      <c r="F10" s="107">
        <v>465.35645475805802</v>
      </c>
      <c r="G10" s="108">
        <v>474.78139561391743</v>
      </c>
      <c r="H10" s="107">
        <v>3901.9255143259875</v>
      </c>
      <c r="I10" s="107">
        <v>1930.934757844127</v>
      </c>
      <c r="J10" s="109">
        <v>1970.9907564815276</v>
      </c>
      <c r="K10" s="107">
        <v>5005.3947518092928</v>
      </c>
      <c r="L10" s="107">
        <v>2477.1223662238917</v>
      </c>
      <c r="M10" s="107">
        <v>2528.2723855854392</v>
      </c>
      <c r="N10" s="121">
        <v>971.85036786957892</v>
      </c>
      <c r="O10" s="107">
        <v>481.05375351940069</v>
      </c>
      <c r="P10" s="108">
        <v>490.79661435017346</v>
      </c>
      <c r="Q10" s="107">
        <v>4033.5443839395512</v>
      </c>
      <c r="R10" s="107">
        <v>1996.0686127045662</v>
      </c>
      <c r="S10" s="109">
        <v>2037.4757712353505</v>
      </c>
      <c r="T10" s="107">
        <v>5173.7375846076156</v>
      </c>
      <c r="U10" s="107">
        <v>2560.4336367618598</v>
      </c>
      <c r="V10" s="107">
        <v>2613.3039478454366</v>
      </c>
      <c r="W10" s="121">
        <v>1004.5359105880268</v>
      </c>
      <c r="X10" s="107">
        <v>497.23268757175686</v>
      </c>
      <c r="Y10" s="108">
        <v>507.30322301624813</v>
      </c>
      <c r="Z10" s="107">
        <v>4169.2016740192939</v>
      </c>
      <c r="AA10" s="107">
        <v>2063.2009491901258</v>
      </c>
      <c r="AB10" s="109">
        <v>2106.0007248292118</v>
      </c>
    </row>
    <row r="11" spans="1:29" s="5" customFormat="1" ht="12" customHeight="1">
      <c r="A11" s="29" t="s">
        <v>10</v>
      </c>
      <c r="B11" s="107">
        <v>3764.0857543090237</v>
      </c>
      <c r="C11" s="107">
        <v>1808.4105267179607</v>
      </c>
      <c r="D11" s="108">
        <v>1955.6752275907568</v>
      </c>
      <c r="E11" s="110">
        <v>679.77385922885139</v>
      </c>
      <c r="F11" s="110">
        <v>309.84493063637785</v>
      </c>
      <c r="G11" s="111">
        <v>369.92892859248155</v>
      </c>
      <c r="H11" s="110">
        <v>3084.3118950800658</v>
      </c>
      <c r="I11" s="110">
        <v>1498.5655960815977</v>
      </c>
      <c r="J11" s="112">
        <v>1585.746298998293</v>
      </c>
      <c r="K11" s="107">
        <v>3891.055044289526</v>
      </c>
      <c r="L11" s="107">
        <v>1869.4114219045202</v>
      </c>
      <c r="M11" s="107">
        <v>2021.6436223853448</v>
      </c>
      <c r="N11" s="122">
        <v>702.70383741948115</v>
      </c>
      <c r="O11" s="110">
        <v>320.29654981164998</v>
      </c>
      <c r="P11" s="111">
        <v>382.40728760782639</v>
      </c>
      <c r="Q11" s="110">
        <v>3188.3512068701712</v>
      </c>
      <c r="R11" s="110">
        <v>1549.1148720928654</v>
      </c>
      <c r="S11" s="112">
        <v>1639.2363347775135</v>
      </c>
      <c r="T11" s="107">
        <v>4021.9200931435894</v>
      </c>
      <c r="U11" s="107">
        <v>1932.283988411745</v>
      </c>
      <c r="V11" s="107">
        <v>2089.6361047319142</v>
      </c>
      <c r="W11" s="122">
        <v>726.33736893394291</v>
      </c>
      <c r="X11" s="110">
        <v>331.0688527376509</v>
      </c>
      <c r="Y11" s="111">
        <v>395.26851619628275</v>
      </c>
      <c r="Z11" s="110">
        <v>3295.5827242096893</v>
      </c>
      <c r="AA11" s="110">
        <v>1601.2151356741094</v>
      </c>
      <c r="AB11" s="112">
        <v>1694.3675885356495</v>
      </c>
    </row>
    <row r="12" spans="1:29" s="5" customFormat="1" ht="12" customHeight="1">
      <c r="A12" s="29" t="s">
        <v>11</v>
      </c>
      <c r="B12" s="110">
        <v>3002.8910503162074</v>
      </c>
      <c r="C12" s="110">
        <v>1485.3806759177289</v>
      </c>
      <c r="D12" s="111">
        <v>1517.5103743984785</v>
      </c>
      <c r="E12" s="107">
        <v>553.61941997599217</v>
      </c>
      <c r="F12" s="107">
        <v>244.68001150724652</v>
      </c>
      <c r="G12" s="108">
        <v>308.93940846874563</v>
      </c>
      <c r="H12" s="107">
        <v>2449.2716303402153</v>
      </c>
      <c r="I12" s="107">
        <v>1240.7006644104824</v>
      </c>
      <c r="J12" s="109">
        <v>1208.5709659297329</v>
      </c>
      <c r="K12" s="110">
        <v>3104.1838925720149</v>
      </c>
      <c r="L12" s="110">
        <v>1535.4852011817688</v>
      </c>
      <c r="M12" s="110">
        <v>1568.6986913903611</v>
      </c>
      <c r="N12" s="121">
        <v>572.29398513263391</v>
      </c>
      <c r="O12" s="107">
        <v>252.93350235772544</v>
      </c>
      <c r="P12" s="108">
        <v>319.36048277490693</v>
      </c>
      <c r="Q12" s="107">
        <v>2531.8899074394503</v>
      </c>
      <c r="R12" s="107">
        <v>1282.5516988240279</v>
      </c>
      <c r="S12" s="109">
        <v>1249.3382086154356</v>
      </c>
      <c r="T12" s="110">
        <v>3208.5846713142214</v>
      </c>
      <c r="U12" s="110">
        <v>1587.1270678682849</v>
      </c>
      <c r="V12" s="110">
        <v>1621.4576034461347</v>
      </c>
      <c r="W12" s="121">
        <v>591.54153611064112</v>
      </c>
      <c r="X12" s="107">
        <v>261.44023247747009</v>
      </c>
      <c r="Y12" s="108">
        <v>330.10130363316966</v>
      </c>
      <c r="Z12" s="107">
        <v>2617.0431352036808</v>
      </c>
      <c r="AA12" s="107">
        <v>1325.6868353908135</v>
      </c>
      <c r="AB12" s="109">
        <v>1291.3562998129637</v>
      </c>
    </row>
    <row r="13" spans="1:29" s="5" customFormat="1" ht="12" customHeight="1">
      <c r="A13" s="29" t="s">
        <v>12</v>
      </c>
      <c r="B13" s="110">
        <v>2305.9237448107174</v>
      </c>
      <c r="C13" s="110">
        <v>1055.3370193292351</v>
      </c>
      <c r="D13" s="111">
        <v>1250.5867254814823</v>
      </c>
      <c r="E13" s="110">
        <v>494.30305354999297</v>
      </c>
      <c r="F13" s="110">
        <v>195.24970615224723</v>
      </c>
      <c r="G13" s="111">
        <v>299.05334739774577</v>
      </c>
      <c r="H13" s="110">
        <v>1811.6206912607242</v>
      </c>
      <c r="I13" s="110">
        <v>860.08731317698778</v>
      </c>
      <c r="J13" s="112">
        <v>951.53337808373647</v>
      </c>
      <c r="K13" s="110">
        <v>2383.7066434319113</v>
      </c>
      <c r="L13" s="110">
        <v>1090.9354091590726</v>
      </c>
      <c r="M13" s="110">
        <v>1292.7712342728255</v>
      </c>
      <c r="N13" s="122">
        <v>510.97677243985368</v>
      </c>
      <c r="O13" s="110">
        <v>201.83582511374078</v>
      </c>
      <c r="P13" s="111">
        <v>309.14094732610977</v>
      </c>
      <c r="Q13" s="110">
        <v>1872.7298709920901</v>
      </c>
      <c r="R13" s="110">
        <v>889.09958404533177</v>
      </c>
      <c r="S13" s="112">
        <v>983.63028694670129</v>
      </c>
      <c r="T13" s="110">
        <v>2463.8761303179158</v>
      </c>
      <c r="U13" s="110">
        <v>1127.6260532109109</v>
      </c>
      <c r="V13" s="110">
        <v>1336.250077107075</v>
      </c>
      <c r="W13" s="122">
        <v>528.16208581307228</v>
      </c>
      <c r="X13" s="110">
        <v>208.62402389616273</v>
      </c>
      <c r="Y13" s="111">
        <v>319.53806191690819</v>
      </c>
      <c r="Z13" s="110">
        <v>1935.7140445049135</v>
      </c>
      <c r="AA13" s="110">
        <v>919.00202931474678</v>
      </c>
      <c r="AB13" s="112">
        <v>1016.7120151901654</v>
      </c>
    </row>
    <row r="14" spans="1:29" s="5" customFormat="1" ht="12" customHeight="1">
      <c r="A14" s="29" t="s">
        <v>13</v>
      </c>
      <c r="B14" s="110">
        <v>1655.9152293924765</v>
      </c>
      <c r="C14" s="110">
        <v>747.63336849436439</v>
      </c>
      <c r="D14" s="111">
        <v>908.28186089811209</v>
      </c>
      <c r="E14" s="110">
        <v>350.95516802049502</v>
      </c>
      <c r="F14" s="110">
        <v>165.59152293924765</v>
      </c>
      <c r="G14" s="111">
        <v>185.36364508124737</v>
      </c>
      <c r="H14" s="110">
        <v>1304.9600613719815</v>
      </c>
      <c r="I14" s="110">
        <v>582.04184555511677</v>
      </c>
      <c r="J14" s="112">
        <v>722.91821581686474</v>
      </c>
      <c r="K14" s="110">
        <v>1711.7721876735277</v>
      </c>
      <c r="L14" s="110">
        <v>772.85236831526925</v>
      </c>
      <c r="M14" s="110">
        <v>938.9198193582157</v>
      </c>
      <c r="N14" s="122">
        <v>362.79350843229486</v>
      </c>
      <c r="O14" s="110">
        <v>171.17721876734998</v>
      </c>
      <c r="P14" s="111">
        <v>191.61628966494385</v>
      </c>
      <c r="Q14" s="110">
        <v>1348.9786792412124</v>
      </c>
      <c r="R14" s="110">
        <v>601.67514954792443</v>
      </c>
      <c r="S14" s="112">
        <v>747.30352969327748</v>
      </c>
      <c r="T14" s="110">
        <v>1769.3429874737953</v>
      </c>
      <c r="U14" s="110">
        <v>798.84515479227252</v>
      </c>
      <c r="V14" s="110">
        <v>970.49783268152146</v>
      </c>
      <c r="W14" s="122">
        <v>374.99508092728092</v>
      </c>
      <c r="X14" s="110">
        <v>176.93429874737831</v>
      </c>
      <c r="Y14" s="111">
        <v>198.06078217990125</v>
      </c>
      <c r="Z14" s="110">
        <v>1394.3479065465131</v>
      </c>
      <c r="AA14" s="110">
        <v>621.91085604489285</v>
      </c>
      <c r="AB14" s="112">
        <v>772.43705050161884</v>
      </c>
    </row>
    <row r="15" spans="1:29" s="5" customFormat="1" ht="12" customHeight="1">
      <c r="A15" s="29" t="s">
        <v>14</v>
      </c>
      <c r="B15" s="110">
        <v>2067.4617204541</v>
      </c>
      <c r="C15" s="110">
        <v>868.556629418738</v>
      </c>
      <c r="D15" s="111">
        <v>1198.9050910352826</v>
      </c>
      <c r="E15" s="110">
        <v>387.2624287864175</v>
      </c>
      <c r="F15" s="110">
        <v>186.82628353593958</v>
      </c>
      <c r="G15" s="111">
        <v>200.43614525047821</v>
      </c>
      <c r="H15" s="110">
        <v>1680.1992916676472</v>
      </c>
      <c r="I15" s="110">
        <v>681.7303458827987</v>
      </c>
      <c r="J15" s="112">
        <v>998.4689457847885</v>
      </c>
      <c r="K15" s="110">
        <v>2137.2008719620071</v>
      </c>
      <c r="L15" s="110">
        <v>897.85458534849158</v>
      </c>
      <c r="M15" s="110">
        <v>1239.346286613516</v>
      </c>
      <c r="N15" s="122">
        <v>400.32547751293163</v>
      </c>
      <c r="O15" s="110">
        <v>193.12826550943365</v>
      </c>
      <c r="P15" s="111">
        <v>207.19721200349832</v>
      </c>
      <c r="Q15" s="110">
        <v>1736.8753944490759</v>
      </c>
      <c r="R15" s="110">
        <v>704.72631983905831</v>
      </c>
      <c r="S15" s="112">
        <v>1032.149074610018</v>
      </c>
      <c r="T15" s="110">
        <v>2209.0798079669071</v>
      </c>
      <c r="U15" s="110">
        <v>928.05148126435461</v>
      </c>
      <c r="V15" s="110">
        <v>1281.0283267025209</v>
      </c>
      <c r="W15" s="122">
        <v>413.78933566345881</v>
      </c>
      <c r="X15" s="110">
        <v>199.62360921783409</v>
      </c>
      <c r="Y15" s="111">
        <v>214.16572644562342</v>
      </c>
      <c r="Z15" s="110">
        <v>1795.2904723034567</v>
      </c>
      <c r="AA15" s="110">
        <v>728.4278720465278</v>
      </c>
      <c r="AB15" s="112">
        <v>1066.8626002568869</v>
      </c>
    </row>
    <row r="16" spans="1:29" s="5" customFormat="1" ht="12" customHeight="1">
      <c r="A16" s="29" t="s">
        <v>15</v>
      </c>
      <c r="B16" s="110">
        <v>1821.246949436515</v>
      </c>
      <c r="C16" s="110">
        <v>783.18567866390481</v>
      </c>
      <c r="D16" s="111">
        <v>1038.0612707725386</v>
      </c>
      <c r="E16" s="110">
        <v>288.28161631704569</v>
      </c>
      <c r="F16" s="110">
        <v>139.81039761298797</v>
      </c>
      <c r="G16" s="111">
        <v>148.471218704058</v>
      </c>
      <c r="H16" s="110">
        <v>1532.9653331194431</v>
      </c>
      <c r="I16" s="110">
        <v>643.37528105091712</v>
      </c>
      <c r="J16" s="112">
        <v>889.59005206847951</v>
      </c>
      <c r="K16" s="110">
        <v>1882.6808399330189</v>
      </c>
      <c r="L16" s="110">
        <v>809.60392097663134</v>
      </c>
      <c r="M16" s="110">
        <v>1073.076918956388</v>
      </c>
      <c r="N16" s="122">
        <v>298.00586664700671</v>
      </c>
      <c r="O16" s="110">
        <v>144.52645034811931</v>
      </c>
      <c r="P16" s="111">
        <v>153.47941629888774</v>
      </c>
      <c r="Q16" s="110">
        <v>1584.6749732860126</v>
      </c>
      <c r="R16" s="110">
        <v>665.0774706285124</v>
      </c>
      <c r="S16" s="112">
        <v>919.59750265750063</v>
      </c>
      <c r="T16" s="110">
        <v>1945.9996872096435</v>
      </c>
      <c r="U16" s="110">
        <v>836.83274592640726</v>
      </c>
      <c r="V16" s="110">
        <v>1109.166941283185</v>
      </c>
      <c r="W16" s="122">
        <v>308.02848309771821</v>
      </c>
      <c r="X16" s="110">
        <v>149.3872042491073</v>
      </c>
      <c r="Y16" s="111">
        <v>158.6412788486096</v>
      </c>
      <c r="Z16" s="110">
        <v>1637.9712041119108</v>
      </c>
      <c r="AA16" s="110">
        <v>687.44554167730507</v>
      </c>
      <c r="AB16" s="112">
        <v>950.52566243457352</v>
      </c>
    </row>
    <row r="17" spans="1:28" s="5" customFormat="1" ht="12" customHeight="1">
      <c r="A17" s="29" t="s">
        <v>16</v>
      </c>
      <c r="B17" s="110">
        <v>1675.2502510441782</v>
      </c>
      <c r="C17" s="110">
        <v>700.28924822080592</v>
      </c>
      <c r="D17" s="111">
        <v>974.9610028233127</v>
      </c>
      <c r="E17" s="110">
        <v>236.31668977062549</v>
      </c>
      <c r="F17" s="110">
        <v>98.980812469372097</v>
      </c>
      <c r="G17" s="111">
        <v>137.33587730125367</v>
      </c>
      <c r="H17" s="110">
        <v>1438.9335612735313</v>
      </c>
      <c r="I17" s="110">
        <v>601.3084357514341</v>
      </c>
      <c r="J17" s="112">
        <v>837.62512552205931</v>
      </c>
      <c r="K17" s="110">
        <v>1731.7594139057796</v>
      </c>
      <c r="L17" s="110">
        <v>723.91124687641923</v>
      </c>
      <c r="M17" s="110">
        <v>1007.8481670293609</v>
      </c>
      <c r="N17" s="122">
        <v>244.2880709423961</v>
      </c>
      <c r="O17" s="110">
        <v>102.31961086592527</v>
      </c>
      <c r="P17" s="111">
        <v>141.96846007647119</v>
      </c>
      <c r="Q17" s="110">
        <v>1487.4713429633839</v>
      </c>
      <c r="R17" s="110">
        <v>621.59163601049431</v>
      </c>
      <c r="S17" s="112">
        <v>865.87970695289005</v>
      </c>
      <c r="T17" s="110">
        <v>1790.0024296751694</v>
      </c>
      <c r="U17" s="110">
        <v>748.25803190260331</v>
      </c>
      <c r="V17" s="110">
        <v>1041.7443977725225</v>
      </c>
      <c r="W17" s="122">
        <v>252.50403550070439</v>
      </c>
      <c r="X17" s="110">
        <v>105.76085256573954</v>
      </c>
      <c r="Y17" s="111">
        <v>146.74318293496378</v>
      </c>
      <c r="Z17" s="110">
        <v>1537.4983941744529</v>
      </c>
      <c r="AA17" s="110">
        <v>642.49717933686725</v>
      </c>
      <c r="AB17" s="112">
        <v>895.00121483756209</v>
      </c>
    </row>
    <row r="18" spans="1:28" s="5" customFormat="1" ht="12" customHeight="1">
      <c r="A18" s="29" t="s">
        <v>17</v>
      </c>
      <c r="B18" s="110">
        <v>1404.290276909248</v>
      </c>
      <c r="C18" s="110">
        <v>614.91829746597273</v>
      </c>
      <c r="D18" s="111">
        <v>789.37197944324055</v>
      </c>
      <c r="E18" s="110">
        <v>190.53806400354102</v>
      </c>
      <c r="F18" s="110">
        <v>76.710129663763439</v>
      </c>
      <c r="G18" s="111">
        <v>113.82793433977787</v>
      </c>
      <c r="H18" s="110">
        <v>1213.7522129056897</v>
      </c>
      <c r="I18" s="110">
        <v>538.20816780220957</v>
      </c>
      <c r="J18" s="112">
        <v>675.54404510346296</v>
      </c>
      <c r="K18" s="110">
        <v>1451.6594791603102</v>
      </c>
      <c r="L18" s="110">
        <v>635.66058250455899</v>
      </c>
      <c r="M18" s="110">
        <v>815.99889665575165</v>
      </c>
      <c r="N18" s="122">
        <v>196.96525091690583</v>
      </c>
      <c r="O18" s="110">
        <v>79.297698421092164</v>
      </c>
      <c r="P18" s="111">
        <v>117.66755249581401</v>
      </c>
      <c r="Q18" s="110">
        <v>1254.6942282434047</v>
      </c>
      <c r="R18" s="110">
        <v>556.36288408346718</v>
      </c>
      <c r="S18" s="112">
        <v>698.331344159938</v>
      </c>
      <c r="T18" s="110">
        <v>1500.4820957764421</v>
      </c>
      <c r="U18" s="110">
        <v>657.03929656465596</v>
      </c>
      <c r="V18" s="110">
        <v>843.44279921176576</v>
      </c>
      <c r="W18" s="122">
        <v>203.58964118904936</v>
      </c>
      <c r="X18" s="110">
        <v>81.96466073844816</v>
      </c>
      <c r="Y18" s="111">
        <v>121.62498045060046</v>
      </c>
      <c r="Z18" s="110">
        <v>1296.8924545873826</v>
      </c>
      <c r="AA18" s="110">
        <v>575.07463582621051</v>
      </c>
      <c r="AB18" s="112">
        <v>721.81781876116929</v>
      </c>
    </row>
    <row r="19" spans="1:28" s="5" customFormat="1" ht="12" customHeight="1">
      <c r="A19" s="29" t="s">
        <v>18</v>
      </c>
      <c r="B19" s="110">
        <v>1107.9133722416075</v>
      </c>
      <c r="C19" s="110">
        <v>463.10274215566113</v>
      </c>
      <c r="D19" s="111">
        <v>644.81063008594742</v>
      </c>
      <c r="E19" s="110">
        <v>141.32835727911259</v>
      </c>
      <c r="F19" s="110">
        <v>55.521854645365558</v>
      </c>
      <c r="G19" s="111">
        <v>85.806502633746888</v>
      </c>
      <c r="H19" s="110">
        <v>966.58501496249596</v>
      </c>
      <c r="I19" s="110">
        <v>407.5808875102959</v>
      </c>
      <c r="J19" s="112">
        <v>559.00412745220115</v>
      </c>
      <c r="K19" s="110">
        <v>1145.2852557256463</v>
      </c>
      <c r="L19" s="110">
        <v>478.72401919283851</v>
      </c>
      <c r="M19" s="110">
        <v>666.56123653280781</v>
      </c>
      <c r="N19" s="122">
        <v>146.0956134866428</v>
      </c>
      <c r="O19" s="110">
        <v>57.394705298323949</v>
      </c>
      <c r="P19" s="111">
        <v>88.700908188318834</v>
      </c>
      <c r="Q19" s="110">
        <v>999.18964223900355</v>
      </c>
      <c r="R19" s="110">
        <v>421.32931389451454</v>
      </c>
      <c r="S19" s="112">
        <v>577.86032834448895</v>
      </c>
      <c r="T19" s="110">
        <v>1183.8038089808051</v>
      </c>
      <c r="U19" s="110">
        <v>494.82459897033056</v>
      </c>
      <c r="V19" s="110">
        <v>688.97921001046757</v>
      </c>
      <c r="W19" s="122">
        <v>151.00914192010111</v>
      </c>
      <c r="X19" s="110">
        <v>59.325020040039902</v>
      </c>
      <c r="Y19" s="111">
        <v>91.684121880061525</v>
      </c>
      <c r="Z19" s="110">
        <v>1032.7946670607107</v>
      </c>
      <c r="AA19" s="110">
        <v>435.49957893029097</v>
      </c>
      <c r="AB19" s="112">
        <v>597.29508813040252</v>
      </c>
    </row>
    <row r="20" spans="1:28" s="5" customFormat="1" ht="12" customHeight="1">
      <c r="A20" s="29" t="s">
        <v>19</v>
      </c>
      <c r="B20" s="110">
        <v>717.9985293912016</v>
      </c>
      <c r="C20" s="110">
        <v>288.96601622247016</v>
      </c>
      <c r="D20" s="111">
        <v>429.03251316873246</v>
      </c>
      <c r="E20" s="110">
        <v>75.711619970953095</v>
      </c>
      <c r="F20" s="110">
        <v>32.808368654079651</v>
      </c>
      <c r="G20" s="111">
        <v>42.903251316873387</v>
      </c>
      <c r="H20" s="110">
        <v>642.286909420249</v>
      </c>
      <c r="I20" s="110">
        <v>256.1576475683907</v>
      </c>
      <c r="J20" s="112">
        <v>386.12926185185933</v>
      </c>
      <c r="K20" s="110">
        <v>742.21789351696214</v>
      </c>
      <c r="L20" s="110">
        <v>298.71335257536788</v>
      </c>
      <c r="M20" s="110">
        <v>443.50454094159426</v>
      </c>
      <c r="N20" s="122">
        <v>78.265507224987203</v>
      </c>
      <c r="O20" s="110">
        <v>33.915053130827779</v>
      </c>
      <c r="P20" s="111">
        <v>44.35045409415941</v>
      </c>
      <c r="Q20" s="110">
        <v>663.9523862919749</v>
      </c>
      <c r="R20" s="110">
        <v>264.79829944454008</v>
      </c>
      <c r="S20" s="112">
        <v>399.15408684743483</v>
      </c>
      <c r="T20" s="110">
        <v>767.18037279052305</v>
      </c>
      <c r="U20" s="110">
        <v>308.75976339020639</v>
      </c>
      <c r="V20" s="110">
        <v>458.42060940030626</v>
      </c>
      <c r="W20" s="122">
        <v>80.897754600054327</v>
      </c>
      <c r="X20" s="110">
        <v>35.055693660023579</v>
      </c>
      <c r="Y20" s="111">
        <v>45.842060940030834</v>
      </c>
      <c r="Z20" s="110">
        <v>686.28261819046566</v>
      </c>
      <c r="AA20" s="110">
        <v>273.70406973018299</v>
      </c>
      <c r="AB20" s="112">
        <v>412.57854846027567</v>
      </c>
    </row>
    <row r="21" spans="1:28" s="5" customFormat="1" ht="12" customHeight="1">
      <c r="A21" s="29" t="s">
        <v>20</v>
      </c>
      <c r="B21" s="110">
        <v>453.00785949286745</v>
      </c>
      <c r="C21" s="110">
        <v>191.80277059308099</v>
      </c>
      <c r="D21" s="111">
        <v>261.20508889978754</v>
      </c>
      <c r="E21" s="110">
        <v>42.903251316873387</v>
      </c>
      <c r="F21" s="110">
        <v>15.142323994190606</v>
      </c>
      <c r="G21" s="111">
        <v>27.760927322682779</v>
      </c>
      <c r="H21" s="110">
        <v>410.10460817599431</v>
      </c>
      <c r="I21" s="110">
        <v>176.66044659889047</v>
      </c>
      <c r="J21" s="112">
        <v>233.44416157710492</v>
      </c>
      <c r="K21" s="110">
        <v>468.28861822950688</v>
      </c>
      <c r="L21" s="110">
        <v>198.27261830330096</v>
      </c>
      <c r="M21" s="110">
        <v>270.01599992620589</v>
      </c>
      <c r="N21" s="122">
        <v>44.35045409415941</v>
      </c>
      <c r="O21" s="110">
        <v>15.653101444997425</v>
      </c>
      <c r="P21" s="111">
        <v>28.697352649161964</v>
      </c>
      <c r="Q21" s="110">
        <v>423.93816413534745</v>
      </c>
      <c r="R21" s="110">
        <v>182.61951685830351</v>
      </c>
      <c r="S21" s="112">
        <v>241.31864727704394</v>
      </c>
      <c r="T21" s="110">
        <v>484.03823169032336</v>
      </c>
      <c r="U21" s="110">
        <v>204.94097832013711</v>
      </c>
      <c r="V21" s="110">
        <v>279.09725337018659</v>
      </c>
      <c r="W21" s="122">
        <v>45.842060940030834</v>
      </c>
      <c r="X21" s="110">
        <v>16.179550920010882</v>
      </c>
      <c r="Y21" s="111">
        <v>29.662510020019951</v>
      </c>
      <c r="Z21" s="110">
        <v>438.19617075029277</v>
      </c>
      <c r="AA21" s="110">
        <v>188.76142740012631</v>
      </c>
      <c r="AB21" s="112">
        <v>249.4347433501668</v>
      </c>
    </row>
    <row r="22" spans="1:28" s="5" customFormat="1" ht="12" customHeight="1">
      <c r="A22" s="29" t="s">
        <v>29</v>
      </c>
      <c r="B22" s="110">
        <v>309.15578154805752</v>
      </c>
      <c r="C22" s="110">
        <v>148.89951927620785</v>
      </c>
      <c r="D22" s="111">
        <v>160.25626227185074</v>
      </c>
      <c r="E22" s="110">
        <v>26.499066989833562</v>
      </c>
      <c r="F22" s="110">
        <v>8.8330223299445212</v>
      </c>
      <c r="G22" s="111">
        <v>17.666044659889042</v>
      </c>
      <c r="H22" s="110">
        <v>282.65671455822411</v>
      </c>
      <c r="I22" s="110">
        <v>140.06649694626338</v>
      </c>
      <c r="J22" s="112">
        <v>142.5902176119618</v>
      </c>
      <c r="K22" s="110">
        <v>319.58415450203114</v>
      </c>
      <c r="L22" s="110">
        <v>153.92216420914153</v>
      </c>
      <c r="M22" s="110">
        <v>165.66199029288961</v>
      </c>
      <c r="N22" s="122">
        <v>27.39292752874551</v>
      </c>
      <c r="O22" s="110">
        <v>9.1309758429151646</v>
      </c>
      <c r="P22" s="111">
        <v>18.261951685830333</v>
      </c>
      <c r="Q22" s="110">
        <v>292.19122697328561</v>
      </c>
      <c r="R22" s="110">
        <v>144.79118836622635</v>
      </c>
      <c r="S22" s="112">
        <v>147.40003860705926</v>
      </c>
      <c r="T22" s="110">
        <v>330.33249795022078</v>
      </c>
      <c r="U22" s="110">
        <v>159.09891738010651</v>
      </c>
      <c r="V22" s="110">
        <v>171.23358057011461</v>
      </c>
      <c r="W22" s="122">
        <v>28.314214110019044</v>
      </c>
      <c r="X22" s="110">
        <v>9.4380713700063481</v>
      </c>
      <c r="Y22" s="111">
        <v>18.876142740012696</v>
      </c>
      <c r="Z22" s="110">
        <v>302.01828384020189</v>
      </c>
      <c r="AA22" s="110">
        <v>149.66084601010022</v>
      </c>
      <c r="AB22" s="112">
        <v>152.35743783010201</v>
      </c>
    </row>
    <row r="23" spans="1:28" s="5" customFormat="1" ht="12" customHeight="1">
      <c r="A23" s="29" t="s">
        <v>30</v>
      </c>
      <c r="B23" s="110">
        <v>103.47254729363603</v>
      </c>
      <c r="C23" s="110">
        <v>49.212552981119472</v>
      </c>
      <c r="D23" s="111">
        <v>54.259994312516341</v>
      </c>
      <c r="E23" s="110">
        <v>12.618603328492172</v>
      </c>
      <c r="F23" s="110">
        <v>3.7855809985476525</v>
      </c>
      <c r="G23" s="111">
        <v>8.8330223299445212</v>
      </c>
      <c r="H23" s="110">
        <v>90.853943965143785</v>
      </c>
      <c r="I23" s="110">
        <v>45.426971982571821</v>
      </c>
      <c r="J23" s="112">
        <v>45.426971982571821</v>
      </c>
      <c r="K23" s="110">
        <v>106.96285987414919</v>
      </c>
      <c r="L23" s="110">
        <v>50.872579696241679</v>
      </c>
      <c r="M23" s="110">
        <v>56.090280177907495</v>
      </c>
      <c r="N23" s="122">
        <v>13.044251204164521</v>
      </c>
      <c r="O23" s="110">
        <v>3.9132753612493563</v>
      </c>
      <c r="P23" s="111">
        <v>9.1309758429151646</v>
      </c>
      <c r="Q23" s="110">
        <v>93.91860866998465</v>
      </c>
      <c r="R23" s="110">
        <v>46.959304334992318</v>
      </c>
      <c r="S23" s="112">
        <v>46.959304334992318</v>
      </c>
      <c r="T23" s="110">
        <v>110.56026462007412</v>
      </c>
      <c r="U23" s="110">
        <v>52.583540490035368</v>
      </c>
      <c r="V23" s="110">
        <v>57.976724130038995</v>
      </c>
      <c r="W23" s="122">
        <v>13.482959100009069</v>
      </c>
      <c r="X23" s="110">
        <v>4.0448877300027206</v>
      </c>
      <c r="Y23" s="111">
        <v>9.4380713700063481</v>
      </c>
      <c r="Z23" s="110">
        <v>97.077305520065124</v>
      </c>
      <c r="AA23" s="110">
        <v>48.538652760032647</v>
      </c>
      <c r="AB23" s="112">
        <v>48.538652760032647</v>
      </c>
    </row>
    <row r="24" spans="1:28" s="5" customFormat="1" ht="12" customHeight="1">
      <c r="A24" s="29" t="s">
        <v>32</v>
      </c>
      <c r="B24" s="110">
        <v>55.521854645365558</v>
      </c>
      <c r="C24" s="110">
        <v>35.332089319778085</v>
      </c>
      <c r="D24" s="111">
        <v>20.189765325587476</v>
      </c>
      <c r="E24" s="110">
        <v>1.2618603328492175</v>
      </c>
      <c r="F24" s="132">
        <v>0</v>
      </c>
      <c r="G24" s="111">
        <v>1.2618603328492175</v>
      </c>
      <c r="H24" s="110">
        <v>54.259994312516341</v>
      </c>
      <c r="I24" s="110">
        <v>35.332089319778085</v>
      </c>
      <c r="J24" s="112">
        <v>18.927904992738259</v>
      </c>
      <c r="K24" s="110">
        <v>57.394705298323949</v>
      </c>
      <c r="L24" s="110">
        <v>36.523903371660687</v>
      </c>
      <c r="M24" s="110">
        <v>20.870801926663241</v>
      </c>
      <c r="N24" s="122">
        <v>1.3044251204164521</v>
      </c>
      <c r="O24" s="132">
        <v>0</v>
      </c>
      <c r="P24" s="111">
        <v>1.3044251204164521</v>
      </c>
      <c r="Q24" s="110">
        <v>56.090280177907495</v>
      </c>
      <c r="R24" s="110">
        <v>36.523903371660687</v>
      </c>
      <c r="S24" s="112">
        <v>19.566376806246787</v>
      </c>
      <c r="T24" s="110">
        <v>59.325020040039902</v>
      </c>
      <c r="U24" s="110">
        <v>37.752285480025392</v>
      </c>
      <c r="V24" s="110">
        <v>21.57273456001451</v>
      </c>
      <c r="W24" s="122">
        <v>1.3482959100009069</v>
      </c>
      <c r="X24" s="132">
        <v>0</v>
      </c>
      <c r="Y24" s="111">
        <v>1.3482959100009069</v>
      </c>
      <c r="Z24" s="110">
        <v>57.976724130038995</v>
      </c>
      <c r="AA24" s="110">
        <v>37.752285480025392</v>
      </c>
      <c r="AB24" s="112">
        <v>20.224438650013603</v>
      </c>
    </row>
    <row r="25" spans="1:28" s="5" customFormat="1" ht="12" customHeight="1" thickBot="1">
      <c r="A25" s="34" t="s">
        <v>31</v>
      </c>
      <c r="B25" s="113">
        <v>13.880463661341389</v>
      </c>
      <c r="C25" s="131">
        <v>0</v>
      </c>
      <c r="D25" s="114">
        <v>13.880463661341389</v>
      </c>
      <c r="E25" s="113">
        <v>2.523720665698435</v>
      </c>
      <c r="F25" s="131">
        <v>0</v>
      </c>
      <c r="G25" s="114">
        <v>2.523720665698435</v>
      </c>
      <c r="H25" s="113">
        <v>11.356742995642955</v>
      </c>
      <c r="I25" s="131">
        <v>0</v>
      </c>
      <c r="J25" s="115">
        <v>11.356742995642955</v>
      </c>
      <c r="K25" s="113">
        <v>14.348676324580973</v>
      </c>
      <c r="L25" s="131">
        <v>0</v>
      </c>
      <c r="M25" s="113">
        <v>14.348676324580973</v>
      </c>
      <c r="N25" s="123">
        <v>2.6088502408329042</v>
      </c>
      <c r="O25" s="131">
        <v>0</v>
      </c>
      <c r="P25" s="114">
        <v>2.6088502408329042</v>
      </c>
      <c r="Q25" s="113">
        <v>11.739826083748069</v>
      </c>
      <c r="R25" s="131">
        <v>0</v>
      </c>
      <c r="S25" s="115">
        <v>11.739826083748069</v>
      </c>
      <c r="T25" s="113">
        <v>14.831255010009976</v>
      </c>
      <c r="U25" s="132">
        <v>0</v>
      </c>
      <c r="V25" s="113">
        <v>14.831255010009976</v>
      </c>
      <c r="W25" s="123">
        <v>2.6965918200018137</v>
      </c>
      <c r="X25" s="132">
        <v>0</v>
      </c>
      <c r="Y25" s="114">
        <v>2.6965918200018137</v>
      </c>
      <c r="Z25" s="113">
        <v>12.134663190008162</v>
      </c>
      <c r="AA25" s="132">
        <v>0</v>
      </c>
      <c r="AB25" s="115">
        <v>12.134663190008162</v>
      </c>
    </row>
    <row r="26" spans="1:28" s="5" customFormat="1" ht="14.25" customHeight="1">
      <c r="A26" s="44" t="s">
        <v>72</v>
      </c>
      <c r="B26" s="119">
        <v>33501.311625223301</v>
      </c>
      <c r="C26" s="120">
        <v>16629.3299374011</v>
      </c>
      <c r="D26" s="155">
        <v>16871.981687809432</v>
      </c>
      <c r="E26" s="120">
        <v>6697.1720194239942</v>
      </c>
      <c r="F26" s="120">
        <v>3319.0729510178062</v>
      </c>
      <c r="G26" s="155">
        <v>3378.0990684064773</v>
      </c>
      <c r="H26" s="120">
        <v>26804.139605794549</v>
      </c>
      <c r="I26" s="125">
        <v>13310.25698638388</v>
      </c>
      <c r="J26" s="125">
        <v>13493.882619403295</v>
      </c>
      <c r="K26" s="160">
        <v>34631.370297663656</v>
      </c>
      <c r="L26" s="125">
        <v>17190.266736623344</v>
      </c>
      <c r="M26" s="156">
        <v>17441.103561036947</v>
      </c>
      <c r="N26" s="125">
        <v>6923.0795124224032</v>
      </c>
      <c r="O26" s="125">
        <v>3431.0311696910621</v>
      </c>
      <c r="P26" s="125">
        <v>3492.0483427315867</v>
      </c>
      <c r="Q26" s="158">
        <v>27708.290785242534</v>
      </c>
      <c r="R26" s="125">
        <v>13759.235566931808</v>
      </c>
      <c r="S26" s="125">
        <v>13949.055218304846</v>
      </c>
      <c r="T26" s="160">
        <v>35796.102205651106</v>
      </c>
      <c r="U26" s="137">
        <v>17768.414583592687</v>
      </c>
      <c r="V26" s="125">
        <v>18027.687622068213</v>
      </c>
      <c r="W26" s="153">
        <v>7155.9184541237209</v>
      </c>
      <c r="X26" s="136">
        <v>3546.4245672477409</v>
      </c>
      <c r="Y26" s="155">
        <v>3609.4938868757508</v>
      </c>
      <c r="Z26" s="120">
        <v>28640.183751532069</v>
      </c>
      <c r="AA26" s="136">
        <v>14221.99001634575</v>
      </c>
      <c r="AB26" s="133">
        <v>14418.193735193494</v>
      </c>
    </row>
    <row r="27" spans="1:28" s="5" customFormat="1" ht="12" customHeight="1">
      <c r="A27" s="39" t="s">
        <v>22</v>
      </c>
      <c r="B27" s="116">
        <v>1261.9482715589652</v>
      </c>
      <c r="C27" s="116">
        <v>626.40185943325423</v>
      </c>
      <c r="D27" s="117">
        <v>635.5464121257105</v>
      </c>
      <c r="E27" s="116">
        <v>251.47519904254713</v>
      </c>
      <c r="F27" s="116">
        <v>122.30839226160228</v>
      </c>
      <c r="G27" s="117">
        <v>129.16680678094448</v>
      </c>
      <c r="H27" s="116">
        <v>1010.4730725164177</v>
      </c>
      <c r="I27" s="116">
        <v>504.09346717165164</v>
      </c>
      <c r="J27" s="118">
        <v>506.37960534476571</v>
      </c>
      <c r="K27" s="116">
        <v>1304.5160254548732</v>
      </c>
      <c r="L27" s="116">
        <v>647.53150538884233</v>
      </c>
      <c r="M27" s="116">
        <v>656.9845200660518</v>
      </c>
      <c r="N27" s="124">
        <v>259.9579036232542</v>
      </c>
      <c r="O27" s="116">
        <v>126.43407130767361</v>
      </c>
      <c r="P27" s="117">
        <v>133.52383231558053</v>
      </c>
      <c r="Q27" s="116">
        <v>1044.5581218316379</v>
      </c>
      <c r="R27" s="116">
        <v>521.09743408116572</v>
      </c>
      <c r="S27" s="118">
        <v>523.46068775046808</v>
      </c>
      <c r="T27" s="116">
        <v>1348.3898723829727</v>
      </c>
      <c r="U27" s="116">
        <v>669.30946563935925</v>
      </c>
      <c r="V27" s="116">
        <v>679.08040674358347</v>
      </c>
      <c r="W27" s="124">
        <v>268.70088036616619</v>
      </c>
      <c r="X27" s="116">
        <v>130.68633726899907</v>
      </c>
      <c r="Y27" s="117">
        <v>138.01454309716723</v>
      </c>
      <c r="Z27" s="116">
        <v>1079.6889920167816</v>
      </c>
      <c r="AA27" s="116">
        <v>538.62312837036029</v>
      </c>
      <c r="AB27" s="118">
        <v>541.06586364641635</v>
      </c>
    </row>
    <row r="28" spans="1:28" ht="12.75" thickBot="1">
      <c r="A28" s="45" t="s">
        <v>21</v>
      </c>
      <c r="B28" s="128">
        <v>27812.544601894329</v>
      </c>
      <c r="C28" s="128">
        <v>12861.545339081513</v>
      </c>
      <c r="D28" s="128">
        <v>14950.999262813588</v>
      </c>
      <c r="E28" s="157">
        <v>4952.1325478983608</v>
      </c>
      <c r="F28" s="128">
        <v>2262.0472898054918</v>
      </c>
      <c r="G28" s="154">
        <v>2690.0852580926444</v>
      </c>
      <c r="H28" s="128">
        <v>22860.41205399649</v>
      </c>
      <c r="I28" s="128">
        <v>10599.498049276675</v>
      </c>
      <c r="J28" s="130">
        <v>12260.914004721641</v>
      </c>
      <c r="K28" s="128">
        <v>28750.711070768753</v>
      </c>
      <c r="L28" s="128">
        <v>13295.388079750135</v>
      </c>
      <c r="M28" s="128">
        <v>15455.322991021025</v>
      </c>
      <c r="N28" s="157">
        <v>5119.1767638218671</v>
      </c>
      <c r="O28" s="128">
        <v>2338.3501577625025</v>
      </c>
      <c r="P28" s="128">
        <v>2780.82660605928</v>
      </c>
      <c r="Q28" s="157">
        <v>23631.534306947917</v>
      </c>
      <c r="R28" s="128">
        <v>10957.037921988082</v>
      </c>
      <c r="S28" s="128">
        <v>12674.496384962287</v>
      </c>
      <c r="T28" s="159">
        <v>29717.6630069534</v>
      </c>
      <c r="U28" s="128">
        <v>13742.542281062157</v>
      </c>
      <c r="V28" s="128">
        <v>15975.12072589076</v>
      </c>
      <c r="W28" s="157">
        <v>5291.346344992985</v>
      </c>
      <c r="X28" s="128">
        <v>2416.9942026680537</v>
      </c>
      <c r="Y28" s="128">
        <v>2874.3521423248822</v>
      </c>
      <c r="Z28" s="157">
        <v>24426.316661960023</v>
      </c>
      <c r="AA28" s="128">
        <v>11325.548078394146</v>
      </c>
      <c r="AB28" s="130">
        <v>13100.768583566003</v>
      </c>
    </row>
    <row r="29" spans="1:28">
      <c r="A29" s="260" t="s">
        <v>119</v>
      </c>
    </row>
    <row r="32" spans="1:28" ht="12" customHeight="1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32"/>
  <sheetViews>
    <sheetView workbookViewId="0">
      <pane xSplit="1" topLeftCell="B1" activePane="topRight" state="frozen"/>
      <selection pane="topRight" activeCell="A29" sqref="A29"/>
    </sheetView>
  </sheetViews>
  <sheetFormatPr defaultColWidth="9.125" defaultRowHeight="12"/>
  <cols>
    <col min="1" max="1" width="13.25" style="1" bestFit="1" customWidth="1"/>
    <col min="2" max="6" width="9.125" style="1"/>
    <col min="7" max="7" width="8.375" style="1" customWidth="1"/>
    <col min="8" max="16384" width="9.125" style="1"/>
  </cols>
  <sheetData>
    <row r="1" spans="1:28" s="5" customFormat="1" ht="30" customHeight="1" thickBot="1">
      <c r="A1" s="55" t="s">
        <v>105</v>
      </c>
      <c r="B1" s="53"/>
      <c r="C1" s="53"/>
      <c r="D1" s="53"/>
      <c r="E1" s="53"/>
      <c r="F1" s="53"/>
      <c r="G1" s="53"/>
      <c r="H1" s="53"/>
      <c r="I1" s="53"/>
      <c r="J1" s="53"/>
    </row>
    <row r="2" spans="1:28" s="5" customFormat="1" ht="13.5" customHeight="1">
      <c r="A2" s="241" t="s">
        <v>55</v>
      </c>
      <c r="B2" s="233" t="s">
        <v>48</v>
      </c>
      <c r="C2" s="233"/>
      <c r="D2" s="233"/>
      <c r="E2" s="233"/>
      <c r="F2" s="233"/>
      <c r="G2" s="233"/>
      <c r="H2" s="233"/>
      <c r="I2" s="233"/>
      <c r="J2" s="234"/>
      <c r="K2" s="233" t="s">
        <v>49</v>
      </c>
      <c r="L2" s="233"/>
      <c r="M2" s="233"/>
      <c r="N2" s="233"/>
      <c r="O2" s="233"/>
      <c r="P2" s="233"/>
      <c r="Q2" s="233"/>
      <c r="R2" s="233"/>
      <c r="S2" s="234"/>
      <c r="T2" s="233" t="s">
        <v>50</v>
      </c>
      <c r="U2" s="233"/>
      <c r="V2" s="233"/>
      <c r="W2" s="233"/>
      <c r="X2" s="233"/>
      <c r="Y2" s="233"/>
      <c r="Z2" s="233"/>
      <c r="AA2" s="233"/>
      <c r="AB2" s="234"/>
    </row>
    <row r="3" spans="1:28" s="5" customFormat="1" ht="17.25" customHeight="1" thickBot="1">
      <c r="A3" s="242"/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5"/>
      <c r="K3" s="11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5"/>
    </row>
    <row r="4" spans="1:28" s="5" customFormat="1" ht="12.75" customHeight="1" thickBot="1">
      <c r="A4" s="238"/>
      <c r="B4" s="9" t="s">
        <v>0</v>
      </c>
      <c r="C4" s="10" t="s">
        <v>3</v>
      </c>
      <c r="D4" s="16" t="s">
        <v>4</v>
      </c>
      <c r="E4" s="17" t="s">
        <v>0</v>
      </c>
      <c r="F4" s="10" t="s">
        <v>3</v>
      </c>
      <c r="G4" s="16" t="s">
        <v>4</v>
      </c>
      <c r="H4" s="17" t="s">
        <v>0</v>
      </c>
      <c r="I4" s="10" t="s">
        <v>3</v>
      </c>
      <c r="J4" s="18" t="s">
        <v>4</v>
      </c>
      <c r="K4" s="9" t="s">
        <v>0</v>
      </c>
      <c r="L4" s="10" t="s">
        <v>3</v>
      </c>
      <c r="M4" s="10" t="s">
        <v>4</v>
      </c>
      <c r="N4" s="19" t="s">
        <v>0</v>
      </c>
      <c r="O4" s="20" t="s">
        <v>3</v>
      </c>
      <c r="P4" s="21" t="s">
        <v>4</v>
      </c>
      <c r="Q4" s="17" t="s">
        <v>0</v>
      </c>
      <c r="R4" s="10" t="s">
        <v>3</v>
      </c>
      <c r="S4" s="18" t="s">
        <v>4</v>
      </c>
      <c r="T4" s="105" t="s">
        <v>0</v>
      </c>
      <c r="U4" s="20" t="s">
        <v>3</v>
      </c>
      <c r="V4" s="20" t="s">
        <v>4</v>
      </c>
      <c r="W4" s="19" t="s">
        <v>0</v>
      </c>
      <c r="X4" s="20" t="s">
        <v>3</v>
      </c>
      <c r="Y4" s="21" t="s">
        <v>4</v>
      </c>
      <c r="Z4" s="103" t="s">
        <v>0</v>
      </c>
      <c r="AA4" s="20" t="s">
        <v>3</v>
      </c>
      <c r="AB4" s="104" t="s">
        <v>4</v>
      </c>
    </row>
    <row r="5" spans="1:28" s="5" customFormat="1" ht="16.5" customHeight="1" thickBot="1">
      <c r="A5" s="22" t="s">
        <v>47</v>
      </c>
      <c r="B5" s="99">
        <f>+B6+B7+B8+B9+B10+B11+B12+B13+B14+B15+B16+B17+B18+B19+B20+B21+B22+B23+B24+B25</f>
        <v>157258.23994745506</v>
      </c>
      <c r="C5" s="99">
        <f t="shared" ref="C5:J5" si="0">+C6+C7+C8+C9+C10+C11+C12+C13+C14+C15+C16+C17+C18+C19+C20+C21+C22+C23+C24+C25</f>
        <v>75476.631855551488</v>
      </c>
      <c r="D5" s="94">
        <f t="shared" si="0"/>
        <v>81781.608091894333</v>
      </c>
      <c r="E5" s="99">
        <f t="shared" si="0"/>
        <v>27922.033098345633</v>
      </c>
      <c r="F5" s="99">
        <f t="shared" si="0"/>
        <v>13367.684371293351</v>
      </c>
      <c r="G5" s="99">
        <f t="shared" si="0"/>
        <v>14554.348727051985</v>
      </c>
      <c r="H5" s="98">
        <f t="shared" si="0"/>
        <v>129336.20684910165</v>
      </c>
      <c r="I5" s="99">
        <f t="shared" si="0"/>
        <v>62108.947484258948</v>
      </c>
      <c r="J5" s="95">
        <f t="shared" si="0"/>
        <v>67227.259364843747</v>
      </c>
      <c r="K5" s="96">
        <f>+K6+K7+K8+K9+K10+K11+K12+K13+K14+K15++K16+K17+K18+K19+K20+K21+K22+K23+K24+K25</f>
        <v>162562.83935701338</v>
      </c>
      <c r="L5" s="99">
        <f t="shared" ref="L5:S5" si="1">+L6+L7+L8+L9+L10+L11+L12+L13+L14+L15++L16+L17+L18+L19+L20+L21+L22+L23+L24+L25</f>
        <v>78022.592543584076</v>
      </c>
      <c r="M5" s="94">
        <f t="shared" si="1"/>
        <v>84540.246813407706</v>
      </c>
      <c r="N5" s="99">
        <f t="shared" si="1"/>
        <v>28863.892808439545</v>
      </c>
      <c r="O5" s="99">
        <f t="shared" si="1"/>
        <v>13818.600079409334</v>
      </c>
      <c r="P5" s="94">
        <f t="shared" si="1"/>
        <v>15045.292729030309</v>
      </c>
      <c r="Q5" s="99">
        <f t="shared" si="1"/>
        <v>133698.94654856715</v>
      </c>
      <c r="R5" s="99">
        <f t="shared" si="1"/>
        <v>64203.992464174305</v>
      </c>
      <c r="S5" s="95">
        <f t="shared" si="1"/>
        <v>69494.954084376353</v>
      </c>
      <c r="T5" s="99">
        <f>+T6+T7+T8+T9+T10+T11+T12+T13+T14+T15+T16+T17+T18+T19+T20+T21+T22+T23+T24+T25</f>
        <v>168030.19812527555</v>
      </c>
      <c r="U5" s="99">
        <f t="shared" ref="U5:AB5" si="2">+U6+U7+U8+U9+U10+U11+U12+U13+U14+U15+U16+U17+U18+U19+U20+U21+U22+U23+U24+U25</f>
        <v>80646.670144314703</v>
      </c>
      <c r="V5" s="99">
        <f t="shared" si="2"/>
        <v>87383.527980966406</v>
      </c>
      <c r="W5" s="98">
        <f t="shared" si="2"/>
        <v>29834.651304399049</v>
      </c>
      <c r="X5" s="99">
        <f t="shared" si="2"/>
        <v>14283.35109266954</v>
      </c>
      <c r="Y5" s="99">
        <f t="shared" si="2"/>
        <v>15551.300211729804</v>
      </c>
      <c r="Z5" s="98">
        <f t="shared" si="2"/>
        <v>138195.54682088707</v>
      </c>
      <c r="AA5" s="99">
        <f t="shared" si="2"/>
        <v>66363.319051644852</v>
      </c>
      <c r="AB5" s="95">
        <f t="shared" si="2"/>
        <v>71832.227769235935</v>
      </c>
    </row>
    <row r="6" spans="1:28" s="5" customFormat="1" ht="12" customHeight="1">
      <c r="A6" s="24" t="s">
        <v>5</v>
      </c>
      <c r="B6" s="107">
        <v>28539.620238323652</v>
      </c>
      <c r="C6" s="107">
        <v>14149.784242594173</v>
      </c>
      <c r="D6" s="108">
        <v>14389.835995729403</v>
      </c>
      <c r="E6" s="107">
        <v>4452.417190060909</v>
      </c>
      <c r="F6" s="107">
        <v>2234.0494814393551</v>
      </c>
      <c r="G6" s="108">
        <v>2218.3677086214757</v>
      </c>
      <c r="H6" s="107">
        <v>24087.203048262665</v>
      </c>
      <c r="I6" s="107">
        <v>11915.734761154739</v>
      </c>
      <c r="J6" s="109">
        <v>12171.468287107849</v>
      </c>
      <c r="K6" s="107">
        <v>29502.312258258768</v>
      </c>
      <c r="L6" s="107">
        <v>14627.081566810415</v>
      </c>
      <c r="M6" s="107">
        <v>14875.230691430619</v>
      </c>
      <c r="N6" s="121">
        <v>4602.6051204696105</v>
      </c>
      <c r="O6" s="107">
        <v>2309.407933652099</v>
      </c>
      <c r="P6" s="108">
        <v>2293.1971868176074</v>
      </c>
      <c r="Q6" s="107">
        <v>24899.707137783847</v>
      </c>
      <c r="R6" s="107">
        <v>12317.673633159069</v>
      </c>
      <c r="S6" s="109">
        <v>12582.033504613759</v>
      </c>
      <c r="T6" s="107">
        <v>30494.542255271361</v>
      </c>
      <c r="U6" s="107">
        <v>15119.023655021541</v>
      </c>
      <c r="V6" s="107">
        <v>15375.518600234531</v>
      </c>
      <c r="W6" s="121">
        <v>4757.4012200079505</v>
      </c>
      <c r="X6" s="107">
        <v>2387.0785856014149</v>
      </c>
      <c r="Y6" s="108">
        <v>2370.3226344065906</v>
      </c>
      <c r="Z6" s="107">
        <v>25737.141035258897</v>
      </c>
      <c r="AA6" s="107">
        <v>12731.945069421257</v>
      </c>
      <c r="AB6" s="109">
        <v>13005.195965829065</v>
      </c>
    </row>
    <row r="7" spans="1:28" s="5" customFormat="1" ht="12" customHeight="1">
      <c r="A7" s="24" t="s">
        <v>6</v>
      </c>
      <c r="B7" s="107">
        <v>23404.006880009085</v>
      </c>
      <c r="C7" s="107">
        <v>11752.088268025416</v>
      </c>
      <c r="D7" s="108">
        <v>11651.918611973873</v>
      </c>
      <c r="E7" s="107">
        <v>4257.7860698703253</v>
      </c>
      <c r="F7" s="107">
        <v>2156.5260435009864</v>
      </c>
      <c r="G7" s="108">
        <v>2101.2600263690788</v>
      </c>
      <c r="H7" s="107">
        <v>19146.220810133327</v>
      </c>
      <c r="I7" s="107">
        <v>9595.5622245249579</v>
      </c>
      <c r="J7" s="109">
        <v>9550.6585856053007</v>
      </c>
      <c r="K7" s="107">
        <v>24193.465550774752</v>
      </c>
      <c r="L7" s="107">
        <v>12148.507053512922</v>
      </c>
      <c r="M7" s="107">
        <v>12044.958497261758</v>
      </c>
      <c r="N7" s="121">
        <v>4401.4087473195159</v>
      </c>
      <c r="O7" s="107">
        <v>2229.269492625559</v>
      </c>
      <c r="P7" s="108">
        <v>2172.1392546938823</v>
      </c>
      <c r="Q7" s="107">
        <v>19792.056803455162</v>
      </c>
      <c r="R7" s="107">
        <v>9919.2375608872881</v>
      </c>
      <c r="S7" s="109">
        <v>9872.8192425678008</v>
      </c>
      <c r="T7" s="107">
        <v>25007.146934142627</v>
      </c>
      <c r="U7" s="107">
        <v>12557.089032170175</v>
      </c>
      <c r="V7" s="107">
        <v>12450.057901985125</v>
      </c>
      <c r="W7" s="121">
        <v>4549.4381543024219</v>
      </c>
      <c r="X7" s="107">
        <v>2304.2449061677389</v>
      </c>
      <c r="Y7" s="108">
        <v>2245.1932481346075</v>
      </c>
      <c r="Z7" s="107">
        <v>20457.708779846856</v>
      </c>
      <c r="AA7" s="107">
        <v>10252.844126002361</v>
      </c>
      <c r="AB7" s="109">
        <v>10204.864653850442</v>
      </c>
    </row>
    <row r="8" spans="1:28" s="5" customFormat="1" ht="12" customHeight="1">
      <c r="A8" s="24" t="s">
        <v>7</v>
      </c>
      <c r="B8" s="107">
        <v>22146.704990256698</v>
      </c>
      <c r="C8" s="107">
        <v>11193.671219921987</v>
      </c>
      <c r="D8" s="108">
        <v>10953.033770326902</v>
      </c>
      <c r="E8" s="107">
        <v>4310.7493362883824</v>
      </c>
      <c r="F8" s="107">
        <v>2157.6774188579011</v>
      </c>
      <c r="G8" s="108">
        <v>2153.0719174302421</v>
      </c>
      <c r="H8" s="107">
        <v>17835.955653962799</v>
      </c>
      <c r="I8" s="107">
        <v>9035.9938010646147</v>
      </c>
      <c r="J8" s="109">
        <v>8799.961852897186</v>
      </c>
      <c r="K8" s="107">
        <v>22893.752637829108</v>
      </c>
      <c r="L8" s="107">
        <v>11571.253607744939</v>
      </c>
      <c r="M8" s="107">
        <v>11322.499030084096</v>
      </c>
      <c r="N8" s="121">
        <v>4456.158558670706</v>
      </c>
      <c r="O8" s="107">
        <v>2230.4597059158023</v>
      </c>
      <c r="P8" s="108">
        <v>2225.6988527548292</v>
      </c>
      <c r="Q8" s="107">
        <v>18437.594079158327</v>
      </c>
      <c r="R8" s="107">
        <v>9340.7939018290617</v>
      </c>
      <c r="S8" s="109">
        <v>9096.8001773291926</v>
      </c>
      <c r="T8" s="107">
        <v>23663.721713890875</v>
      </c>
      <c r="U8" s="107">
        <v>11960.42123746041</v>
      </c>
      <c r="V8" s="107">
        <v>11703.300476441151</v>
      </c>
      <c r="W8" s="121">
        <v>4606.0293265841728</v>
      </c>
      <c r="X8" s="107">
        <v>2305.4751490434292</v>
      </c>
      <c r="Y8" s="108">
        <v>2300.5541775406682</v>
      </c>
      <c r="Z8" s="107">
        <v>19057.692387313436</v>
      </c>
      <c r="AA8" s="107">
        <v>9654.9460884169057</v>
      </c>
      <c r="AB8" s="109">
        <v>9402.7462989004071</v>
      </c>
    </row>
    <row r="9" spans="1:28" s="5" customFormat="1" ht="12" customHeight="1">
      <c r="A9" s="24" t="s">
        <v>8</v>
      </c>
      <c r="B9" s="107">
        <v>19168.125512468763</v>
      </c>
      <c r="C9" s="107">
        <v>9014.2428165886868</v>
      </c>
      <c r="D9" s="108">
        <v>10153.88269588537</v>
      </c>
      <c r="E9" s="107">
        <v>3588.0938627022233</v>
      </c>
      <c r="F9" s="107">
        <v>1815.1937094525697</v>
      </c>
      <c r="G9" s="108">
        <v>1772.9001532499594</v>
      </c>
      <c r="H9" s="107">
        <v>15580.031649768373</v>
      </c>
      <c r="I9" s="107">
        <v>7199.0491071364104</v>
      </c>
      <c r="J9" s="109">
        <v>8380.9825426364678</v>
      </c>
      <c r="K9" s="107">
        <v>19814.700390272825</v>
      </c>
      <c r="L9" s="107">
        <v>9318.3092180592957</v>
      </c>
      <c r="M9" s="107">
        <v>10496.391172207319</v>
      </c>
      <c r="N9" s="121">
        <v>3709.1266339698</v>
      </c>
      <c r="O9" s="107">
        <v>1876.4234134259909</v>
      </c>
      <c r="P9" s="108">
        <v>1832.7032205439014</v>
      </c>
      <c r="Q9" s="107">
        <v>16105.573756300264</v>
      </c>
      <c r="R9" s="107">
        <v>7441.8858046325295</v>
      </c>
      <c r="S9" s="109">
        <v>8663.6879516620993</v>
      </c>
      <c r="T9" s="107">
        <v>20481.113922093424</v>
      </c>
      <c r="U9" s="107">
        <v>9631.705193489488</v>
      </c>
      <c r="V9" s="107">
        <v>10849.408728604225</v>
      </c>
      <c r="W9" s="121">
        <v>3833.8730157699079</v>
      </c>
      <c r="X9" s="107">
        <v>1939.5318091885931</v>
      </c>
      <c r="Y9" s="108">
        <v>1894.3412065815519</v>
      </c>
      <c r="Z9" s="107">
        <v>16647.240906326657</v>
      </c>
      <c r="AA9" s="107">
        <v>7692.1733843000884</v>
      </c>
      <c r="AB9" s="109">
        <v>8955.0675220215198</v>
      </c>
    </row>
    <row r="10" spans="1:28" s="5" customFormat="1" ht="12" customHeight="1">
      <c r="A10" s="24" t="s">
        <v>9</v>
      </c>
      <c r="B10" s="107">
        <v>13885.294115892111</v>
      </c>
      <c r="C10" s="107">
        <v>6790.6698866473125</v>
      </c>
      <c r="D10" s="108">
        <v>7094.6242292488223</v>
      </c>
      <c r="E10" s="107">
        <v>2470.5126218421333</v>
      </c>
      <c r="F10" s="107">
        <v>1153.3771372357637</v>
      </c>
      <c r="G10" s="108">
        <v>1317.135484606313</v>
      </c>
      <c r="H10" s="107">
        <v>11414.781494051515</v>
      </c>
      <c r="I10" s="107">
        <v>5637.292749411351</v>
      </c>
      <c r="J10" s="109">
        <v>5777.4887446422799</v>
      </c>
      <c r="K10" s="107">
        <v>14353.66971893291</v>
      </c>
      <c r="L10" s="107">
        <v>7019.731228571939</v>
      </c>
      <c r="M10" s="107">
        <v>7333.9384903644195</v>
      </c>
      <c r="N10" s="121">
        <v>2553.847395266213</v>
      </c>
      <c r="O10" s="107">
        <v>1192.2825941658127</v>
      </c>
      <c r="P10" s="108">
        <v>1361.5648011004896</v>
      </c>
      <c r="Q10" s="107">
        <v>11799.822323668028</v>
      </c>
      <c r="R10" s="107">
        <v>5827.4486344058987</v>
      </c>
      <c r="S10" s="109">
        <v>5972.3736892636707</v>
      </c>
      <c r="T10" s="107">
        <v>14836.416343600044</v>
      </c>
      <c r="U10" s="107">
        <v>7255.8207877568439</v>
      </c>
      <c r="V10" s="107">
        <v>7580.59555584179</v>
      </c>
      <c r="W10" s="121">
        <v>2639.739103387225</v>
      </c>
      <c r="X10" s="107">
        <v>1232.3817750196333</v>
      </c>
      <c r="Y10" s="108">
        <v>1407.3573283676612</v>
      </c>
      <c r="Z10" s="107">
        <v>12196.677240211935</v>
      </c>
      <c r="AA10" s="107">
        <v>6023.4390127368351</v>
      </c>
      <c r="AB10" s="109">
        <v>6173.2382274736901</v>
      </c>
    </row>
    <row r="11" spans="1:28" s="5" customFormat="1" ht="12" customHeight="1">
      <c r="A11" s="29" t="s">
        <v>10</v>
      </c>
      <c r="B11" s="107">
        <v>10669.033048832107</v>
      </c>
      <c r="C11" s="107">
        <v>5067.0838276317745</v>
      </c>
      <c r="D11" s="108">
        <v>5601.9492212018731</v>
      </c>
      <c r="E11" s="110">
        <v>1966.2782860535981</v>
      </c>
      <c r="F11" s="110">
        <v>871.80702916697749</v>
      </c>
      <c r="G11" s="111">
        <v>1094.4712568866453</v>
      </c>
      <c r="H11" s="110">
        <v>8702.7547627796721</v>
      </c>
      <c r="I11" s="110">
        <v>4195.2767984646534</v>
      </c>
      <c r="J11" s="112">
        <v>4507.4779643150414</v>
      </c>
      <c r="K11" s="107">
        <v>11028.918460433564</v>
      </c>
      <c r="L11" s="107">
        <v>5238.0055541440361</v>
      </c>
      <c r="M11" s="107">
        <v>5790.912906290494</v>
      </c>
      <c r="N11" s="122">
        <v>2032.6043408199641</v>
      </c>
      <c r="O11" s="110">
        <v>901.21462684647634</v>
      </c>
      <c r="P11" s="111">
        <v>1131.3897139734829</v>
      </c>
      <c r="Q11" s="110">
        <v>8996.3141196147335</v>
      </c>
      <c r="R11" s="110">
        <v>4336.7909272973866</v>
      </c>
      <c r="S11" s="112">
        <v>4659.5231923167948</v>
      </c>
      <c r="T11" s="107">
        <v>11399.846123166311</v>
      </c>
      <c r="U11" s="107">
        <v>5414.1716183449207</v>
      </c>
      <c r="V11" s="107">
        <v>5985.6745048199809</v>
      </c>
      <c r="W11" s="122">
        <v>2100.9654571069664</v>
      </c>
      <c r="X11" s="110">
        <v>931.5245286154618</v>
      </c>
      <c r="Y11" s="111">
        <v>1169.4409284915657</v>
      </c>
      <c r="Z11" s="110">
        <v>9298.8806660586561</v>
      </c>
      <c r="AA11" s="110">
        <v>4482.6470897291838</v>
      </c>
      <c r="AB11" s="112">
        <v>4816.2335763280626</v>
      </c>
    </row>
    <row r="12" spans="1:28" s="5" customFormat="1" ht="12" customHeight="1">
      <c r="A12" s="29" t="s">
        <v>11</v>
      </c>
      <c r="B12" s="110">
        <v>8049.7252270630897</v>
      </c>
      <c r="C12" s="110">
        <v>3897.5795772416946</v>
      </c>
      <c r="D12" s="111">
        <v>4152.1456498199614</v>
      </c>
      <c r="E12" s="107">
        <v>1607.7206816713522</v>
      </c>
      <c r="F12" s="107">
        <v>746.39761086048941</v>
      </c>
      <c r="G12" s="108">
        <v>861.32307081086276</v>
      </c>
      <c r="H12" s="107">
        <v>6442.0045453911462</v>
      </c>
      <c r="I12" s="107">
        <v>3151.1819663812053</v>
      </c>
      <c r="J12" s="109">
        <v>3290.8225790090783</v>
      </c>
      <c r="K12" s="110">
        <v>8321.2567391836801</v>
      </c>
      <c r="L12" s="110">
        <v>4029.0518506880344</v>
      </c>
      <c r="M12" s="110">
        <v>4292.2048884945962</v>
      </c>
      <c r="N12" s="121">
        <v>1661.9519523606393</v>
      </c>
      <c r="O12" s="107">
        <v>771.57492638416966</v>
      </c>
      <c r="P12" s="108">
        <v>890.37702597643136</v>
      </c>
      <c r="Q12" s="107">
        <v>6659.304786822765</v>
      </c>
      <c r="R12" s="107">
        <v>3257.4769243039518</v>
      </c>
      <c r="S12" s="109">
        <v>3401.8278625181924</v>
      </c>
      <c r="T12" s="110">
        <v>8601.1195674660448</v>
      </c>
      <c r="U12" s="110">
        <v>4164.5580466357433</v>
      </c>
      <c r="V12" s="110">
        <v>4436.561520829523</v>
      </c>
      <c r="W12" s="121">
        <v>1717.8471841070207</v>
      </c>
      <c r="X12" s="107">
        <v>797.52474957773984</v>
      </c>
      <c r="Y12" s="108">
        <v>920.32243452927946</v>
      </c>
      <c r="Z12" s="107">
        <v>6883.272383359008</v>
      </c>
      <c r="AA12" s="107">
        <v>3367.0332970581162</v>
      </c>
      <c r="AB12" s="109">
        <v>3516.2390863002838</v>
      </c>
    </row>
    <row r="13" spans="1:28" s="5" customFormat="1" ht="12" customHeight="1">
      <c r="A13" s="29" t="s">
        <v>12</v>
      </c>
      <c r="B13" s="110">
        <v>5753.6875433225277</v>
      </c>
      <c r="C13" s="110">
        <v>2630.9280025198377</v>
      </c>
      <c r="D13" s="111">
        <v>3122.7595408020807</v>
      </c>
      <c r="E13" s="110">
        <v>1070.1661109357349</v>
      </c>
      <c r="F13" s="110">
        <v>477.00244667574322</v>
      </c>
      <c r="G13" s="111">
        <v>593.16366425999161</v>
      </c>
      <c r="H13" s="110">
        <v>4683.5214323863993</v>
      </c>
      <c r="I13" s="110">
        <v>2153.9255558440946</v>
      </c>
      <c r="J13" s="112">
        <v>2529.5958765420892</v>
      </c>
      <c r="K13" s="110">
        <v>5947.7696312001044</v>
      </c>
      <c r="L13" s="110">
        <v>2719.6738713110731</v>
      </c>
      <c r="M13" s="110">
        <v>3228.0957598886639</v>
      </c>
      <c r="N13" s="122">
        <v>1106.264712332269</v>
      </c>
      <c r="O13" s="110">
        <v>493.09258540445865</v>
      </c>
      <c r="P13" s="111">
        <v>613.17212692782073</v>
      </c>
      <c r="Q13" s="110">
        <v>4841.5049188675657</v>
      </c>
      <c r="R13" s="110">
        <v>2226.5812859066759</v>
      </c>
      <c r="S13" s="112">
        <v>2614.9236329609162</v>
      </c>
      <c r="T13" s="110">
        <v>6147.8066788641763</v>
      </c>
      <c r="U13" s="110">
        <v>2811.1427017399519</v>
      </c>
      <c r="V13" s="110">
        <v>3336.6639771238697</v>
      </c>
      <c r="W13" s="122">
        <v>1143.4709157853031</v>
      </c>
      <c r="X13" s="110">
        <v>509.6764128096147</v>
      </c>
      <c r="Y13" s="111">
        <v>633.79450297568701</v>
      </c>
      <c r="Z13" s="110">
        <v>5004.335763078675</v>
      </c>
      <c r="AA13" s="110">
        <v>2301.4662889304236</v>
      </c>
      <c r="AB13" s="112">
        <v>2702.8694741482905</v>
      </c>
    </row>
    <row r="14" spans="1:28" s="5" customFormat="1" ht="12" customHeight="1">
      <c r="A14" s="29" t="s">
        <v>13</v>
      </c>
      <c r="B14" s="110">
        <v>4276.9571708413805</v>
      </c>
      <c r="C14" s="110">
        <v>1859.8152389818486</v>
      </c>
      <c r="D14" s="111">
        <v>2417.1419318594658</v>
      </c>
      <c r="E14" s="110">
        <v>766.16973300248912</v>
      </c>
      <c r="F14" s="110">
        <v>349.71941038662004</v>
      </c>
      <c r="G14" s="111">
        <v>416.45032261586908</v>
      </c>
      <c r="H14" s="110">
        <v>3510.7874378388251</v>
      </c>
      <c r="I14" s="110">
        <v>1510.0958285952286</v>
      </c>
      <c r="J14" s="112">
        <v>2000.6916092435965</v>
      </c>
      <c r="K14" s="110">
        <v>4421.226523535689</v>
      </c>
      <c r="L14" s="110">
        <v>1922.5501063049785</v>
      </c>
      <c r="M14" s="110">
        <v>2498.676417230864</v>
      </c>
      <c r="N14" s="122">
        <v>792.01399728176307</v>
      </c>
      <c r="O14" s="110">
        <v>361.51606650119521</v>
      </c>
      <c r="P14" s="111">
        <v>430.49793078057604</v>
      </c>
      <c r="Q14" s="110">
        <v>3629.2125262538989</v>
      </c>
      <c r="R14" s="110">
        <v>1561.0340398037629</v>
      </c>
      <c r="S14" s="112">
        <v>2068.1784864503411</v>
      </c>
      <c r="T14" s="110">
        <v>4569.9224474973471</v>
      </c>
      <c r="U14" s="110">
        <v>1987.2098478716882</v>
      </c>
      <c r="V14" s="110">
        <v>2582.7125996258369</v>
      </c>
      <c r="W14" s="122">
        <v>818.65123301026279</v>
      </c>
      <c r="X14" s="110">
        <v>373.67467571274824</v>
      </c>
      <c r="Y14" s="111">
        <v>444.97655729751318</v>
      </c>
      <c r="Z14" s="110">
        <v>3751.2712144870611</v>
      </c>
      <c r="AA14" s="110">
        <v>1613.5351721589386</v>
      </c>
      <c r="AB14" s="112">
        <v>2137.736042328399</v>
      </c>
    </row>
    <row r="15" spans="1:28" s="5" customFormat="1" ht="12" customHeight="1">
      <c r="A15" s="29" t="s">
        <v>14</v>
      </c>
      <c r="B15" s="110">
        <v>5597.3649451433967</v>
      </c>
      <c r="C15" s="110">
        <v>2295.1175891336761</v>
      </c>
      <c r="D15" s="111">
        <v>3302.2473560096269</v>
      </c>
      <c r="E15" s="110">
        <v>852.47224739246508</v>
      </c>
      <c r="F15" s="110">
        <v>320.45038036959153</v>
      </c>
      <c r="G15" s="111">
        <v>532.02186702287383</v>
      </c>
      <c r="H15" s="110">
        <v>4744.8926977508536</v>
      </c>
      <c r="I15" s="110">
        <v>1974.6672087640554</v>
      </c>
      <c r="J15" s="112">
        <v>2770.2254889867045</v>
      </c>
      <c r="K15" s="110">
        <v>5786.1739944686551</v>
      </c>
      <c r="L15" s="110">
        <v>2372.5359769536344</v>
      </c>
      <c r="M15" s="110">
        <v>3413.6380175144204</v>
      </c>
      <c r="N15" s="122">
        <v>881.22764858277878</v>
      </c>
      <c r="O15" s="110">
        <v>331.25974017843231</v>
      </c>
      <c r="P15" s="111">
        <v>549.96790840434687</v>
      </c>
      <c r="Q15" s="110">
        <v>4904.9463458855635</v>
      </c>
      <c r="R15" s="110">
        <v>2041.2762367752025</v>
      </c>
      <c r="S15" s="112">
        <v>2863.670109110074</v>
      </c>
      <c r="T15" s="110">
        <v>5980.7762125921454</v>
      </c>
      <c r="U15" s="110">
        <v>2452.3297688680791</v>
      </c>
      <c r="V15" s="110">
        <v>3528.446443724351</v>
      </c>
      <c r="W15" s="122">
        <v>910.8653427224225</v>
      </c>
      <c r="X15" s="110">
        <v>342.40076018158391</v>
      </c>
      <c r="Y15" s="111">
        <v>568.46458254085201</v>
      </c>
      <c r="Z15" s="110">
        <v>5069.9108698698219</v>
      </c>
      <c r="AA15" s="110">
        <v>2109.9290086865381</v>
      </c>
      <c r="AB15" s="112">
        <v>2959.9818611835685</v>
      </c>
    </row>
    <row r="16" spans="1:28" s="5" customFormat="1" ht="12" customHeight="1">
      <c r="A16" s="29" t="s">
        <v>15</v>
      </c>
      <c r="B16" s="110">
        <v>4121.3135791937539</v>
      </c>
      <c r="C16" s="110">
        <v>1891.7707783209489</v>
      </c>
      <c r="D16" s="111">
        <v>2229.5428008727113</v>
      </c>
      <c r="E16" s="110">
        <v>699.05198806493877</v>
      </c>
      <c r="F16" s="110">
        <v>308.07777881092005</v>
      </c>
      <c r="G16" s="111">
        <v>390.97420925401894</v>
      </c>
      <c r="H16" s="110">
        <v>3422.2615911287512</v>
      </c>
      <c r="I16" s="110">
        <v>1583.6929995100008</v>
      </c>
      <c r="J16" s="112">
        <v>1838.5685916186567</v>
      </c>
      <c r="K16" s="110">
        <v>4260.3327974300073</v>
      </c>
      <c r="L16" s="110">
        <v>1955.5835626749904</v>
      </c>
      <c r="M16" s="110">
        <v>2304.7492347549592</v>
      </c>
      <c r="N16" s="122">
        <v>722.63225174059517</v>
      </c>
      <c r="O16" s="110">
        <v>318.4697888201917</v>
      </c>
      <c r="P16" s="111">
        <v>404.16246292040381</v>
      </c>
      <c r="Q16" s="110">
        <v>3537.7005456893544</v>
      </c>
      <c r="R16" s="110">
        <v>1637.1137738547991</v>
      </c>
      <c r="S16" s="112">
        <v>1900.5867718345557</v>
      </c>
      <c r="T16" s="110">
        <v>4403.617498705742</v>
      </c>
      <c r="U16" s="110">
        <v>2021.3542946627369</v>
      </c>
      <c r="V16" s="110">
        <v>2382.263204043285</v>
      </c>
      <c r="W16" s="122">
        <v>746.93602124553161</v>
      </c>
      <c r="X16" s="110">
        <v>329.18065361086633</v>
      </c>
      <c r="Y16" s="111">
        <v>417.75536763467409</v>
      </c>
      <c r="Z16" s="110">
        <v>3656.6814774602949</v>
      </c>
      <c r="AA16" s="110">
        <v>1692.1736410518552</v>
      </c>
      <c r="AB16" s="112">
        <v>1964.5078364086489</v>
      </c>
    </row>
    <row r="17" spans="1:28" s="5" customFormat="1" ht="12" customHeight="1">
      <c r="A17" s="29" t="s">
        <v>16</v>
      </c>
      <c r="B17" s="110">
        <v>3505.1580215718577</v>
      </c>
      <c r="C17" s="110">
        <v>1545.3379346781157</v>
      </c>
      <c r="D17" s="111">
        <v>1959.8200868936483</v>
      </c>
      <c r="E17" s="110">
        <v>582.74953341342689</v>
      </c>
      <c r="F17" s="110">
        <v>241.26573039409408</v>
      </c>
      <c r="G17" s="111">
        <v>341.48380301933304</v>
      </c>
      <c r="H17" s="110">
        <v>2922.4084881583776</v>
      </c>
      <c r="I17" s="110">
        <v>1304.0722042839998</v>
      </c>
      <c r="J17" s="112">
        <v>1618.3362838742842</v>
      </c>
      <c r="K17" s="110">
        <v>3623.3932197895665</v>
      </c>
      <c r="L17" s="110">
        <v>1597.4649246442532</v>
      </c>
      <c r="M17" s="110">
        <v>2025.9282951453138</v>
      </c>
      <c r="N17" s="122">
        <v>602.40670897313339</v>
      </c>
      <c r="O17" s="110">
        <v>249.40405148569235</v>
      </c>
      <c r="P17" s="111">
        <v>353.00265748744135</v>
      </c>
      <c r="Q17" s="110">
        <v>3020.9865108164336</v>
      </c>
      <c r="R17" s="110">
        <v>1348.0608731585612</v>
      </c>
      <c r="S17" s="112">
        <v>1672.9256376578728</v>
      </c>
      <c r="T17" s="110">
        <v>3745.2561914840912</v>
      </c>
      <c r="U17" s="110">
        <v>1651.1913106826289</v>
      </c>
      <c r="V17" s="110">
        <v>2094.064880801679</v>
      </c>
      <c r="W17" s="122">
        <v>622.66701948079174</v>
      </c>
      <c r="X17" s="110">
        <v>257.79207812899142</v>
      </c>
      <c r="Y17" s="111">
        <v>364.87494135180378</v>
      </c>
      <c r="Z17" s="110">
        <v>3122.5891720033737</v>
      </c>
      <c r="AA17" s="110">
        <v>1393.3992325536251</v>
      </c>
      <c r="AB17" s="112">
        <v>1729.189939449866</v>
      </c>
    </row>
    <row r="18" spans="1:28" s="5" customFormat="1" ht="12" customHeight="1">
      <c r="A18" s="29" t="s">
        <v>17</v>
      </c>
      <c r="B18" s="110">
        <v>2996.6440975104133</v>
      </c>
      <c r="C18" s="110">
        <v>1310.2585050633361</v>
      </c>
      <c r="D18" s="111">
        <v>1686.3855924469835</v>
      </c>
      <c r="E18" s="110">
        <v>473.87063969711784</v>
      </c>
      <c r="F18" s="110">
        <v>197.96162493874391</v>
      </c>
      <c r="G18" s="111">
        <v>275.90901475837421</v>
      </c>
      <c r="H18" s="110">
        <v>2522.7734578132522</v>
      </c>
      <c r="I18" s="110">
        <v>1112.2968801245743</v>
      </c>
      <c r="J18" s="112">
        <v>1410.4765776885843</v>
      </c>
      <c r="K18" s="110">
        <v>3097.7262189658773</v>
      </c>
      <c r="L18" s="110">
        <v>1354.4558488376815</v>
      </c>
      <c r="M18" s="110">
        <v>1743.2703701281962</v>
      </c>
      <c r="N18" s="122">
        <v>489.85513702061593</v>
      </c>
      <c r="O18" s="110">
        <v>204.6392217318502</v>
      </c>
      <c r="P18" s="111">
        <v>285.2159152887661</v>
      </c>
      <c r="Q18" s="110">
        <v>2607.8710819452617</v>
      </c>
      <c r="R18" s="110">
        <v>1149.8166271058317</v>
      </c>
      <c r="S18" s="112">
        <v>1458.0544548394305</v>
      </c>
      <c r="T18" s="110">
        <v>3201.909811427669</v>
      </c>
      <c r="U18" s="110">
        <v>1400.0092858389842</v>
      </c>
      <c r="V18" s="110">
        <v>1801.9005255888158</v>
      </c>
      <c r="W18" s="122">
        <v>506.33008165848184</v>
      </c>
      <c r="X18" s="110">
        <v>211.52170513147991</v>
      </c>
      <c r="Y18" s="111">
        <v>294.80837652700063</v>
      </c>
      <c r="Z18" s="110">
        <v>2695.5797297692511</v>
      </c>
      <c r="AA18" s="110">
        <v>1188.4875807074939</v>
      </c>
      <c r="AB18" s="112">
        <v>1507.0921490618011</v>
      </c>
    </row>
    <row r="19" spans="1:28" s="5" customFormat="1" ht="12" customHeight="1">
      <c r="A19" s="29" t="s">
        <v>18</v>
      </c>
      <c r="B19" s="110">
        <v>1969.7639795776179</v>
      </c>
      <c r="C19" s="110">
        <v>815.16177502059077</v>
      </c>
      <c r="D19" s="111">
        <v>1154.6022045570282</v>
      </c>
      <c r="E19" s="110">
        <v>325.55996587509725</v>
      </c>
      <c r="F19" s="110">
        <v>142.5902176119618</v>
      </c>
      <c r="G19" s="111">
        <v>182.96974826313652</v>
      </c>
      <c r="H19" s="110">
        <v>1644.2040137025217</v>
      </c>
      <c r="I19" s="110">
        <v>672.57155740863004</v>
      </c>
      <c r="J19" s="112">
        <v>971.6324562938928</v>
      </c>
      <c r="K19" s="110">
        <v>2036.2076129700843</v>
      </c>
      <c r="L19" s="110">
        <v>842.65862778902908</v>
      </c>
      <c r="M19" s="110">
        <v>1193.5489851810551</v>
      </c>
      <c r="N19" s="122">
        <v>336.54168106744504</v>
      </c>
      <c r="O19" s="110">
        <v>147.40003860705926</v>
      </c>
      <c r="P19" s="111">
        <v>189.14164246038578</v>
      </c>
      <c r="Q19" s="110">
        <v>1699.6659319026392</v>
      </c>
      <c r="R19" s="110">
        <v>695.2585891819698</v>
      </c>
      <c r="S19" s="112">
        <v>1004.4073427206694</v>
      </c>
      <c r="T19" s="110">
        <v>2104.6899155113906</v>
      </c>
      <c r="U19" s="110">
        <v>870.99915786059671</v>
      </c>
      <c r="V19" s="110">
        <v>1233.6907576508363</v>
      </c>
      <c r="W19" s="122">
        <v>347.86034478023248</v>
      </c>
      <c r="X19" s="110">
        <v>152.35743783010201</v>
      </c>
      <c r="Y19" s="111">
        <v>195.50290695013081</v>
      </c>
      <c r="Z19" s="110">
        <v>1756.8295707311634</v>
      </c>
      <c r="AA19" s="110">
        <v>718.64172003048861</v>
      </c>
      <c r="AB19" s="112">
        <v>1038.1878507007141</v>
      </c>
    </row>
    <row r="20" spans="1:28" s="5" customFormat="1" ht="12" customHeight="1">
      <c r="A20" s="29" t="s">
        <v>19</v>
      </c>
      <c r="B20" s="110">
        <v>1428.4258967853068</v>
      </c>
      <c r="C20" s="110">
        <v>579.19389277778851</v>
      </c>
      <c r="D20" s="111">
        <v>849.23200400751944</v>
      </c>
      <c r="E20" s="110">
        <v>235.96788224280334</v>
      </c>
      <c r="F20" s="110">
        <v>113.56742995642982</v>
      </c>
      <c r="G20" s="111">
        <v>122.40045228637439</v>
      </c>
      <c r="H20" s="110">
        <v>1192.4580145425045</v>
      </c>
      <c r="I20" s="110">
        <v>465.62646282135955</v>
      </c>
      <c r="J20" s="112">
        <v>726.83155172114607</v>
      </c>
      <c r="K20" s="110">
        <v>1476.6092363114255</v>
      </c>
      <c r="L20" s="110">
        <v>598.73113027115221</v>
      </c>
      <c r="M20" s="110">
        <v>877.87810604027334</v>
      </c>
      <c r="N20" s="122">
        <v>243.92749751787684</v>
      </c>
      <c r="O20" s="110">
        <v>117.39826083748082</v>
      </c>
      <c r="P20" s="111">
        <v>126.529236680396</v>
      </c>
      <c r="Q20" s="110">
        <v>1232.6817387935487</v>
      </c>
      <c r="R20" s="110">
        <v>481.33286943367142</v>
      </c>
      <c r="S20" s="112">
        <v>751.34886935987731</v>
      </c>
      <c r="T20" s="110">
        <v>1526.2709701210192</v>
      </c>
      <c r="U20" s="110">
        <v>618.86782269041782</v>
      </c>
      <c r="V20" s="110">
        <v>907.40314743062254</v>
      </c>
      <c r="W20" s="122">
        <v>252.1313351701686</v>
      </c>
      <c r="X20" s="110">
        <v>121.34663190008132</v>
      </c>
      <c r="Y20" s="111">
        <v>130.78470327008762</v>
      </c>
      <c r="Z20" s="110">
        <v>1274.1396349508616</v>
      </c>
      <c r="AA20" s="110">
        <v>497.52119079033235</v>
      </c>
      <c r="AB20" s="112">
        <v>776.61844416052975</v>
      </c>
    </row>
    <row r="21" spans="1:28" s="5" customFormat="1" ht="12" customHeight="1">
      <c r="A21" s="29" t="s">
        <v>20</v>
      </c>
      <c r="B21" s="110">
        <v>858.06502633746391</v>
      </c>
      <c r="C21" s="110">
        <v>377.29623952191486</v>
      </c>
      <c r="D21" s="111">
        <v>480.76878681555007</v>
      </c>
      <c r="E21" s="110">
        <v>122.40045228637439</v>
      </c>
      <c r="F21" s="110">
        <v>44.165111649722604</v>
      </c>
      <c r="G21" s="111">
        <v>78.235340636651543</v>
      </c>
      <c r="H21" s="110">
        <v>735.66457405109054</v>
      </c>
      <c r="I21" s="110">
        <v>333.13112787219251</v>
      </c>
      <c r="J21" s="112">
        <v>402.53344617889906</v>
      </c>
      <c r="K21" s="110">
        <v>887.00908188318851</v>
      </c>
      <c r="L21" s="110">
        <v>390.02311100451965</v>
      </c>
      <c r="M21" s="110">
        <v>496.98597087866887</v>
      </c>
      <c r="N21" s="122">
        <v>126.529236680396</v>
      </c>
      <c r="O21" s="110">
        <v>45.654879214575864</v>
      </c>
      <c r="P21" s="111">
        <v>80.874357465820111</v>
      </c>
      <c r="Q21" s="110">
        <v>760.47984520279249</v>
      </c>
      <c r="R21" s="110">
        <v>344.36823178994376</v>
      </c>
      <c r="S21" s="112">
        <v>416.11161341284873</v>
      </c>
      <c r="T21" s="110">
        <v>916.84121880062924</v>
      </c>
      <c r="U21" s="110">
        <v>403.14047709026937</v>
      </c>
      <c r="V21" s="110">
        <v>513.70074171034321</v>
      </c>
      <c r="W21" s="122">
        <v>130.78470327008762</v>
      </c>
      <c r="X21" s="110">
        <v>47.190356850031741</v>
      </c>
      <c r="Y21" s="111">
        <v>83.594346420056127</v>
      </c>
      <c r="Z21" s="110">
        <v>786.05651553053644</v>
      </c>
      <c r="AA21" s="110">
        <v>355.95012024023788</v>
      </c>
      <c r="AB21" s="112">
        <v>430.10639529028737</v>
      </c>
    </row>
    <row r="22" spans="1:28" s="5" customFormat="1" ht="12" customHeight="1">
      <c r="A22" s="29" t="s">
        <v>29</v>
      </c>
      <c r="B22" s="110">
        <v>584.24133410918535</v>
      </c>
      <c r="C22" s="110">
        <v>209.46881525296993</v>
      </c>
      <c r="D22" s="111">
        <v>374.77251885621644</v>
      </c>
      <c r="E22" s="110">
        <v>94.639524963691457</v>
      </c>
      <c r="F22" s="110">
        <v>26.499066989833562</v>
      </c>
      <c r="G22" s="111">
        <v>68.14045797385775</v>
      </c>
      <c r="H22" s="110">
        <v>489.60180914549454</v>
      </c>
      <c r="I22" s="110">
        <v>182.96974826313652</v>
      </c>
      <c r="J22" s="112">
        <v>306.6320608823591</v>
      </c>
      <c r="K22" s="110">
        <v>603.94883075281803</v>
      </c>
      <c r="L22" s="110">
        <v>216.53456998913131</v>
      </c>
      <c r="M22" s="110">
        <v>387.41426076368674</v>
      </c>
      <c r="N22" s="122">
        <v>97.831884031234011</v>
      </c>
      <c r="O22" s="110">
        <v>27.39292752874551</v>
      </c>
      <c r="P22" s="111">
        <v>70.43895650248848</v>
      </c>
      <c r="Q22" s="110">
        <v>506.11694672158404</v>
      </c>
      <c r="R22" s="110">
        <v>189.14164246038578</v>
      </c>
      <c r="S22" s="112">
        <v>316.97530426119823</v>
      </c>
      <c r="T22" s="110">
        <v>624.26100633042165</v>
      </c>
      <c r="U22" s="110">
        <v>223.8171210601497</v>
      </c>
      <c r="V22" s="110">
        <v>400.44388527026757</v>
      </c>
      <c r="W22" s="122">
        <v>101.12219325006782</v>
      </c>
      <c r="X22" s="110">
        <v>28.314214110019044</v>
      </c>
      <c r="Y22" s="111">
        <v>72.807979140048928</v>
      </c>
      <c r="Z22" s="110">
        <v>523.13881308034991</v>
      </c>
      <c r="AA22" s="110">
        <v>195.50290695013081</v>
      </c>
      <c r="AB22" s="112">
        <v>327.63590613021898</v>
      </c>
    </row>
    <row r="23" spans="1:28" s="5" customFormat="1" ht="12" customHeight="1">
      <c r="A23" s="29" t="s">
        <v>30</v>
      </c>
      <c r="B23" s="110">
        <v>176.66044659889047</v>
      </c>
      <c r="C23" s="110">
        <v>60.569295976762426</v>
      </c>
      <c r="D23" s="111">
        <v>116.09115062212827</v>
      </c>
      <c r="E23" s="110">
        <v>21.451625658436694</v>
      </c>
      <c r="F23" s="110">
        <v>7.5711619970953041</v>
      </c>
      <c r="G23" s="111">
        <v>13.880463661341389</v>
      </c>
      <c r="H23" s="110">
        <v>155.2088209404539</v>
      </c>
      <c r="I23" s="110">
        <v>52.998133979667124</v>
      </c>
      <c r="J23" s="112">
        <v>102.2106869607868</v>
      </c>
      <c r="K23" s="110">
        <v>182.61951685830351</v>
      </c>
      <c r="L23" s="110">
        <v>62.612405779989764</v>
      </c>
      <c r="M23" s="110">
        <v>120.00711107831373</v>
      </c>
      <c r="N23" s="122">
        <v>22.175227047079694</v>
      </c>
      <c r="O23" s="110">
        <v>7.8265507224987125</v>
      </c>
      <c r="P23" s="111">
        <v>14.348676324580973</v>
      </c>
      <c r="Q23" s="110">
        <v>160.4442898112238</v>
      </c>
      <c r="R23" s="110">
        <v>54.785855057491041</v>
      </c>
      <c r="S23" s="112">
        <v>105.65843475373273</v>
      </c>
      <c r="T23" s="110">
        <v>188.76142740012631</v>
      </c>
      <c r="U23" s="110">
        <v>64.71820368004353</v>
      </c>
      <c r="V23" s="110">
        <v>124.04322372008312</v>
      </c>
      <c r="W23" s="122">
        <v>22.921030470015417</v>
      </c>
      <c r="X23" s="110">
        <v>8.0897754600054412</v>
      </c>
      <c r="Y23" s="111">
        <v>14.831255010009976</v>
      </c>
      <c r="Z23" s="110">
        <v>165.84039693011101</v>
      </c>
      <c r="AA23" s="110">
        <v>56.628428220038089</v>
      </c>
      <c r="AB23" s="112">
        <v>109.21196871007322</v>
      </c>
    </row>
    <row r="24" spans="1:28" s="5" customFormat="1" ht="12" customHeight="1">
      <c r="A24" s="29" t="s">
        <v>32</v>
      </c>
      <c r="B24" s="110">
        <v>89.59208363229456</v>
      </c>
      <c r="C24" s="110">
        <v>26.499066989833562</v>
      </c>
      <c r="D24" s="111">
        <v>63.09301664246086</v>
      </c>
      <c r="E24" s="110">
        <v>12.618603328492172</v>
      </c>
      <c r="F24" s="110">
        <v>3.7855809985476525</v>
      </c>
      <c r="G24" s="111">
        <v>8.8330223299445212</v>
      </c>
      <c r="H24" s="110">
        <v>76.973480303802319</v>
      </c>
      <c r="I24" s="110">
        <v>22.713485991285911</v>
      </c>
      <c r="J24" s="112">
        <v>54.259994312516341</v>
      </c>
      <c r="K24" s="110">
        <v>92.614183549568196</v>
      </c>
      <c r="L24" s="110">
        <v>27.39292752874551</v>
      </c>
      <c r="M24" s="110">
        <v>65.221256020822665</v>
      </c>
      <c r="N24" s="122">
        <v>13.044251204164521</v>
      </c>
      <c r="O24" s="110">
        <v>3.9132753612493563</v>
      </c>
      <c r="P24" s="111">
        <v>9.1309758429151646</v>
      </c>
      <c r="Q24" s="110">
        <v>79.569932345403657</v>
      </c>
      <c r="R24" s="110">
        <v>23.479652167496148</v>
      </c>
      <c r="S24" s="112">
        <v>56.090280177907495</v>
      </c>
      <c r="T24" s="110">
        <v>95.729009610064224</v>
      </c>
      <c r="U24" s="110">
        <v>28.314214110019044</v>
      </c>
      <c r="V24" s="110">
        <v>67.414795500045329</v>
      </c>
      <c r="W24" s="122">
        <v>13.482959100009069</v>
      </c>
      <c r="X24" s="110">
        <v>4.0448877300027206</v>
      </c>
      <c r="Y24" s="111">
        <v>9.4380713700063481</v>
      </c>
      <c r="Z24" s="110">
        <v>82.246050510055227</v>
      </c>
      <c r="AA24" s="110">
        <v>24.269326380016324</v>
      </c>
      <c r="AB24" s="112">
        <v>57.976724130038995</v>
      </c>
    </row>
    <row r="25" spans="1:28" s="5" customFormat="1" ht="12" customHeight="1" thickBot="1">
      <c r="A25" s="34" t="s">
        <v>31</v>
      </c>
      <c r="B25" s="113">
        <v>37.855809985476519</v>
      </c>
      <c r="C25" s="113">
        <v>10.094882662793738</v>
      </c>
      <c r="D25" s="114">
        <v>27.760927322682779</v>
      </c>
      <c r="E25" s="113">
        <v>11.356742995642955</v>
      </c>
      <c r="F25" s="131">
        <v>0</v>
      </c>
      <c r="G25" s="114">
        <v>11.356742995642955</v>
      </c>
      <c r="H25" s="113">
        <v>26.499066989833562</v>
      </c>
      <c r="I25" s="113">
        <v>10.094882662793738</v>
      </c>
      <c r="J25" s="115">
        <v>16.404184327039825</v>
      </c>
      <c r="K25" s="113">
        <v>39.132753612493595</v>
      </c>
      <c r="L25" s="113">
        <v>10.435400963331617</v>
      </c>
      <c r="M25" s="113">
        <v>28.697352649161964</v>
      </c>
      <c r="N25" s="123">
        <v>11.739826083748069</v>
      </c>
      <c r="O25" s="131">
        <v>0</v>
      </c>
      <c r="P25" s="114">
        <v>11.739826083748069</v>
      </c>
      <c r="Q25" s="113">
        <v>27.39292752874551</v>
      </c>
      <c r="R25" s="113">
        <v>10.435400963331617</v>
      </c>
      <c r="S25" s="115">
        <v>16.957526565413879</v>
      </c>
      <c r="T25" s="113">
        <v>40.448877300027206</v>
      </c>
      <c r="U25" s="113">
        <v>10.786367280007255</v>
      </c>
      <c r="V25" s="113">
        <v>29.662510020019951</v>
      </c>
      <c r="W25" s="123">
        <v>12.134663190008162</v>
      </c>
      <c r="X25" s="131">
        <v>0</v>
      </c>
      <c r="Y25" s="114">
        <v>12.134663190008162</v>
      </c>
      <c r="Z25" s="113">
        <v>28.314214110019044</v>
      </c>
      <c r="AA25" s="113">
        <v>10.786367280007255</v>
      </c>
      <c r="AB25" s="115">
        <v>17.527846830011789</v>
      </c>
    </row>
    <row r="26" spans="1:28" s="5" customFormat="1" ht="14.25" customHeight="1">
      <c r="A26" s="44" t="s">
        <v>72</v>
      </c>
      <c r="B26" s="119">
        <v>86078.840688394615</v>
      </c>
      <c r="C26" s="120">
        <v>42773.167883492228</v>
      </c>
      <c r="D26" s="155">
        <v>43305.672804933602</v>
      </c>
      <c r="E26" s="120">
        <v>15331.095220148984</v>
      </c>
      <c r="F26" s="120">
        <v>7721.041826605524</v>
      </c>
      <c r="G26" s="120">
        <v>7610.0533935448466</v>
      </c>
      <c r="H26" s="153">
        <v>70747.74546826983</v>
      </c>
      <c r="I26" s="125">
        <v>35052.126056878042</v>
      </c>
      <c r="J26" s="125">
        <v>35695.619411380147</v>
      </c>
      <c r="K26" s="160">
        <v>88982.432688618981</v>
      </c>
      <c r="L26" s="125">
        <v>44215.982715766557</v>
      </c>
      <c r="M26" s="156">
        <v>44766.449972871022</v>
      </c>
      <c r="N26" s="125">
        <v>15848.240259289623</v>
      </c>
      <c r="O26" s="125">
        <v>7981.4862645452222</v>
      </c>
      <c r="P26" s="125">
        <v>7866.7539947439</v>
      </c>
      <c r="Q26" s="158">
        <v>73134.192429323593</v>
      </c>
      <c r="R26" s="125">
        <v>36234.496451238127</v>
      </c>
      <c r="S26" s="129">
        <v>36899.695978143311</v>
      </c>
      <c r="T26" s="125">
        <v>91975.114690970251</v>
      </c>
      <c r="U26" s="125">
        <v>45703.066982722281</v>
      </c>
      <c r="V26" s="125">
        <v>46272.047708198334</v>
      </c>
      <c r="W26" s="153">
        <v>16381.25269734904</v>
      </c>
      <c r="X26" s="120">
        <v>8249.921837429607</v>
      </c>
      <c r="Y26" s="120">
        <v>8131.3308599200245</v>
      </c>
      <c r="Z26" s="153">
        <v>75593.861993593207</v>
      </c>
      <c r="AA26" s="120">
        <v>37453.145145298404</v>
      </c>
      <c r="AB26" s="133">
        <v>38140.716848284006</v>
      </c>
    </row>
    <row r="27" spans="1:28" s="5" customFormat="1" ht="12" customHeight="1">
      <c r="A27" s="39" t="s">
        <v>22</v>
      </c>
      <c r="B27" s="116">
        <v>3677.2532514536542</v>
      </c>
      <c r="C27" s="116">
        <v>1737.4650115666914</v>
      </c>
      <c r="D27" s="117">
        <v>1939.7882398872864</v>
      </c>
      <c r="E27" s="116">
        <v>656.12165568373712</v>
      </c>
      <c r="F27" s="116">
        <v>342.92072596710983</v>
      </c>
      <c r="G27" s="117">
        <v>313.20092971662694</v>
      </c>
      <c r="H27" s="116">
        <v>3021.1315957700472</v>
      </c>
      <c r="I27" s="116">
        <v>1394.5442855995811</v>
      </c>
      <c r="J27" s="118">
        <v>1626.5873101706591</v>
      </c>
      <c r="K27" s="116">
        <v>3801.2935270725834</v>
      </c>
      <c r="L27" s="116">
        <v>1796.0727886697182</v>
      </c>
      <c r="M27" s="116">
        <v>2005.2207384029575</v>
      </c>
      <c r="N27" s="124">
        <v>678.2538030897731</v>
      </c>
      <c r="O27" s="116">
        <v>354.48805039534886</v>
      </c>
      <c r="P27" s="117">
        <v>323.7657526944181</v>
      </c>
      <c r="Q27" s="116">
        <v>3123.0397239828694</v>
      </c>
      <c r="R27" s="116">
        <v>1441.5847382743973</v>
      </c>
      <c r="S27" s="118">
        <v>1681.4549857085644</v>
      </c>
      <c r="T27" s="116">
        <v>3929.1396915360851</v>
      </c>
      <c r="U27" s="116">
        <v>1856.4788098026795</v>
      </c>
      <c r="V27" s="116">
        <v>2072.660881733656</v>
      </c>
      <c r="W27" s="124">
        <v>701.06502422808796</v>
      </c>
      <c r="X27" s="116">
        <v>366.4102914084084</v>
      </c>
      <c r="Y27" s="117">
        <v>334.65473281967968</v>
      </c>
      <c r="Z27" s="116">
        <v>3228.0746673080625</v>
      </c>
      <c r="AA27" s="116">
        <v>1490.0685183942371</v>
      </c>
      <c r="AB27" s="118">
        <v>1738.0061489139498</v>
      </c>
    </row>
    <row r="28" spans="1:28" ht="12.75" thickBot="1">
      <c r="A28" s="45" t="s">
        <v>21</v>
      </c>
      <c r="B28" s="128">
        <v>71179.399259086611</v>
      </c>
      <c r="C28" s="128">
        <v>32703.46397207757</v>
      </c>
      <c r="D28" s="128">
        <v>38475.935286989268</v>
      </c>
      <c r="E28" s="157">
        <v>12590.937878194007</v>
      </c>
      <c r="F28" s="128">
        <v>5646.642544688023</v>
      </c>
      <c r="G28" s="154">
        <v>6944.2953335076445</v>
      </c>
      <c r="H28" s="128">
        <v>58588.461380906221</v>
      </c>
      <c r="I28" s="128">
        <v>27056.82142739003</v>
      </c>
      <c r="J28" s="130">
        <v>31531.639953472899</v>
      </c>
      <c r="K28" s="128">
        <v>73580.40666835013</v>
      </c>
      <c r="L28" s="128">
        <v>33806.609827799781</v>
      </c>
      <c r="M28" s="128">
        <v>39773.796840524461</v>
      </c>
      <c r="N28" s="157">
        <v>13015.652549149427</v>
      </c>
      <c r="O28" s="128">
        <v>5837.1138148639702</v>
      </c>
      <c r="P28" s="128">
        <v>7178.538734286567</v>
      </c>
      <c r="Q28" s="157">
        <v>60564.754119200654</v>
      </c>
      <c r="R28" s="128">
        <v>27969.496012935804</v>
      </c>
      <c r="S28" s="130">
        <v>32595.258106230824</v>
      </c>
      <c r="T28" s="128">
        <v>76055.083434315457</v>
      </c>
      <c r="U28" s="128">
        <v>34943.603161574109</v>
      </c>
      <c r="V28" s="154">
        <v>41111.480272745248</v>
      </c>
      <c r="W28" s="128">
        <v>13453.398607050345</v>
      </c>
      <c r="X28" s="128">
        <v>6033.4292552401794</v>
      </c>
      <c r="Y28" s="128">
        <v>7419.969351810214</v>
      </c>
      <c r="Z28" s="157">
        <v>62601.684827255798</v>
      </c>
      <c r="AA28" s="128">
        <v>28910.173906335611</v>
      </c>
      <c r="AB28" s="130">
        <v>33691.510920940127</v>
      </c>
    </row>
    <row r="29" spans="1:28">
      <c r="A29" s="260" t="s">
        <v>118</v>
      </c>
    </row>
    <row r="32" spans="1:28" ht="12" customHeight="1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4"/>
  <sheetViews>
    <sheetView workbookViewId="0">
      <pane xSplit="1" topLeftCell="B1" activePane="topRight" state="frozen"/>
      <selection pane="topRight" activeCell="A29" sqref="A29"/>
    </sheetView>
  </sheetViews>
  <sheetFormatPr defaultColWidth="9.125" defaultRowHeight="12"/>
  <cols>
    <col min="1" max="1" width="14" style="1" customWidth="1"/>
    <col min="2" max="2" width="7.75" style="1" customWidth="1"/>
    <col min="3" max="3" width="8.625" style="1" customWidth="1"/>
    <col min="4" max="4" width="8.375" style="1" customWidth="1"/>
    <col min="5" max="5" width="7.875" style="1" customWidth="1"/>
    <col min="6" max="6" width="8.125" style="1" customWidth="1"/>
    <col min="7" max="7" width="8.875" style="1" customWidth="1"/>
    <col min="8" max="8" width="7.75" style="1" customWidth="1"/>
    <col min="9" max="9" width="8.125" style="1" customWidth="1"/>
    <col min="10" max="10" width="8.75" style="1" customWidth="1"/>
    <col min="11" max="16384" width="9.125" style="1"/>
  </cols>
  <sheetData>
    <row r="1" spans="1:28" s="5" customFormat="1" ht="30" customHeight="1" thickBot="1">
      <c r="A1" s="55" t="s">
        <v>106</v>
      </c>
      <c r="B1" s="53"/>
      <c r="C1" s="53"/>
      <c r="D1" s="53"/>
      <c r="E1" s="53"/>
      <c r="F1" s="53"/>
      <c r="G1" s="53"/>
      <c r="H1" s="53"/>
    </row>
    <row r="2" spans="1:28" s="5" customFormat="1" ht="13.5" customHeight="1">
      <c r="A2" s="241" t="s">
        <v>55</v>
      </c>
      <c r="B2" s="233" t="s">
        <v>52</v>
      </c>
      <c r="C2" s="233"/>
      <c r="D2" s="233"/>
      <c r="E2" s="233"/>
      <c r="F2" s="233"/>
      <c r="G2" s="233"/>
      <c r="H2" s="233"/>
      <c r="I2" s="233"/>
      <c r="J2" s="234"/>
      <c r="K2" s="233" t="s">
        <v>53</v>
      </c>
      <c r="L2" s="233"/>
      <c r="M2" s="233"/>
      <c r="N2" s="233"/>
      <c r="O2" s="233"/>
      <c r="P2" s="233"/>
      <c r="Q2" s="233"/>
      <c r="R2" s="233"/>
      <c r="S2" s="234"/>
      <c r="T2" s="233" t="s">
        <v>54</v>
      </c>
      <c r="U2" s="233"/>
      <c r="V2" s="233"/>
      <c r="W2" s="233"/>
      <c r="X2" s="233"/>
      <c r="Y2" s="233"/>
      <c r="Z2" s="233"/>
      <c r="AA2" s="233"/>
      <c r="AB2" s="234"/>
    </row>
    <row r="3" spans="1:28" s="5" customFormat="1" ht="17.25" customHeight="1" thickBot="1">
      <c r="A3" s="242"/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5"/>
      <c r="K3" s="11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5"/>
    </row>
    <row r="4" spans="1:28" s="5" customFormat="1" ht="12.75" customHeight="1" thickBot="1">
      <c r="A4" s="238"/>
      <c r="B4" s="9" t="s">
        <v>0</v>
      </c>
      <c r="C4" s="10" t="s">
        <v>3</v>
      </c>
      <c r="D4" s="16" t="s">
        <v>4</v>
      </c>
      <c r="E4" s="17" t="s">
        <v>0</v>
      </c>
      <c r="F4" s="10" t="s">
        <v>3</v>
      </c>
      <c r="G4" s="16" t="s">
        <v>4</v>
      </c>
      <c r="H4" s="17" t="s">
        <v>0</v>
      </c>
      <c r="I4" s="10" t="s">
        <v>3</v>
      </c>
      <c r="J4" s="18" t="s">
        <v>4</v>
      </c>
      <c r="K4" s="9" t="s">
        <v>0</v>
      </c>
      <c r="L4" s="10" t="s">
        <v>3</v>
      </c>
      <c r="M4" s="10" t="s">
        <v>4</v>
      </c>
      <c r="N4" s="19" t="s">
        <v>0</v>
      </c>
      <c r="O4" s="20" t="s">
        <v>3</v>
      </c>
      <c r="P4" s="21" t="s">
        <v>4</v>
      </c>
      <c r="Q4" s="17" t="s">
        <v>0</v>
      </c>
      <c r="R4" s="10" t="s">
        <v>3</v>
      </c>
      <c r="S4" s="18" t="s">
        <v>4</v>
      </c>
      <c r="T4" s="9" t="s">
        <v>0</v>
      </c>
      <c r="U4" s="10" t="s">
        <v>3</v>
      </c>
      <c r="V4" s="10" t="s">
        <v>4</v>
      </c>
      <c r="W4" s="19" t="s">
        <v>0</v>
      </c>
      <c r="X4" s="20" t="s">
        <v>3</v>
      </c>
      <c r="Y4" s="21" t="s">
        <v>4</v>
      </c>
      <c r="Z4" s="17" t="s">
        <v>0</v>
      </c>
      <c r="AA4" s="10" t="s">
        <v>3</v>
      </c>
      <c r="AB4" s="18" t="s">
        <v>4</v>
      </c>
    </row>
    <row r="5" spans="1:28" s="5" customFormat="1" ht="16.5" customHeight="1" thickBot="1">
      <c r="A5" s="22" t="s">
        <v>51</v>
      </c>
      <c r="B5" s="23">
        <f>+B6+B7+B8+B9+B10+B11+B12+B13+B14+B15+B16+B17+B18+B19+B20+B21+B22+B23+B24+B25</f>
        <v>170264.61704272448</v>
      </c>
      <c r="C5" s="23">
        <f t="shared" ref="C5:I5" si="0">+C6+C7+C8+C9+C10+C11+C12+C13+C14+C15+C16+C17+C18+C19+C20+C21+C22+C23+C24+C25</f>
        <v>82447.835652779628</v>
      </c>
      <c r="D5" s="23">
        <f t="shared" si="0"/>
        <v>87816.781389938333</v>
      </c>
      <c r="E5" s="23">
        <f t="shared" si="0"/>
        <v>25125.625842070091</v>
      </c>
      <c r="F5" s="23">
        <f t="shared" si="0"/>
        <v>12094.710013494754</v>
      </c>
      <c r="G5" s="23">
        <f t="shared" si="0"/>
        <v>13030.915828575009</v>
      </c>
      <c r="H5" s="23">
        <f t="shared" si="0"/>
        <v>145138.99120064921</v>
      </c>
      <c r="I5" s="23">
        <f t="shared" si="0"/>
        <v>70353.12563928563</v>
      </c>
      <c r="J5" s="23">
        <f>+J6+J7+J8+J9+J10+J11+J12+J13+J14+J15+J16+J17+J18+J19+J20+J21+J22+J23+J24+J25</f>
        <v>74785.865561364262</v>
      </c>
      <c r="K5" s="96">
        <f>+K6+K7+K8+K9+K10+K11+K12+K13+K14+K15+K16+K17+K18+K19+K20+K21+K22+K23+K24+K25</f>
        <v>176007.94462502218</v>
      </c>
      <c r="L5" s="99">
        <f t="shared" ref="L5:S5" si="1">+L6+L7+L8+L9+L10+L11+L12+L13+L14+L15+L16+L17+L18+L19+L20+L21+L22+L23+L24+L25</f>
        <v>85228.947411808214</v>
      </c>
      <c r="M5" s="94">
        <f t="shared" si="1"/>
        <v>90778.997213191687</v>
      </c>
      <c r="N5" s="99">
        <f t="shared" si="1"/>
        <v>25973.157774583196</v>
      </c>
      <c r="O5" s="99">
        <f t="shared" si="1"/>
        <v>12502.686038265669</v>
      </c>
      <c r="P5" s="94">
        <f t="shared" si="1"/>
        <v>13470.471736317699</v>
      </c>
      <c r="Q5" s="99">
        <f t="shared" si="1"/>
        <v>150034.78685043313</v>
      </c>
      <c r="R5" s="99">
        <f t="shared" si="1"/>
        <v>72726.26137354158</v>
      </c>
      <c r="S5" s="95">
        <f t="shared" si="1"/>
        <v>77308.52547687311</v>
      </c>
      <c r="T5" s="99">
        <f>+T6+T7+T8+T9+T10+T11+T12+T13+T14+T15+T16+T17+T18+T19+T20+T21+T22+T23+T24+T25</f>
        <v>181927.49292484278</v>
      </c>
      <c r="U5" s="99">
        <f t="shared" ref="U5:AB5" si="2">+U6+U7+U8+U9+U10+U11+U12+U13+U14+U15+U16+U17+U18+U19+U20+U21+U22+U23+U24+U25</f>
        <v>88095.391150040217</v>
      </c>
      <c r="V5" s="94">
        <f t="shared" si="2"/>
        <v>93832.101774808121</v>
      </c>
      <c r="W5" s="99">
        <f t="shared" si="2"/>
        <v>26846.694263369071</v>
      </c>
      <c r="X5" s="99">
        <f t="shared" si="2"/>
        <v>12923.179863354051</v>
      </c>
      <c r="Y5" s="99">
        <f t="shared" si="2"/>
        <v>13923.514400015143</v>
      </c>
      <c r="Z5" s="98">
        <f t="shared" si="2"/>
        <v>155080.79866148261</v>
      </c>
      <c r="AA5" s="99">
        <f t="shared" si="2"/>
        <v>75172.211286685153</v>
      </c>
      <c r="AB5" s="95">
        <f t="shared" si="2"/>
        <v>79908.587374791532</v>
      </c>
    </row>
    <row r="6" spans="1:28" s="5" customFormat="1" ht="12" customHeight="1">
      <c r="A6" s="24" t="s">
        <v>5</v>
      </c>
      <c r="B6" s="25">
        <v>31530.013685671576</v>
      </c>
      <c r="C6" s="25">
        <v>15621.458307041315</v>
      </c>
      <c r="D6" s="26">
        <v>15908.555378630184</v>
      </c>
      <c r="E6" s="25">
        <v>4610.4412084564628</v>
      </c>
      <c r="F6" s="25">
        <v>2230.4306107890752</v>
      </c>
      <c r="G6" s="26">
        <v>2380.0105976673094</v>
      </c>
      <c r="H6" s="25">
        <v>26919.572477215035</v>
      </c>
      <c r="I6" s="25">
        <v>13391.027696252162</v>
      </c>
      <c r="J6" s="27">
        <v>13528.544780962797</v>
      </c>
      <c r="K6" s="25">
        <v>32593.576981547125</v>
      </c>
      <c r="L6" s="25">
        <v>16148.397808200611</v>
      </c>
      <c r="M6" s="25">
        <v>16445.179173324363</v>
      </c>
      <c r="N6" s="28">
        <v>4765.959569340197</v>
      </c>
      <c r="O6" s="25">
        <v>2305.6669920749086</v>
      </c>
      <c r="P6" s="26">
        <v>2460.2925772654439</v>
      </c>
      <c r="Q6" s="25">
        <v>27827.61741220138</v>
      </c>
      <c r="R6" s="25">
        <v>13842.730816126454</v>
      </c>
      <c r="S6" s="27">
        <v>13984.886596059636</v>
      </c>
      <c r="T6" s="25">
        <v>33689.773256195469</v>
      </c>
      <c r="U6" s="25">
        <v>16691.505228689548</v>
      </c>
      <c r="V6" s="25">
        <v>16998.268027487426</v>
      </c>
      <c r="W6" s="28">
        <v>4926.2496512789321</v>
      </c>
      <c r="X6" s="25">
        <v>2383.2118276333786</v>
      </c>
      <c r="Y6" s="26">
        <v>2543.037823645549</v>
      </c>
      <c r="Z6" s="25">
        <v>28763.523604911908</v>
      </c>
      <c r="AA6" s="25">
        <v>14308.293401056866</v>
      </c>
      <c r="AB6" s="27">
        <v>14455.230203842197</v>
      </c>
    </row>
    <row r="7" spans="1:28" s="5" customFormat="1" ht="12" customHeight="1">
      <c r="A7" s="24" t="s">
        <v>6</v>
      </c>
      <c r="B7" s="25">
        <v>24641.735388693898</v>
      </c>
      <c r="C7" s="25">
        <v>12240.271419357074</v>
      </c>
      <c r="D7" s="26">
        <v>12401.463969325074</v>
      </c>
      <c r="E7" s="25">
        <v>3555.4471021523968</v>
      </c>
      <c r="F7" s="25">
        <v>1784.631803217577</v>
      </c>
      <c r="G7" s="26">
        <v>1770.8152989346029</v>
      </c>
      <c r="H7" s="25">
        <v>21086.288286536965</v>
      </c>
      <c r="I7" s="25">
        <v>10455.63961613993</v>
      </c>
      <c r="J7" s="27">
        <v>10630.648670390901</v>
      </c>
      <c r="K7" s="25">
        <v>25472.944837786261</v>
      </c>
      <c r="L7" s="25">
        <v>12653.157488576066</v>
      </c>
      <c r="M7" s="25">
        <v>12819.787349210123</v>
      </c>
      <c r="N7" s="28">
        <v>3675.3786402711248</v>
      </c>
      <c r="O7" s="25">
        <v>1844.8305998769847</v>
      </c>
      <c r="P7" s="26">
        <v>1830.5480403940655</v>
      </c>
      <c r="Q7" s="25">
        <v>21797.566197515062</v>
      </c>
      <c r="R7" s="25">
        <v>10808.326888699006</v>
      </c>
      <c r="S7" s="27">
        <v>10989.239308815982</v>
      </c>
      <c r="T7" s="25">
        <v>26329.658025507677</v>
      </c>
      <c r="U7" s="25">
        <v>13078.712011462836</v>
      </c>
      <c r="V7" s="25">
        <v>13250.946014059469</v>
      </c>
      <c r="W7" s="28">
        <v>3798.9900001313772</v>
      </c>
      <c r="X7" s="25">
        <v>1906.8764573197923</v>
      </c>
      <c r="Y7" s="26">
        <v>1892.1135428115094</v>
      </c>
      <c r="Z7" s="25">
        <v>22530.668025381841</v>
      </c>
      <c r="AA7" s="25">
        <v>11171.835554142968</v>
      </c>
      <c r="AB7" s="27">
        <v>11358.832471247884</v>
      </c>
    </row>
    <row r="8" spans="1:28" s="5" customFormat="1" ht="12" customHeight="1">
      <c r="A8" s="24" t="s">
        <v>7</v>
      </c>
      <c r="B8" s="25">
        <v>21636.645707142863</v>
      </c>
      <c r="C8" s="25">
        <v>10911.584257477987</v>
      </c>
      <c r="D8" s="26">
        <v>10725.061449657873</v>
      </c>
      <c r="E8" s="25">
        <v>3507.0893371619777</v>
      </c>
      <c r="F8" s="25">
        <v>1776.5721757191754</v>
      </c>
      <c r="G8" s="26">
        <v>1730.5171614425949</v>
      </c>
      <c r="H8" s="25">
        <v>18129.556369976406</v>
      </c>
      <c r="I8" s="25">
        <v>9135.0120817592433</v>
      </c>
      <c r="J8" s="27">
        <v>8994.5442882157004</v>
      </c>
      <c r="K8" s="25">
        <v>22366.488150251342</v>
      </c>
      <c r="L8" s="25">
        <v>11279.651351635339</v>
      </c>
      <c r="M8" s="25">
        <v>11086.83679861593</v>
      </c>
      <c r="N8" s="28">
        <v>3625.3896820809077</v>
      </c>
      <c r="O8" s="25">
        <v>1836.4991068452819</v>
      </c>
      <c r="P8" s="26">
        <v>1788.8905752355513</v>
      </c>
      <c r="Q8" s="25">
        <v>18741.098468170359</v>
      </c>
      <c r="R8" s="25">
        <v>9443.1522447899824</v>
      </c>
      <c r="S8" s="27">
        <v>9297.9462233803042</v>
      </c>
      <c r="T8" s="25">
        <v>23118.724119960905</v>
      </c>
      <c r="U8" s="25">
        <v>11659.011732916302</v>
      </c>
      <c r="V8" s="25">
        <v>11459.712387054484</v>
      </c>
      <c r="W8" s="28">
        <v>3747.3197993523872</v>
      </c>
      <c r="X8" s="25">
        <v>1898.2647571899606</v>
      </c>
      <c r="Y8" s="26">
        <v>1849.0550421623511</v>
      </c>
      <c r="Z8" s="25">
        <v>19371.404320613983</v>
      </c>
      <c r="AA8" s="25">
        <v>9760.7469757262661</v>
      </c>
      <c r="AB8" s="27">
        <v>9610.6573448920572</v>
      </c>
    </row>
    <row r="9" spans="1:28" s="5" customFormat="1" ht="12" customHeight="1">
      <c r="A9" s="24" t="s">
        <v>8</v>
      </c>
      <c r="B9" s="25">
        <v>19609.350179879515</v>
      </c>
      <c r="C9" s="25">
        <v>9385.7402697195012</v>
      </c>
      <c r="D9" s="26">
        <v>10223.609910165307</v>
      </c>
      <c r="E9" s="25">
        <v>3018.8454575969336</v>
      </c>
      <c r="F9" s="25">
        <v>1458.5561544467751</v>
      </c>
      <c r="G9" s="26">
        <v>1560.2893031503511</v>
      </c>
      <c r="H9" s="25">
        <v>16590.504722284189</v>
      </c>
      <c r="I9" s="25">
        <v>7927.1841152733859</v>
      </c>
      <c r="J9" s="27">
        <v>8663.3206070158867</v>
      </c>
      <c r="K9" s="25">
        <v>20270.808348448489</v>
      </c>
      <c r="L9" s="25">
        <v>9702.337939321189</v>
      </c>
      <c r="M9" s="25">
        <v>10568.47040912109</v>
      </c>
      <c r="N9" s="28">
        <v>3120.6764703135673</v>
      </c>
      <c r="O9" s="25">
        <v>1507.7558410148572</v>
      </c>
      <c r="P9" s="26">
        <v>1612.9206292988024</v>
      </c>
      <c r="Q9" s="25">
        <v>17150.131878132612</v>
      </c>
      <c r="R9" s="25">
        <v>8194.5820983052636</v>
      </c>
      <c r="S9" s="27">
        <v>8955.5497798211381</v>
      </c>
      <c r="T9" s="25">
        <v>20952.561830371847</v>
      </c>
      <c r="U9" s="25">
        <v>10028.649675848856</v>
      </c>
      <c r="V9" s="25">
        <v>10923.912154523983</v>
      </c>
      <c r="W9" s="28">
        <v>3225.6319320320067</v>
      </c>
      <c r="X9" s="25">
        <v>1558.465106123813</v>
      </c>
      <c r="Y9" s="26">
        <v>1667.1668259083176</v>
      </c>
      <c r="Z9" s="25">
        <v>17726.929898342529</v>
      </c>
      <c r="AA9" s="25">
        <v>8470.1845697240769</v>
      </c>
      <c r="AB9" s="27">
        <v>9256.7453286146392</v>
      </c>
    </row>
    <row r="10" spans="1:28" s="5" customFormat="1" ht="12" customHeight="1">
      <c r="A10" s="24" t="s">
        <v>9</v>
      </c>
      <c r="B10" s="25">
        <v>15758.501110992993</v>
      </c>
      <c r="C10" s="25">
        <v>7557.6244487929825</v>
      </c>
      <c r="D10" s="26">
        <v>8200.8766622054736</v>
      </c>
      <c r="E10" s="25">
        <v>2404.5380358511079</v>
      </c>
      <c r="F10" s="25">
        <v>1087.4025512447511</v>
      </c>
      <c r="G10" s="26">
        <v>1317.135484606313</v>
      </c>
      <c r="H10" s="25">
        <v>13353.963075143371</v>
      </c>
      <c r="I10" s="25">
        <v>6470.2218975480464</v>
      </c>
      <c r="J10" s="27">
        <v>6883.7411775989376</v>
      </c>
      <c r="K10" s="25">
        <v>16290.063309047913</v>
      </c>
      <c r="L10" s="25">
        <v>7812.5565286762212</v>
      </c>
      <c r="M10" s="25">
        <v>8477.5067803763741</v>
      </c>
      <c r="N10" s="28">
        <v>2485.6473694508163</v>
      </c>
      <c r="O10" s="25">
        <v>1124.0825683504033</v>
      </c>
      <c r="P10" s="26">
        <v>1361.5648011004896</v>
      </c>
      <c r="Q10" s="25">
        <v>13804.415939598402</v>
      </c>
      <c r="R10" s="25">
        <v>6688.473960325603</v>
      </c>
      <c r="S10" s="27">
        <v>7115.9419792758381</v>
      </c>
      <c r="T10" s="25">
        <v>16837.935263192659</v>
      </c>
      <c r="U10" s="25">
        <v>8075.31060955258</v>
      </c>
      <c r="V10" s="25">
        <v>8762.6246536393264</v>
      </c>
      <c r="W10" s="28">
        <v>2569.2453552757893</v>
      </c>
      <c r="X10" s="25">
        <v>1161.8880269081976</v>
      </c>
      <c r="Y10" s="26">
        <v>1407.3573283676612</v>
      </c>
      <c r="Z10" s="25">
        <v>14268.689907916669</v>
      </c>
      <c r="AA10" s="25">
        <v>6913.4225826440324</v>
      </c>
      <c r="AB10" s="27">
        <v>7355.2673252712266</v>
      </c>
    </row>
    <row r="11" spans="1:28" s="5" customFormat="1" ht="12" customHeight="1">
      <c r="A11" s="29" t="s">
        <v>10</v>
      </c>
      <c r="B11" s="25">
        <v>13250.288725728982</v>
      </c>
      <c r="C11" s="25">
        <v>6509.0997785784721</v>
      </c>
      <c r="D11" s="26">
        <v>6741.1889471540435</v>
      </c>
      <c r="E11" s="30">
        <v>1890.8787592067265</v>
      </c>
      <c r="F11" s="30">
        <v>901.2599693415367</v>
      </c>
      <c r="G11" s="31">
        <v>989.61878986521435</v>
      </c>
      <c r="H11" s="30">
        <v>11359.409966523375</v>
      </c>
      <c r="I11" s="30">
        <v>5607.8398092367861</v>
      </c>
      <c r="J11" s="32">
        <v>5751.5701572886628</v>
      </c>
      <c r="K11" s="25">
        <v>13697.244470459962</v>
      </c>
      <c r="L11" s="25">
        <v>6728.6632612525482</v>
      </c>
      <c r="M11" s="25">
        <v>6968.5812092103724</v>
      </c>
      <c r="N11" s="33">
        <v>1954.661454173782</v>
      </c>
      <c r="O11" s="30">
        <v>931.66106694264124</v>
      </c>
      <c r="P11" s="31">
        <v>1023.000387231136</v>
      </c>
      <c r="Q11" s="30">
        <v>11742.58301628727</v>
      </c>
      <c r="R11" s="30">
        <v>5797.0021943097281</v>
      </c>
      <c r="S11" s="32">
        <v>5945.5808219790406</v>
      </c>
      <c r="T11" s="25">
        <v>14157.91401802723</v>
      </c>
      <c r="U11" s="25">
        <v>6954.9635413525721</v>
      </c>
      <c r="V11" s="25">
        <v>7202.950476673248</v>
      </c>
      <c r="W11" s="33">
        <v>2020.4011735510396</v>
      </c>
      <c r="X11" s="30">
        <v>962.99495187949844</v>
      </c>
      <c r="Y11" s="31">
        <v>1057.4062216716054</v>
      </c>
      <c r="Z11" s="30">
        <v>12137.51284447553</v>
      </c>
      <c r="AA11" s="30">
        <v>5991.96858947279</v>
      </c>
      <c r="AB11" s="32">
        <v>6145.5442550013304</v>
      </c>
    </row>
    <row r="12" spans="1:28" s="5" customFormat="1" ht="12" customHeight="1">
      <c r="A12" s="29" t="s">
        <v>11</v>
      </c>
      <c r="B12" s="30">
        <v>9675.9822732420726</v>
      </c>
      <c r="C12" s="30">
        <v>4823.1620450143237</v>
      </c>
      <c r="D12" s="31">
        <v>4852.8202282273342</v>
      </c>
      <c r="E12" s="25">
        <v>1342.032790388231</v>
      </c>
      <c r="F12" s="25">
        <v>636.41518144561599</v>
      </c>
      <c r="G12" s="26">
        <v>705.61760894261499</v>
      </c>
      <c r="H12" s="25">
        <v>8333.9494828543357</v>
      </c>
      <c r="I12" s="25">
        <v>4186.7468635684736</v>
      </c>
      <c r="J12" s="27">
        <v>4147.2026192844596</v>
      </c>
      <c r="K12" s="30">
        <v>10002.37032050999</v>
      </c>
      <c r="L12" s="30">
        <v>4985.8558570818577</v>
      </c>
      <c r="M12" s="30">
        <v>5016.514463428256</v>
      </c>
      <c r="N12" s="28">
        <v>1387.3019371742034</v>
      </c>
      <c r="O12" s="25">
        <v>657.88259451630631</v>
      </c>
      <c r="P12" s="26">
        <v>729.41934265788325</v>
      </c>
      <c r="Q12" s="25">
        <v>8615.0683833364546</v>
      </c>
      <c r="R12" s="25">
        <v>4327.9732625653942</v>
      </c>
      <c r="S12" s="27">
        <v>4287.0951207701964</v>
      </c>
      <c r="T12" s="30">
        <v>10338.772829790159</v>
      </c>
      <c r="U12" s="30">
        <v>5153.541552320894</v>
      </c>
      <c r="V12" s="30">
        <v>5185.2312774696838</v>
      </c>
      <c r="W12" s="28">
        <v>1433.9600629824936</v>
      </c>
      <c r="X12" s="25">
        <v>680.00868548433095</v>
      </c>
      <c r="Y12" s="26">
        <v>753.95137749816126</v>
      </c>
      <c r="Z12" s="25">
        <v>8904.8127668084053</v>
      </c>
      <c r="AA12" s="25">
        <v>4473.5328668364446</v>
      </c>
      <c r="AB12" s="27">
        <v>4431.2798999713914</v>
      </c>
    </row>
    <row r="13" spans="1:28" s="5" customFormat="1" ht="12" customHeight="1">
      <c r="A13" s="29" t="s">
        <v>12</v>
      </c>
      <c r="B13" s="30">
        <v>6826.3251695264071</v>
      </c>
      <c r="C13" s="30">
        <v>3292.0583366429532</v>
      </c>
      <c r="D13" s="31">
        <v>3534.2668328824498</v>
      </c>
      <c r="E13" s="30">
        <v>1024.4430784823605</v>
      </c>
      <c r="F13" s="30">
        <v>463.40911270311841</v>
      </c>
      <c r="G13" s="31">
        <v>561.03396577924207</v>
      </c>
      <c r="H13" s="30">
        <v>5801.8820910436698</v>
      </c>
      <c r="I13" s="30">
        <v>2828.6492239398349</v>
      </c>
      <c r="J13" s="32">
        <v>2973.2328671032078</v>
      </c>
      <c r="K13" s="30">
        <v>7056.589227394843</v>
      </c>
      <c r="L13" s="30">
        <v>3403.1053044492919</v>
      </c>
      <c r="M13" s="30">
        <v>3653.4839229447889</v>
      </c>
      <c r="N13" s="33">
        <v>1058.9993608815801</v>
      </c>
      <c r="O13" s="30">
        <v>479.04072416236255</v>
      </c>
      <c r="P13" s="31">
        <v>579.95863671923144</v>
      </c>
      <c r="Q13" s="30">
        <v>5997.5898665130017</v>
      </c>
      <c r="R13" s="30">
        <v>2924.064580286989</v>
      </c>
      <c r="S13" s="32">
        <v>3073.5252862256275</v>
      </c>
      <c r="T13" s="30">
        <v>7293.9184050787435</v>
      </c>
      <c r="U13" s="30">
        <v>3517.5594915148163</v>
      </c>
      <c r="V13" s="30">
        <v>3776.3589135631778</v>
      </c>
      <c r="W13" s="33">
        <v>1094.6159228475938</v>
      </c>
      <c r="X13" s="30">
        <v>495.15195544975518</v>
      </c>
      <c r="Y13" s="31">
        <v>599.46396739783722</v>
      </c>
      <c r="Z13" s="30">
        <v>6199.3024822309599</v>
      </c>
      <c r="AA13" s="30">
        <v>3022.407536065145</v>
      </c>
      <c r="AB13" s="32">
        <v>3176.8949461654424</v>
      </c>
    </row>
    <row r="14" spans="1:28" s="5" customFormat="1" ht="12" customHeight="1">
      <c r="A14" s="29" t="s">
        <v>13</v>
      </c>
      <c r="B14" s="30">
        <v>4662.5135526105169</v>
      </c>
      <c r="C14" s="30">
        <v>2111.9097962923452</v>
      </c>
      <c r="D14" s="31">
        <v>2550.6037563179639</v>
      </c>
      <c r="E14" s="30">
        <v>700.67457840711506</v>
      </c>
      <c r="F14" s="30">
        <v>321.29698480749545</v>
      </c>
      <c r="G14" s="31">
        <v>379.37759359961962</v>
      </c>
      <c r="H14" s="30">
        <v>3961.8389742031936</v>
      </c>
      <c r="I14" s="30">
        <v>1790.6128114848495</v>
      </c>
      <c r="J14" s="32">
        <v>2171.2261627183443</v>
      </c>
      <c r="K14" s="30">
        <v>4819.7884060388669</v>
      </c>
      <c r="L14" s="30">
        <v>2183.1482602492938</v>
      </c>
      <c r="M14" s="30">
        <v>2636.6401457896072</v>
      </c>
      <c r="N14" s="33">
        <v>724.3095749334849</v>
      </c>
      <c r="O14" s="30">
        <v>332.13490208590338</v>
      </c>
      <c r="P14" s="31">
        <v>392.17467284758669</v>
      </c>
      <c r="Q14" s="30">
        <v>4095.4788311052071</v>
      </c>
      <c r="R14" s="30">
        <v>1851.0133581633952</v>
      </c>
      <c r="S14" s="32">
        <v>2244.4654729420686</v>
      </c>
      <c r="T14" s="30">
        <v>4981.8888744316155</v>
      </c>
      <c r="U14" s="30">
        <v>2256.5725116363201</v>
      </c>
      <c r="V14" s="30">
        <v>2725.3163627953422</v>
      </c>
      <c r="W14" s="33">
        <v>748.66975664003053</v>
      </c>
      <c r="X14" s="30">
        <v>343.30535577849651</v>
      </c>
      <c r="Y14" s="31">
        <v>405.36440086153266</v>
      </c>
      <c r="Z14" s="30">
        <v>4233.2191177914547</v>
      </c>
      <c r="AA14" s="30">
        <v>1913.2671558578579</v>
      </c>
      <c r="AB14" s="32">
        <v>2319.951961933878</v>
      </c>
    </row>
    <row r="15" spans="1:28" s="5" customFormat="1" ht="12" customHeight="1">
      <c r="A15" s="29" t="s">
        <v>14</v>
      </c>
      <c r="B15" s="30">
        <v>5740.887123223999</v>
      </c>
      <c r="C15" s="30">
        <v>2476.9948320461635</v>
      </c>
      <c r="D15" s="31">
        <v>3263.8922911777418</v>
      </c>
      <c r="E15" s="30">
        <v>836.38786536619216</v>
      </c>
      <c r="F15" s="30">
        <v>373.65256707187888</v>
      </c>
      <c r="G15" s="31">
        <v>462.73529829431351</v>
      </c>
      <c r="H15" s="30">
        <v>4904.4992578577303</v>
      </c>
      <c r="I15" s="30">
        <v>2103.3422649742506</v>
      </c>
      <c r="J15" s="32">
        <v>2801.156992883386</v>
      </c>
      <c r="K15" s="30">
        <v>5934.537430224299</v>
      </c>
      <c r="L15" s="30">
        <v>2560.5482619197714</v>
      </c>
      <c r="M15" s="30">
        <v>3373.9891683038745</v>
      </c>
      <c r="N15" s="33">
        <v>864.60071181706599</v>
      </c>
      <c r="O15" s="30">
        <v>386.25653101886695</v>
      </c>
      <c r="P15" s="31">
        <v>478.34418079819937</v>
      </c>
      <c r="Q15" s="30">
        <v>5069.936718406926</v>
      </c>
      <c r="R15" s="30">
        <v>2174.2917309009049</v>
      </c>
      <c r="S15" s="32">
        <v>2895.6449875056755</v>
      </c>
      <c r="T15" s="30">
        <v>6134.1294488124495</v>
      </c>
      <c r="U15" s="30">
        <v>2646.6653354576024</v>
      </c>
      <c r="V15" s="30">
        <v>3487.4641133551318</v>
      </c>
      <c r="W15" s="33">
        <v>893.67920418049039</v>
      </c>
      <c r="X15" s="30">
        <v>399.24721843566948</v>
      </c>
      <c r="Y15" s="31">
        <v>494.43198574483603</v>
      </c>
      <c r="Z15" s="30">
        <v>5240.4502446320566</v>
      </c>
      <c r="AA15" s="30">
        <v>2247.4181170219831</v>
      </c>
      <c r="AB15" s="32">
        <v>2993.0321276103582</v>
      </c>
    </row>
    <row r="16" spans="1:28" s="5" customFormat="1" ht="12" customHeight="1">
      <c r="A16" s="29" t="s">
        <v>15</v>
      </c>
      <c r="B16" s="30">
        <v>4429.3913580047019</v>
      </c>
      <c r="C16" s="30">
        <v>2026.6321353104804</v>
      </c>
      <c r="D16" s="31">
        <v>2402.7592226941279</v>
      </c>
      <c r="E16" s="30">
        <v>586.46131388102833</v>
      </c>
      <c r="F16" s="30">
        <v>287.04435616117854</v>
      </c>
      <c r="G16" s="31">
        <v>299.41695771985002</v>
      </c>
      <c r="H16" s="30">
        <v>3842.9300441236201</v>
      </c>
      <c r="I16" s="30">
        <v>1739.5877791492758</v>
      </c>
      <c r="J16" s="32">
        <v>2103.3422649742506</v>
      </c>
      <c r="K16" s="30">
        <v>4578.8025862503118</v>
      </c>
      <c r="L16" s="30">
        <v>2094.9940324798131</v>
      </c>
      <c r="M16" s="30">
        <v>2483.8085537703278</v>
      </c>
      <c r="N16" s="33">
        <v>606.24369438060558</v>
      </c>
      <c r="O16" s="30">
        <v>296.72687151118265</v>
      </c>
      <c r="P16" s="31">
        <v>309.51682286942327</v>
      </c>
      <c r="Q16" s="30">
        <v>3972.5588918695353</v>
      </c>
      <c r="R16" s="30">
        <v>1798.2671609686308</v>
      </c>
      <c r="S16" s="32">
        <v>2174.2917309009049</v>
      </c>
      <c r="T16" s="30">
        <v>4732.7981523165672</v>
      </c>
      <c r="U16" s="30">
        <v>2165.4534562835447</v>
      </c>
      <c r="V16" s="30">
        <v>2567.3446960333072</v>
      </c>
      <c r="W16" s="33">
        <v>626.63305145200684</v>
      </c>
      <c r="X16" s="30">
        <v>306.70647244064645</v>
      </c>
      <c r="Y16" s="31">
        <v>319.92657901136403</v>
      </c>
      <c r="Z16" s="30">
        <v>4106.165100864635</v>
      </c>
      <c r="AA16" s="30">
        <v>1858.7469838429038</v>
      </c>
      <c r="AB16" s="32">
        <v>2247.4181170219831</v>
      </c>
    </row>
    <row r="17" spans="1:28" s="5" customFormat="1" ht="12" customHeight="1">
      <c r="A17" s="29" t="s">
        <v>16</v>
      </c>
      <c r="B17" s="30">
        <v>3704.3569066664868</v>
      </c>
      <c r="C17" s="30">
        <v>1641.8442268357621</v>
      </c>
      <c r="D17" s="31">
        <v>2062.512679830631</v>
      </c>
      <c r="E17" s="30">
        <v>455.31173735911062</v>
      </c>
      <c r="F17" s="30">
        <v>215.28326712088398</v>
      </c>
      <c r="G17" s="31">
        <v>240.02847023822693</v>
      </c>
      <c r="H17" s="30">
        <v>3249.0451693073346</v>
      </c>
      <c r="I17" s="30">
        <v>1426.5609597148587</v>
      </c>
      <c r="J17" s="32">
        <v>1822.4842095923823</v>
      </c>
      <c r="K17" s="30">
        <v>3829.3114366572404</v>
      </c>
      <c r="L17" s="30">
        <v>1697.22654523853</v>
      </c>
      <c r="M17" s="30">
        <v>2132.0848914187109</v>
      </c>
      <c r="N17" s="33">
        <v>470.67020998325501</v>
      </c>
      <c r="O17" s="30">
        <v>222.54515363338706</v>
      </c>
      <c r="P17" s="31">
        <v>248.12505634986829</v>
      </c>
      <c r="Q17" s="30">
        <v>3358.6412266739858</v>
      </c>
      <c r="R17" s="30">
        <v>1474.6813916051433</v>
      </c>
      <c r="S17" s="32">
        <v>1883.9598350688429</v>
      </c>
      <c r="T17" s="30">
        <v>3958.0999072726167</v>
      </c>
      <c r="U17" s="30">
        <v>1754.3081419342304</v>
      </c>
      <c r="V17" s="30">
        <v>2203.7917653386207</v>
      </c>
      <c r="W17" s="33">
        <v>486.49992180240548</v>
      </c>
      <c r="X17" s="30">
        <v>230.02985433048451</v>
      </c>
      <c r="Y17" s="31">
        <v>256.47006747191966</v>
      </c>
      <c r="Z17" s="30">
        <v>3471.5999854702727</v>
      </c>
      <c r="AA17" s="30">
        <v>1524.2782876037347</v>
      </c>
      <c r="AB17" s="32">
        <v>1947.3216978667153</v>
      </c>
    </row>
    <row r="18" spans="1:28" s="5" customFormat="1" ht="12" customHeight="1">
      <c r="A18" s="29" t="s">
        <v>17</v>
      </c>
      <c r="B18" s="30">
        <v>3189.6566818257061</v>
      </c>
      <c r="C18" s="30">
        <v>1420.3746589355223</v>
      </c>
      <c r="D18" s="31">
        <v>1769.28202289009</v>
      </c>
      <c r="E18" s="30">
        <v>413.2448920596276</v>
      </c>
      <c r="F18" s="30">
        <v>202.9106655622125</v>
      </c>
      <c r="G18" s="31">
        <v>210.33422649741539</v>
      </c>
      <c r="H18" s="30">
        <v>2776.4117897660408</v>
      </c>
      <c r="I18" s="30">
        <v>1217.4639933732915</v>
      </c>
      <c r="J18" s="32">
        <v>1558.9477963926556</v>
      </c>
      <c r="K18" s="30">
        <v>3297.2494601544308</v>
      </c>
      <c r="L18" s="30">
        <v>1468.286415926023</v>
      </c>
      <c r="M18" s="30">
        <v>1828.9630442284083</v>
      </c>
      <c r="N18" s="33">
        <v>427.18437536523692</v>
      </c>
      <c r="O18" s="30">
        <v>209.75520227514644</v>
      </c>
      <c r="P18" s="31">
        <v>217.42917309009081</v>
      </c>
      <c r="Q18" s="30">
        <v>2870.0650847891943</v>
      </c>
      <c r="R18" s="30">
        <v>1258.5312136508769</v>
      </c>
      <c r="S18" s="32">
        <v>1611.5338711383179</v>
      </c>
      <c r="T18" s="30">
        <v>3408.1434739308365</v>
      </c>
      <c r="U18" s="30">
        <v>1517.6682343183757</v>
      </c>
      <c r="V18" s="30">
        <v>1890.4752396126273</v>
      </c>
      <c r="W18" s="33">
        <v>441.55155946196572</v>
      </c>
      <c r="X18" s="30">
        <v>216.80974775976694</v>
      </c>
      <c r="Y18" s="31">
        <v>224.74181170219748</v>
      </c>
      <c r="Z18" s="30">
        <v>2966.5919144689265</v>
      </c>
      <c r="AA18" s="30">
        <v>1300.8584865585981</v>
      </c>
      <c r="AB18" s="32">
        <v>1665.7334279104189</v>
      </c>
    </row>
    <row r="19" spans="1:28" s="5" customFormat="1" ht="12" customHeight="1">
      <c r="A19" s="29" t="s">
        <v>18</v>
      </c>
      <c r="B19" s="30">
        <v>2059.356063209912</v>
      </c>
      <c r="C19" s="30">
        <v>851.75572467321786</v>
      </c>
      <c r="D19" s="31">
        <v>1207.6003385366951</v>
      </c>
      <c r="E19" s="30">
        <v>235.96788224280334</v>
      </c>
      <c r="F19" s="30">
        <v>103.47254729363603</v>
      </c>
      <c r="G19" s="31">
        <v>132.49533494916813</v>
      </c>
      <c r="H19" s="30">
        <v>1823.3881809671095</v>
      </c>
      <c r="I19" s="30">
        <v>748.28317737958264</v>
      </c>
      <c r="J19" s="32">
        <v>1075.105003587528</v>
      </c>
      <c r="K19" s="30">
        <v>2128.8217965196523</v>
      </c>
      <c r="L19" s="30">
        <v>880.48695628110625</v>
      </c>
      <c r="M19" s="30">
        <v>1248.3348402385461</v>
      </c>
      <c r="N19" s="33">
        <v>243.92749751787684</v>
      </c>
      <c r="O19" s="30">
        <v>106.96285987414919</v>
      </c>
      <c r="P19" s="31">
        <v>136.96463764372763</v>
      </c>
      <c r="Q19" s="30">
        <v>1884.8942990017756</v>
      </c>
      <c r="R19" s="30">
        <v>773.52409640695703</v>
      </c>
      <c r="S19" s="32">
        <v>1111.3702025948185</v>
      </c>
      <c r="T19" s="30">
        <v>2200.4189251214666</v>
      </c>
      <c r="U19" s="30">
        <v>910.09973925062445</v>
      </c>
      <c r="V19" s="30">
        <v>1290.3191858708717</v>
      </c>
      <c r="W19" s="33">
        <v>252.1313351701686</v>
      </c>
      <c r="X19" s="30">
        <v>110.56026462007412</v>
      </c>
      <c r="Y19" s="31">
        <v>141.57107055009482</v>
      </c>
      <c r="Z19" s="30">
        <v>1948.2875899512831</v>
      </c>
      <c r="AA19" s="30">
        <v>799.53947463054601</v>
      </c>
      <c r="AB19" s="32">
        <v>1148.7481153207832</v>
      </c>
    </row>
    <row r="20" spans="1:28" s="5" customFormat="1" ht="12" customHeight="1">
      <c r="A20" s="29" t="s">
        <v>19</v>
      </c>
      <c r="B20" s="30">
        <v>1606.3482037170454</v>
      </c>
      <c r="C20" s="30">
        <v>670.04783674293162</v>
      </c>
      <c r="D20" s="31">
        <v>936.30036697411492</v>
      </c>
      <c r="E20" s="30">
        <v>224.61113924716045</v>
      </c>
      <c r="F20" s="30">
        <v>92.115804297993009</v>
      </c>
      <c r="G20" s="31">
        <v>132.49533494916813</v>
      </c>
      <c r="H20" s="30">
        <v>1381.737064469886</v>
      </c>
      <c r="I20" s="30">
        <v>577.9320324449393</v>
      </c>
      <c r="J20" s="32">
        <v>803.80503202494788</v>
      </c>
      <c r="K20" s="30">
        <v>1660.5331782901455</v>
      </c>
      <c r="L20" s="30">
        <v>692.64973894113689</v>
      </c>
      <c r="M20" s="30">
        <v>967.88343934900865</v>
      </c>
      <c r="N20" s="33">
        <v>232.18767143412876</v>
      </c>
      <c r="O20" s="30">
        <v>95.223033790401104</v>
      </c>
      <c r="P20" s="31">
        <v>136.96463764372763</v>
      </c>
      <c r="Q20" s="30">
        <v>1428.3455068560168</v>
      </c>
      <c r="R20" s="30">
        <v>597.42670515073576</v>
      </c>
      <c r="S20" s="32">
        <v>830.918801705281</v>
      </c>
      <c r="T20" s="30">
        <v>1716.3806934311381</v>
      </c>
      <c r="U20" s="30">
        <v>715.9451282104867</v>
      </c>
      <c r="V20" s="30">
        <v>1000.4355652206885</v>
      </c>
      <c r="W20" s="33">
        <v>239.9966719801605</v>
      </c>
      <c r="X20" s="30">
        <v>98.425601430066024</v>
      </c>
      <c r="Y20" s="31">
        <v>141.57107055009482</v>
      </c>
      <c r="Z20" s="30">
        <v>1476.384021450988</v>
      </c>
      <c r="AA20" s="30">
        <v>617.51952678041687</v>
      </c>
      <c r="AB20" s="32">
        <v>858.8644946705881</v>
      </c>
    </row>
    <row r="21" spans="1:28" s="5" customFormat="1" ht="12" customHeight="1">
      <c r="A21" s="29" t="s">
        <v>20</v>
      </c>
      <c r="B21" s="30">
        <v>957.75199263255149</v>
      </c>
      <c r="C21" s="30">
        <v>429.03251316873246</v>
      </c>
      <c r="D21" s="31">
        <v>528.71947946382011</v>
      </c>
      <c r="E21" s="30">
        <v>150.16137960905706</v>
      </c>
      <c r="F21" s="30">
        <v>75.711619970953095</v>
      </c>
      <c r="G21" s="31">
        <v>74.44975963810387</v>
      </c>
      <c r="H21" s="30">
        <v>807.59061302349551</v>
      </c>
      <c r="I21" s="30">
        <v>353.32089319777987</v>
      </c>
      <c r="J21" s="32">
        <v>454.26971982571666</v>
      </c>
      <c r="K21" s="30">
        <v>990.05866639608837</v>
      </c>
      <c r="L21" s="30">
        <v>443.50454094159426</v>
      </c>
      <c r="M21" s="30">
        <v>546.55412545449406</v>
      </c>
      <c r="N21" s="33">
        <v>155.22658932955798</v>
      </c>
      <c r="O21" s="30">
        <v>78.265507224987203</v>
      </c>
      <c r="P21" s="31">
        <v>76.96108210457075</v>
      </c>
      <c r="Q21" s="30">
        <v>834.83207706653036</v>
      </c>
      <c r="R21" s="30">
        <v>365.23903371660703</v>
      </c>
      <c r="S21" s="32">
        <v>469.59304334992333</v>
      </c>
      <c r="T21" s="30">
        <v>1023.3565956907048</v>
      </c>
      <c r="U21" s="30">
        <v>458.42060940030626</v>
      </c>
      <c r="V21" s="30">
        <v>564.93598629037956</v>
      </c>
      <c r="W21" s="33">
        <v>160.44721329010741</v>
      </c>
      <c r="X21" s="30">
        <v>80.897754600054327</v>
      </c>
      <c r="Y21" s="31">
        <v>79.549458690053427</v>
      </c>
      <c r="Z21" s="30">
        <v>862.90938240059097</v>
      </c>
      <c r="AA21" s="30">
        <v>377.52285480025228</v>
      </c>
      <c r="AB21" s="32">
        <v>485.38652760032426</v>
      </c>
    </row>
    <row r="22" spans="1:28" s="5" customFormat="1" ht="12" customHeight="1">
      <c r="A22" s="29" t="s">
        <v>29</v>
      </c>
      <c r="B22" s="30">
        <v>694.02318306706661</v>
      </c>
      <c r="C22" s="30">
        <v>330.60740720649409</v>
      </c>
      <c r="D22" s="31">
        <v>363.41577586057355</v>
      </c>
      <c r="E22" s="30">
        <v>117.35301095497749</v>
      </c>
      <c r="F22" s="30">
        <v>59.307435643913209</v>
      </c>
      <c r="G22" s="31">
        <v>58.045575311063992</v>
      </c>
      <c r="H22" s="30">
        <v>576.67017211209009</v>
      </c>
      <c r="I22" s="30">
        <v>271.29997156258122</v>
      </c>
      <c r="J22" s="32">
        <v>305.37020054950989</v>
      </c>
      <c r="K22" s="30">
        <v>717.43381622904951</v>
      </c>
      <c r="L22" s="30">
        <v>341.75938154911086</v>
      </c>
      <c r="M22" s="30">
        <v>375.67443467993866</v>
      </c>
      <c r="N22" s="33">
        <v>121.31153619873018</v>
      </c>
      <c r="O22" s="30">
        <v>61.30798065957331</v>
      </c>
      <c r="P22" s="31">
        <v>60.003555539156856</v>
      </c>
      <c r="Q22" s="30">
        <v>596.1222800303193</v>
      </c>
      <c r="R22" s="30">
        <v>280.45140088953752</v>
      </c>
      <c r="S22" s="32">
        <v>315.67087914078178</v>
      </c>
      <c r="T22" s="30">
        <v>741.56275050050488</v>
      </c>
      <c r="U22" s="30">
        <v>353.25352842023608</v>
      </c>
      <c r="V22" s="30">
        <v>388.30922208025947</v>
      </c>
      <c r="W22" s="33">
        <v>125.39151963008402</v>
      </c>
      <c r="X22" s="30">
        <v>63.369907770042623</v>
      </c>
      <c r="Y22" s="31">
        <v>62.021611860041716</v>
      </c>
      <c r="Z22" s="30">
        <v>616.17123087041591</v>
      </c>
      <c r="AA22" s="30">
        <v>289.88362065019379</v>
      </c>
      <c r="AB22" s="32">
        <v>326.28761022021808</v>
      </c>
    </row>
    <row r="23" spans="1:28" s="5" customFormat="1" ht="12" customHeight="1">
      <c r="A23" s="29" t="s">
        <v>30</v>
      </c>
      <c r="B23" s="30">
        <v>150.16137960905706</v>
      </c>
      <c r="C23" s="30">
        <v>69.402318306706974</v>
      </c>
      <c r="D23" s="31">
        <v>80.759061302349991</v>
      </c>
      <c r="E23" s="30">
        <v>25.237206656984345</v>
      </c>
      <c r="F23" s="30">
        <v>11.356742995642955</v>
      </c>
      <c r="G23" s="31">
        <v>13.880463661341389</v>
      </c>
      <c r="H23" s="30">
        <v>124.92417295207284</v>
      </c>
      <c r="I23" s="30">
        <v>58.045575311063992</v>
      </c>
      <c r="J23" s="32">
        <v>66.878597641008525</v>
      </c>
      <c r="K23" s="30">
        <v>155.22658932955798</v>
      </c>
      <c r="L23" s="30">
        <v>71.743381622904934</v>
      </c>
      <c r="M23" s="30">
        <v>83.483207706653019</v>
      </c>
      <c r="N23" s="33">
        <v>26.088502408329056</v>
      </c>
      <c r="O23" s="30">
        <v>11.739826083748069</v>
      </c>
      <c r="P23" s="31">
        <v>14.348676324580973</v>
      </c>
      <c r="Q23" s="30">
        <v>129.1380869212289</v>
      </c>
      <c r="R23" s="30">
        <v>60.003555539156856</v>
      </c>
      <c r="S23" s="32">
        <v>69.134531382072026</v>
      </c>
      <c r="T23" s="30">
        <v>160.44721329010741</v>
      </c>
      <c r="U23" s="30">
        <v>74.156275050049828</v>
      </c>
      <c r="V23" s="30">
        <v>86.290938240057926</v>
      </c>
      <c r="W23" s="33">
        <v>26.965918200018137</v>
      </c>
      <c r="X23" s="30">
        <v>12.134663190008162</v>
      </c>
      <c r="Y23" s="31">
        <v>14.831255010009976</v>
      </c>
      <c r="Z23" s="30">
        <v>133.48129509008942</v>
      </c>
      <c r="AA23" s="30">
        <v>62.021611860041716</v>
      </c>
      <c r="AB23" s="32">
        <v>71.459683230048029</v>
      </c>
    </row>
    <row r="24" spans="1:28" s="5" customFormat="1" ht="12" customHeight="1">
      <c r="A24" s="29" t="s">
        <v>32</v>
      </c>
      <c r="B24" s="30">
        <v>92.115804297993009</v>
      </c>
      <c r="C24" s="30">
        <v>50.474413313968689</v>
      </c>
      <c r="D24" s="31">
        <v>41.64139098402417</v>
      </c>
      <c r="E24" s="30">
        <v>18.927904992738259</v>
      </c>
      <c r="F24" s="30">
        <v>11.356742995642955</v>
      </c>
      <c r="G24" s="31">
        <v>7.5711619970953041</v>
      </c>
      <c r="H24" s="30">
        <v>73.187899305254646</v>
      </c>
      <c r="I24" s="30">
        <v>39.117670318325736</v>
      </c>
      <c r="J24" s="32">
        <v>34.070228986928868</v>
      </c>
      <c r="K24" s="30">
        <v>95.223033790401104</v>
      </c>
      <c r="L24" s="30">
        <v>52.177004816658133</v>
      </c>
      <c r="M24" s="30">
        <v>43.046028973742956</v>
      </c>
      <c r="N24" s="33">
        <v>19.566376806246787</v>
      </c>
      <c r="O24" s="30">
        <v>11.739826083748069</v>
      </c>
      <c r="P24" s="31">
        <v>7.8265507224987125</v>
      </c>
      <c r="Q24" s="30">
        <v>75.656656984154296</v>
      </c>
      <c r="R24" s="30">
        <v>40.437178732910048</v>
      </c>
      <c r="S24" s="32">
        <v>35.219478251244233</v>
      </c>
      <c r="T24" s="30">
        <v>98.425601430066024</v>
      </c>
      <c r="U24" s="30">
        <v>53.931836400036275</v>
      </c>
      <c r="V24" s="30">
        <v>44.493765030029927</v>
      </c>
      <c r="W24" s="33">
        <v>20.224438650013603</v>
      </c>
      <c r="X24" s="30">
        <v>12.134663190008162</v>
      </c>
      <c r="Y24" s="31">
        <v>8.0897754600054412</v>
      </c>
      <c r="Z24" s="30">
        <v>78.201162780052528</v>
      </c>
      <c r="AA24" s="30">
        <v>41.797173210028113</v>
      </c>
      <c r="AB24" s="32">
        <v>36.403989570024486</v>
      </c>
    </row>
    <row r="25" spans="1:28" s="5" customFormat="1" ht="12" customHeight="1" thickBot="1">
      <c r="A25" s="34" t="s">
        <v>31</v>
      </c>
      <c r="B25" s="35">
        <v>49.212552981119472</v>
      </c>
      <c r="C25" s="35">
        <v>27.760927322682779</v>
      </c>
      <c r="D25" s="36">
        <v>21.451625658436694</v>
      </c>
      <c r="E25" s="35">
        <v>7.5711619970953041</v>
      </c>
      <c r="F25" s="35">
        <v>2.523720665698435</v>
      </c>
      <c r="G25" s="36">
        <v>5.04744133139687</v>
      </c>
      <c r="H25" s="35">
        <v>41.64139098402417</v>
      </c>
      <c r="I25" s="35">
        <v>25.237206656984345</v>
      </c>
      <c r="J25" s="37">
        <v>16.404184327039825</v>
      </c>
      <c r="K25" s="35">
        <v>50.872579696241679</v>
      </c>
      <c r="L25" s="35">
        <v>28.697352649161964</v>
      </c>
      <c r="M25" s="35">
        <v>22.175227047079694</v>
      </c>
      <c r="N25" s="38">
        <v>7.8265507224987125</v>
      </c>
      <c r="O25" s="35">
        <v>2.6088502408329042</v>
      </c>
      <c r="P25" s="36">
        <v>5.2177004816658084</v>
      </c>
      <c r="Q25" s="35">
        <v>43.046028973742956</v>
      </c>
      <c r="R25" s="35">
        <v>26.088502408329056</v>
      </c>
      <c r="S25" s="37">
        <v>16.957526565413879</v>
      </c>
      <c r="T25" s="35">
        <v>52.583540490035368</v>
      </c>
      <c r="U25" s="35">
        <v>29.662510020019951</v>
      </c>
      <c r="V25" s="35">
        <v>22.921030470015417</v>
      </c>
      <c r="W25" s="38">
        <v>8.0897754600054412</v>
      </c>
      <c r="X25" s="35">
        <v>2.6965918200018137</v>
      </c>
      <c r="Y25" s="36">
        <v>5.3931836400036275</v>
      </c>
      <c r="Z25" s="35">
        <v>44.493765030029927</v>
      </c>
      <c r="AA25" s="35">
        <v>26.965918200018137</v>
      </c>
      <c r="AB25" s="37">
        <v>17.527846830011789</v>
      </c>
    </row>
    <row r="26" spans="1:28" s="5" customFormat="1" ht="12" customHeight="1">
      <c r="A26" s="44" t="s">
        <v>72</v>
      </c>
      <c r="B26" s="40">
        <v>89827.766226638167</v>
      </c>
      <c r="C26" s="40">
        <v>44653.261365149134</v>
      </c>
      <c r="D26" s="41">
        <v>45174.504861534537</v>
      </c>
      <c r="E26" s="40">
        <v>13544.181742462966</v>
      </c>
      <c r="F26" s="40">
        <v>6712.9482734906987</v>
      </c>
      <c r="G26" s="41">
        <v>6831.2334689732788</v>
      </c>
      <c r="H26" s="40">
        <v>76283.58448420027</v>
      </c>
      <c r="I26" s="40">
        <v>37940.313091651347</v>
      </c>
      <c r="J26" s="42">
        <v>38343.271392554248</v>
      </c>
      <c r="K26" s="40">
        <v>92857.816135873494</v>
      </c>
      <c r="L26" s="40">
        <v>46159.495085840266</v>
      </c>
      <c r="M26" s="40">
        <v>46698.321050043465</v>
      </c>
      <c r="N26" s="43">
        <v>14001.051020015775</v>
      </c>
      <c r="O26" s="40">
        <v>6939.3879275257323</v>
      </c>
      <c r="P26" s="41">
        <v>7061.6630924898818</v>
      </c>
      <c r="Q26" s="40">
        <v>78856.765115853603</v>
      </c>
      <c r="R26" s="40">
        <v>39220.107158328959</v>
      </c>
      <c r="S26" s="42">
        <v>39636.657957568204</v>
      </c>
      <c r="T26" s="40">
        <v>95980.836115553888</v>
      </c>
      <c r="U26" s="40">
        <v>47711.94410307012</v>
      </c>
      <c r="V26" s="40">
        <v>48268.89201243475</v>
      </c>
      <c r="W26" s="43">
        <v>14471.938274214195</v>
      </c>
      <c r="X26" s="40">
        <v>7172.7753583939984</v>
      </c>
      <c r="Y26" s="41">
        <v>7299.1629158210108</v>
      </c>
      <c r="Z26" s="40">
        <v>81508.897841321435</v>
      </c>
      <c r="AA26" s="40">
        <v>40539.168744680399</v>
      </c>
      <c r="AB26" s="42">
        <v>40969.729096617943</v>
      </c>
    </row>
    <row r="27" spans="1:28" s="5" customFormat="1" ht="12" customHeight="1">
      <c r="A27" s="39" t="s">
        <v>22</v>
      </c>
      <c r="B27" s="40">
        <v>3681.8255277998815</v>
      </c>
      <c r="C27" s="40">
        <v>1670.0239354598264</v>
      </c>
      <c r="D27" s="41">
        <v>2011.8015923403796</v>
      </c>
      <c r="E27" s="40">
        <v>553.24543789360405</v>
      </c>
      <c r="F27" s="40">
        <v>245.75985360976196</v>
      </c>
      <c r="G27" s="41">
        <v>307.48558428384177</v>
      </c>
      <c r="H27" s="40">
        <v>3128.580089906387</v>
      </c>
      <c r="I27" s="40">
        <v>1424.264081850064</v>
      </c>
      <c r="J27" s="42">
        <v>1704.3160080565374</v>
      </c>
      <c r="K27" s="40">
        <v>3806.0200344111877</v>
      </c>
      <c r="L27" s="40">
        <v>1726.3568054253051</v>
      </c>
      <c r="M27" s="40">
        <v>2079.6632289859749</v>
      </c>
      <c r="N27" s="43">
        <v>571.9073879711666</v>
      </c>
      <c r="O27" s="40">
        <v>254.04976944999834</v>
      </c>
      <c r="P27" s="41">
        <v>317.85761852116218</v>
      </c>
      <c r="Q27" s="40">
        <v>3234.11264644007</v>
      </c>
      <c r="R27" s="40">
        <v>1472.3070359753251</v>
      </c>
      <c r="S27" s="42">
        <v>1761.8056104648372</v>
      </c>
      <c r="T27" s="40">
        <v>3934.0251620881968</v>
      </c>
      <c r="U27" s="40">
        <v>1784.4181191590192</v>
      </c>
      <c r="V27" s="40">
        <v>2149.6070429294145</v>
      </c>
      <c r="W27" s="43">
        <v>591.14193680556548</v>
      </c>
      <c r="X27" s="40">
        <v>262.59404217602605</v>
      </c>
      <c r="Y27" s="41">
        <v>328.54789462953954</v>
      </c>
      <c r="Z27" s="40">
        <v>3342.8832252826865</v>
      </c>
      <c r="AA27" s="40">
        <v>1521.8240769829688</v>
      </c>
      <c r="AB27" s="42">
        <v>1821.0591482998634</v>
      </c>
    </row>
    <row r="28" spans="1:28" s="5" customFormat="1" ht="12" customHeight="1" thickBot="1">
      <c r="A28" s="45" t="s">
        <v>21</v>
      </c>
      <c r="B28" s="46">
        <v>80436.850816061225</v>
      </c>
      <c r="C28" s="46">
        <v>37794.574287658528</v>
      </c>
      <c r="D28" s="47">
        <v>42642.276528439812</v>
      </c>
      <c r="E28" s="46">
        <v>11581.444099605242</v>
      </c>
      <c r="F28" s="46">
        <v>5381.7617400043509</v>
      </c>
      <c r="G28" s="47">
        <v>6199.6823596021741</v>
      </c>
      <c r="H28" s="46">
        <v>68855.406716506579</v>
      </c>
      <c r="I28" s="46">
        <v>32412.812547646692</v>
      </c>
      <c r="J28" s="48">
        <v>36442.594168828451</v>
      </c>
      <c r="K28" s="46">
        <v>83150.12848909921</v>
      </c>
      <c r="L28" s="46">
        <v>39069.452325952763</v>
      </c>
      <c r="M28" s="46">
        <v>44080.676163136981</v>
      </c>
      <c r="N28" s="49">
        <v>11972.106754566965</v>
      </c>
      <c r="O28" s="46">
        <v>5563.2981107397572</v>
      </c>
      <c r="P28" s="47">
        <v>6408.8086438278024</v>
      </c>
      <c r="Q28" s="46">
        <v>71178.021734541209</v>
      </c>
      <c r="R28" s="46">
        <v>33506.154215205621</v>
      </c>
      <c r="S28" s="48">
        <v>37671.867519302199</v>
      </c>
      <c r="T28" s="46">
        <v>85946.656809304826</v>
      </c>
      <c r="U28" s="46">
        <v>40383.447046946465</v>
      </c>
      <c r="V28" s="46">
        <v>45563.209762345861</v>
      </c>
      <c r="W28" s="49">
        <v>12374.75598915499</v>
      </c>
      <c r="X28" s="46">
        <v>5750.4045049603183</v>
      </c>
      <c r="Y28" s="47">
        <v>6624.3514841945489</v>
      </c>
      <c r="Z28" s="46">
        <v>73571.900820136681</v>
      </c>
      <c r="AA28" s="46">
        <v>34633.042541991155</v>
      </c>
      <c r="AB28" s="48">
        <v>38938.858278156731</v>
      </c>
    </row>
    <row r="29" spans="1:28" s="5" customFormat="1" ht="14.25" customHeight="1">
      <c r="A29" s="260" t="s">
        <v>119</v>
      </c>
      <c r="B29" s="54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AB29" s="50"/>
    </row>
    <row r="34" ht="11.25" customHeight="1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34"/>
  <sheetViews>
    <sheetView zoomScaleNormal="100" workbookViewId="0">
      <pane xSplit="1" topLeftCell="B1" activePane="topRight" state="frozen"/>
      <selection pane="topRight" activeCell="A29" sqref="A29"/>
    </sheetView>
  </sheetViews>
  <sheetFormatPr defaultColWidth="9.125" defaultRowHeight="12"/>
  <cols>
    <col min="1" max="1" width="13.75" style="1" customWidth="1"/>
    <col min="2" max="18" width="9.125" style="1"/>
    <col min="19" max="19" width="12" style="1" customWidth="1"/>
    <col min="20" max="20" width="8.75" style="1" customWidth="1"/>
    <col min="21" max="21" width="9.125" style="1"/>
    <col min="22" max="22" width="7.125" style="1" customWidth="1"/>
    <col min="23" max="29" width="9.125" style="1"/>
    <col min="30" max="30" width="0.875" style="1" customWidth="1"/>
    <col min="31" max="16384" width="9.125" style="1"/>
  </cols>
  <sheetData>
    <row r="1" spans="1:28" s="5" customFormat="1" ht="30" customHeight="1" thickBot="1">
      <c r="A1" s="55" t="s">
        <v>107</v>
      </c>
      <c r="B1" s="53"/>
      <c r="C1" s="53"/>
      <c r="D1" s="53"/>
      <c r="E1" s="53"/>
      <c r="F1" s="53"/>
      <c r="G1" s="53"/>
    </row>
    <row r="2" spans="1:28" s="5" customFormat="1" ht="13.5" customHeight="1">
      <c r="A2" s="241" t="s">
        <v>58</v>
      </c>
      <c r="B2" s="233" t="s">
        <v>57</v>
      </c>
      <c r="C2" s="233"/>
      <c r="D2" s="233"/>
      <c r="E2" s="233"/>
      <c r="F2" s="233"/>
      <c r="G2" s="233"/>
      <c r="H2" s="233"/>
      <c r="I2" s="233"/>
      <c r="J2" s="234"/>
      <c r="K2" s="233" t="s">
        <v>59</v>
      </c>
      <c r="L2" s="233"/>
      <c r="M2" s="233"/>
      <c r="N2" s="233"/>
      <c r="O2" s="233"/>
      <c r="P2" s="233"/>
      <c r="Q2" s="233"/>
      <c r="R2" s="233"/>
      <c r="S2" s="234"/>
      <c r="T2" s="233" t="s">
        <v>59</v>
      </c>
      <c r="U2" s="233"/>
      <c r="V2" s="233"/>
      <c r="W2" s="233"/>
      <c r="X2" s="233"/>
      <c r="Y2" s="233"/>
      <c r="Z2" s="233"/>
      <c r="AA2" s="233"/>
      <c r="AB2" s="234"/>
    </row>
    <row r="3" spans="1:28" s="5" customFormat="1" ht="17.25" customHeight="1" thickBot="1">
      <c r="A3" s="242"/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5"/>
      <c r="K3" s="11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5"/>
    </row>
    <row r="4" spans="1:28" s="5" customFormat="1" ht="12.75" customHeight="1" thickBot="1">
      <c r="A4" s="238"/>
      <c r="B4" s="9" t="s">
        <v>0</v>
      </c>
      <c r="C4" s="10" t="s">
        <v>3</v>
      </c>
      <c r="D4" s="16" t="s">
        <v>4</v>
      </c>
      <c r="E4" s="17" t="s">
        <v>0</v>
      </c>
      <c r="F4" s="10" t="s">
        <v>3</v>
      </c>
      <c r="G4" s="16" t="s">
        <v>4</v>
      </c>
      <c r="H4" s="17" t="s">
        <v>0</v>
      </c>
      <c r="I4" s="10" t="s">
        <v>3</v>
      </c>
      <c r="J4" s="18" t="s">
        <v>4</v>
      </c>
      <c r="K4" s="9" t="s">
        <v>0</v>
      </c>
      <c r="L4" s="10" t="s">
        <v>3</v>
      </c>
      <c r="M4" s="10" t="s">
        <v>4</v>
      </c>
      <c r="N4" s="19" t="s">
        <v>0</v>
      </c>
      <c r="O4" s="20" t="s">
        <v>3</v>
      </c>
      <c r="P4" s="21" t="s">
        <v>4</v>
      </c>
      <c r="Q4" s="17" t="s">
        <v>0</v>
      </c>
      <c r="R4" s="10" t="s">
        <v>3</v>
      </c>
      <c r="S4" s="18" t="s">
        <v>4</v>
      </c>
      <c r="T4" s="105" t="s">
        <v>0</v>
      </c>
      <c r="U4" s="20" t="s">
        <v>3</v>
      </c>
      <c r="V4" s="20" t="s">
        <v>4</v>
      </c>
      <c r="W4" s="19" t="s">
        <v>0</v>
      </c>
      <c r="X4" s="20" t="s">
        <v>3</v>
      </c>
      <c r="Y4" s="21" t="s">
        <v>4</v>
      </c>
      <c r="Z4" s="103" t="s">
        <v>0</v>
      </c>
      <c r="AA4" s="20" t="s">
        <v>3</v>
      </c>
      <c r="AB4" s="104" t="s">
        <v>4</v>
      </c>
    </row>
    <row r="5" spans="1:28" s="5" customFormat="1" ht="16.5" customHeight="1" thickBot="1">
      <c r="A5" s="22" t="s">
        <v>56</v>
      </c>
      <c r="B5" s="99">
        <f>+B6+B7+B8+B9+B10+B11+B12+B13+B14+B15+B16+B17+B18+B19+B20+B21+B22+B23+B24+B25</f>
        <v>78084.24991004316</v>
      </c>
      <c r="C5" s="99">
        <f t="shared" ref="C5:J5" si="0">+C6+C7+C8+C9+C10+C11+C12+C13+C14+C15+C16+C17+C18+C19+C20+C21+C22+C23+C24+C25</f>
        <v>37521.722897236075</v>
      </c>
      <c r="D5" s="99">
        <f t="shared" si="0"/>
        <v>40562.527012808627</v>
      </c>
      <c r="E5" s="98">
        <f t="shared" si="0"/>
        <v>32893.396562872556</v>
      </c>
      <c r="F5" s="99">
        <f t="shared" si="0"/>
        <v>15682.56581355587</v>
      </c>
      <c r="G5" s="99">
        <f t="shared" si="0"/>
        <v>17210.830749317007</v>
      </c>
      <c r="H5" s="98">
        <f t="shared" si="0"/>
        <v>45190.853347172146</v>
      </c>
      <c r="I5" s="99">
        <f t="shared" si="0"/>
        <v>21839.15708368093</v>
      </c>
      <c r="J5" s="95">
        <f t="shared" si="0"/>
        <v>23351.696263492071</v>
      </c>
      <c r="K5" s="96">
        <f>+K6+K7+K8+K9+K10+K11+K12+K13+K14+K15+K16+K17+K18+K19+K20+K21+K22+K23+K24+K25</f>
        <v>80718.170180970061</v>
      </c>
      <c r="L5" s="99">
        <f t="shared" ref="L5:S5" si="1">+L6+L7+L8+L9+L10+L11+L12+L13+L14+L15+L16+L17+L18+L19+L20+L21+L22+L23+L24+L25</f>
        <v>38787.397174096317</v>
      </c>
      <c r="M5" s="94">
        <f t="shared" si="1"/>
        <v>41930.773006873344</v>
      </c>
      <c r="N5" s="99">
        <f t="shared" si="1"/>
        <v>34002.949181823846</v>
      </c>
      <c r="O5" s="99">
        <f t="shared" si="1"/>
        <v>16211.566579318993</v>
      </c>
      <c r="P5" s="94">
        <f t="shared" si="1"/>
        <v>17791.382602505375</v>
      </c>
      <c r="Q5" s="99">
        <f t="shared" si="1"/>
        <v>46715.2209991458</v>
      </c>
      <c r="R5" s="99">
        <f t="shared" si="1"/>
        <v>22575.830594778265</v>
      </c>
      <c r="S5" s="99">
        <f t="shared" si="1"/>
        <v>24139.39040436894</v>
      </c>
      <c r="T5" s="96">
        <f>+T6+T7+T8+T9+T10+T11+T12+T13+T14+T15+T16+T17+T18+T19+T20+T21+T22+T23+T24+T25</f>
        <v>83432.906200867495</v>
      </c>
      <c r="U5" s="99">
        <f t="shared" ref="U5:AB5" si="2">+U6+U7+U8+U9+U10+U11+U12+U13+U14+U15+U16+U17+U18+U19+U20+U21+U22+U23+U24+U25</f>
        <v>40091.905737540394</v>
      </c>
      <c r="V5" s="94">
        <f t="shared" si="2"/>
        <v>43341.000463327291</v>
      </c>
      <c r="W5" s="99">
        <f t="shared" si="2"/>
        <v>35146.545855530232</v>
      </c>
      <c r="X5" s="99">
        <f t="shared" si="2"/>
        <v>16756.798509541743</v>
      </c>
      <c r="Y5" s="99">
        <f t="shared" si="2"/>
        <v>18389.74734598857</v>
      </c>
      <c r="Z5" s="98">
        <f t="shared" si="2"/>
        <v>48286.360345337489</v>
      </c>
      <c r="AA5" s="99">
        <f t="shared" si="2"/>
        <v>23335.107227998316</v>
      </c>
      <c r="AB5" s="95">
        <f t="shared" si="2"/>
        <v>24951.25311733835</v>
      </c>
    </row>
    <row r="6" spans="1:28" s="5" customFormat="1" ht="12" customHeight="1">
      <c r="A6" s="24" t="s">
        <v>5</v>
      </c>
      <c r="B6" s="107">
        <v>12518.879869534716</v>
      </c>
      <c r="C6" s="107">
        <v>6259.4399347673188</v>
      </c>
      <c r="D6" s="108">
        <v>6259.4399347673188</v>
      </c>
      <c r="E6" s="107">
        <v>5205.1422853191198</v>
      </c>
      <c r="F6" s="107">
        <v>2576.6359029991818</v>
      </c>
      <c r="G6" s="108">
        <v>2628.5063823198598</v>
      </c>
      <c r="H6" s="107">
        <v>7313.7375842155179</v>
      </c>
      <c r="I6" s="107">
        <v>3682.8040317680588</v>
      </c>
      <c r="J6" s="109">
        <v>3630.9335524473809</v>
      </c>
      <c r="K6" s="107">
        <v>12941.163896023903</v>
      </c>
      <c r="L6" s="107">
        <v>6470.5819480126538</v>
      </c>
      <c r="M6" s="107">
        <v>6470.5819480126538</v>
      </c>
      <c r="N6" s="121">
        <v>5380.7209685249236</v>
      </c>
      <c r="O6" s="107">
        <v>2663.550402959454</v>
      </c>
      <c r="P6" s="108">
        <v>2717.1705655658493</v>
      </c>
      <c r="Q6" s="107">
        <v>7560.442927500384</v>
      </c>
      <c r="R6" s="107">
        <v>3807.031545053977</v>
      </c>
      <c r="S6" s="109">
        <v>3753.4113824475817</v>
      </c>
      <c r="T6" s="107">
        <v>13376.404730760427</v>
      </c>
      <c r="U6" s="107">
        <v>6688.2023653814649</v>
      </c>
      <c r="V6" s="107">
        <v>6688.2023653814649</v>
      </c>
      <c r="W6" s="121">
        <v>5561.6868773598017</v>
      </c>
      <c r="X6" s="107">
        <v>2753.1316732421924</v>
      </c>
      <c r="Y6" s="108">
        <v>2808.5552041173805</v>
      </c>
      <c r="Z6" s="107">
        <v>7814.7178534031282</v>
      </c>
      <c r="AA6" s="107">
        <v>3935.0706921386463</v>
      </c>
      <c r="AB6" s="109">
        <v>3879.6471612634582</v>
      </c>
    </row>
    <row r="7" spans="1:28" s="5" customFormat="1" ht="12" customHeight="1">
      <c r="A7" s="24" t="s">
        <v>6</v>
      </c>
      <c r="B7" s="107">
        <v>11962.789958340731</v>
      </c>
      <c r="C7" s="107">
        <v>6027.4499934475834</v>
      </c>
      <c r="D7" s="108">
        <v>5935.3399648944405</v>
      </c>
      <c r="E7" s="107">
        <v>5075.2625732794686</v>
      </c>
      <c r="F7" s="107">
        <v>2569.8697966333784</v>
      </c>
      <c r="G7" s="108">
        <v>2505.3927766461529</v>
      </c>
      <c r="H7" s="107">
        <v>6887.5273850625554</v>
      </c>
      <c r="I7" s="107">
        <v>3457.5801968146438</v>
      </c>
      <c r="J7" s="109">
        <v>3429.9471882486901</v>
      </c>
      <c r="K7" s="107">
        <v>12366.316085627439</v>
      </c>
      <c r="L7" s="107">
        <v>6230.7665744234127</v>
      </c>
      <c r="M7" s="107">
        <v>6135.5495112039516</v>
      </c>
      <c r="N7" s="121">
        <v>5246.4601833922334</v>
      </c>
      <c r="O7" s="107">
        <v>2656.5560638228908</v>
      </c>
      <c r="P7" s="108">
        <v>2589.904119569268</v>
      </c>
      <c r="Q7" s="107">
        <v>7119.855902235131</v>
      </c>
      <c r="R7" s="107">
        <v>3574.2105106004474</v>
      </c>
      <c r="S7" s="109">
        <v>3545.645391634609</v>
      </c>
      <c r="T7" s="107">
        <v>12782.223478421489</v>
      </c>
      <c r="U7" s="107">
        <v>6440.3214542383166</v>
      </c>
      <c r="V7" s="107">
        <v>6341.9020241830976</v>
      </c>
      <c r="W7" s="121">
        <v>5422.9105960424904</v>
      </c>
      <c r="X7" s="107">
        <v>2745.9020985405341</v>
      </c>
      <c r="Y7" s="108">
        <v>2677.0084975018808</v>
      </c>
      <c r="Z7" s="107">
        <v>7359.3128823789239</v>
      </c>
      <c r="AA7" s="107">
        <v>3694.419355697707</v>
      </c>
      <c r="AB7" s="109">
        <v>3664.8935266811413</v>
      </c>
    </row>
    <row r="8" spans="1:28" s="5" customFormat="1" ht="12" customHeight="1">
      <c r="A8" s="24" t="s">
        <v>7</v>
      </c>
      <c r="B8" s="107">
        <v>12165.432021157645</v>
      </c>
      <c r="C8" s="107">
        <v>6132.2251509267835</v>
      </c>
      <c r="D8" s="108">
        <v>6033.2068702321549</v>
      </c>
      <c r="E8" s="107">
        <v>5305.5376446623259</v>
      </c>
      <c r="F8" s="107">
        <v>2640.1036934051776</v>
      </c>
      <c r="G8" s="108">
        <v>2665.4339512573019</v>
      </c>
      <c r="H8" s="107">
        <v>6859.8943764966125</v>
      </c>
      <c r="I8" s="107">
        <v>3492.1214575220861</v>
      </c>
      <c r="J8" s="109">
        <v>3367.772918975294</v>
      </c>
      <c r="K8" s="107">
        <v>12575.793624710253</v>
      </c>
      <c r="L8" s="107">
        <v>6339.0759838355498</v>
      </c>
      <c r="M8" s="107">
        <v>6236.7176408746291</v>
      </c>
      <c r="N8" s="121">
        <v>5484.5028414408862</v>
      </c>
      <c r="O8" s="107">
        <v>2729.1590745277299</v>
      </c>
      <c r="P8" s="108">
        <v>2755.3437669130817</v>
      </c>
      <c r="Q8" s="107">
        <v>7091.2907832692927</v>
      </c>
      <c r="R8" s="107">
        <v>3609.9169093077453</v>
      </c>
      <c r="S8" s="109">
        <v>3481.3738739614728</v>
      </c>
      <c r="T8" s="107">
        <v>12998.746224542971</v>
      </c>
      <c r="U8" s="107">
        <v>6552.2735559261282</v>
      </c>
      <c r="V8" s="107">
        <v>6446.4726686167678</v>
      </c>
      <c r="W8" s="121">
        <v>5668.9591711805379</v>
      </c>
      <c r="X8" s="107">
        <v>2820.9469139576386</v>
      </c>
      <c r="Y8" s="108">
        <v>2848.0122572228238</v>
      </c>
      <c r="Z8" s="107">
        <v>7329.7870533623582</v>
      </c>
      <c r="AA8" s="107">
        <v>3731.3266419684142</v>
      </c>
      <c r="AB8" s="109">
        <v>3598.4604113938685</v>
      </c>
    </row>
    <row r="9" spans="1:28" s="5" customFormat="1" ht="12" customHeight="1">
      <c r="A9" s="24" t="s">
        <v>8</v>
      </c>
      <c r="B9" s="107">
        <v>9833.8233516495911</v>
      </c>
      <c r="C9" s="107">
        <v>4877.4757923386123</v>
      </c>
      <c r="D9" s="108">
        <v>4956.3475593110634</v>
      </c>
      <c r="E9" s="107">
        <v>4296.7966963675235</v>
      </c>
      <c r="F9" s="107">
        <v>2096.3887047455905</v>
      </c>
      <c r="G9" s="108">
        <v>2200.4079916222599</v>
      </c>
      <c r="H9" s="107">
        <v>5537.0266552821522</v>
      </c>
      <c r="I9" s="107">
        <v>2781.0870875931178</v>
      </c>
      <c r="J9" s="109">
        <v>2755.939567688868</v>
      </c>
      <c r="K9" s="107">
        <v>10165.535658504765</v>
      </c>
      <c r="L9" s="107">
        <v>5042.001703456207</v>
      </c>
      <c r="M9" s="107">
        <v>5123.5339550471308</v>
      </c>
      <c r="N9" s="121">
        <v>4441.7352714534636</v>
      </c>
      <c r="O9" s="107">
        <v>2167.1036147501541</v>
      </c>
      <c r="P9" s="108">
        <v>2274.6316567034014</v>
      </c>
      <c r="Q9" s="107">
        <v>5723.8003870498742</v>
      </c>
      <c r="R9" s="107">
        <v>2874.8980887061448</v>
      </c>
      <c r="S9" s="109">
        <v>2848.9022983438213</v>
      </c>
      <c r="T9" s="107">
        <v>10507.425789956154</v>
      </c>
      <c r="U9" s="107">
        <v>5211.5757114653952</v>
      </c>
      <c r="V9" s="107">
        <v>5295.8500784893213</v>
      </c>
      <c r="W9" s="121">
        <v>4591.1209513472149</v>
      </c>
      <c r="X9" s="107">
        <v>2239.9882481434802</v>
      </c>
      <c r="Y9" s="108">
        <v>2351.1327032040203</v>
      </c>
      <c r="Z9" s="107">
        <v>5916.3048386075016</v>
      </c>
      <c r="AA9" s="107">
        <v>2971.5874633222006</v>
      </c>
      <c r="AB9" s="109">
        <v>2944.7173752855865</v>
      </c>
    </row>
    <row r="10" spans="1:28" s="5" customFormat="1" ht="12" customHeight="1">
      <c r="A10" s="24" t="s">
        <v>9</v>
      </c>
      <c r="B10" s="107">
        <v>6626.9115392767317</v>
      </c>
      <c r="C10" s="107">
        <v>3144.3958930361782</v>
      </c>
      <c r="D10" s="108">
        <v>3482.5156462401833</v>
      </c>
      <c r="E10" s="107">
        <v>3015.9810738750753</v>
      </c>
      <c r="F10" s="107">
        <v>1383.1100705973256</v>
      </c>
      <c r="G10" s="108">
        <v>1632.8710032775878</v>
      </c>
      <c r="H10" s="107">
        <v>3610.9304654012863</v>
      </c>
      <c r="I10" s="107">
        <v>1761.2858224386659</v>
      </c>
      <c r="J10" s="109">
        <v>1849.6446429623436</v>
      </c>
      <c r="K10" s="107">
        <v>6850.4490216372305</v>
      </c>
      <c r="L10" s="107">
        <v>3250.461944666336</v>
      </c>
      <c r="M10" s="107">
        <v>3599.9870769702438</v>
      </c>
      <c r="N10" s="121">
        <v>3117.7154658470818</v>
      </c>
      <c r="O10" s="107">
        <v>1429.764826915899</v>
      </c>
      <c r="P10" s="108">
        <v>1687.9506389313774</v>
      </c>
      <c r="Q10" s="107">
        <v>3732.733555789498</v>
      </c>
      <c r="R10" s="107">
        <v>1820.6971177506564</v>
      </c>
      <c r="S10" s="109">
        <v>1912.0364380391511</v>
      </c>
      <c r="T10" s="107">
        <v>7080.8452344087527</v>
      </c>
      <c r="U10" s="107">
        <v>3359.7823876683183</v>
      </c>
      <c r="V10" s="107">
        <v>3721.0628467394263</v>
      </c>
      <c r="W10" s="121">
        <v>3222.5713422371309</v>
      </c>
      <c r="X10" s="107">
        <v>1477.8510764790969</v>
      </c>
      <c r="Y10" s="108">
        <v>1744.7202657581036</v>
      </c>
      <c r="Z10" s="107">
        <v>3858.2738921706136</v>
      </c>
      <c r="AA10" s="107">
        <v>1881.9313111892909</v>
      </c>
      <c r="AB10" s="109">
        <v>1976.3425809813923</v>
      </c>
    </row>
    <row r="11" spans="1:28" s="5" customFormat="1" ht="12" customHeight="1">
      <c r="A11" s="29" t="s">
        <v>10</v>
      </c>
      <c r="B11" s="107">
        <v>4688.9080757903612</v>
      </c>
      <c r="C11" s="107">
        <v>2206.6142778780318</v>
      </c>
      <c r="D11" s="108">
        <v>2482.2937979119592</v>
      </c>
      <c r="E11" s="110">
        <v>2078.1994587169288</v>
      </c>
      <c r="F11" s="110">
        <v>966.05643772556698</v>
      </c>
      <c r="G11" s="111">
        <v>1112.1430209913808</v>
      </c>
      <c r="H11" s="110">
        <v>2610.7086170730622</v>
      </c>
      <c r="I11" s="110">
        <v>1240.557840152459</v>
      </c>
      <c r="J11" s="112">
        <v>1370.1507769205195</v>
      </c>
      <c r="K11" s="107">
        <v>4847.0732633092057</v>
      </c>
      <c r="L11" s="107">
        <v>2281.0472920046263</v>
      </c>
      <c r="M11" s="107">
        <v>2566.0259713046767</v>
      </c>
      <c r="N11" s="122">
        <v>2148.3008131853721</v>
      </c>
      <c r="O11" s="110">
        <v>998.64323515420404</v>
      </c>
      <c r="P11" s="111">
        <v>1149.6575780311819</v>
      </c>
      <c r="Q11" s="110">
        <v>2698.7724501239309</v>
      </c>
      <c r="R11" s="110">
        <v>1282.4040568504608</v>
      </c>
      <c r="S11" s="112">
        <v>1416.3683932735864</v>
      </c>
      <c r="T11" s="107">
        <v>5010.0913836345808</v>
      </c>
      <c r="U11" s="107">
        <v>2357.7641109414822</v>
      </c>
      <c r="V11" s="107">
        <v>2652.3272726928385</v>
      </c>
      <c r="W11" s="122">
        <v>2220.5530655102948</v>
      </c>
      <c r="X11" s="110">
        <v>1032.2298830603784</v>
      </c>
      <c r="Y11" s="111">
        <v>1188.323182449986</v>
      </c>
      <c r="Z11" s="110">
        <v>2789.5383181240259</v>
      </c>
      <c r="AA11" s="110">
        <v>1325.5342278811734</v>
      </c>
      <c r="AB11" s="112">
        <v>1464.0040902429221</v>
      </c>
    </row>
    <row r="12" spans="1:28" s="5" customFormat="1" ht="12" customHeight="1">
      <c r="A12" s="29" t="s">
        <v>11</v>
      </c>
      <c r="B12" s="110">
        <v>3494.7225885984503</v>
      </c>
      <c r="C12" s="110">
        <v>1636.1431072504768</v>
      </c>
      <c r="D12" s="111">
        <v>1858.5794813479736</v>
      </c>
      <c r="E12" s="107">
        <v>1543.4612847098531</v>
      </c>
      <c r="F12" s="107">
        <v>706.85336657648998</v>
      </c>
      <c r="G12" s="108">
        <v>836.60791813336311</v>
      </c>
      <c r="H12" s="107">
        <v>1951.2613038885972</v>
      </c>
      <c r="I12" s="107">
        <v>929.28974067398678</v>
      </c>
      <c r="J12" s="109">
        <v>1021.9715632146105</v>
      </c>
      <c r="K12" s="110">
        <v>3612.6057811496057</v>
      </c>
      <c r="L12" s="110">
        <v>1691.3331167759325</v>
      </c>
      <c r="M12" s="110">
        <v>1921.2726643738788</v>
      </c>
      <c r="N12" s="121">
        <v>1595.5249719434548</v>
      </c>
      <c r="O12" s="107">
        <v>730.69678458898284</v>
      </c>
      <c r="P12" s="108">
        <v>864.82818735443959</v>
      </c>
      <c r="Q12" s="107">
        <v>2017.0808092063564</v>
      </c>
      <c r="R12" s="107">
        <v>960.6363321869087</v>
      </c>
      <c r="S12" s="109">
        <v>1056.4444770193807</v>
      </c>
      <c r="T12" s="110">
        <v>3734.1059466981392</v>
      </c>
      <c r="U12" s="110">
        <v>1748.2165040412724</v>
      </c>
      <c r="V12" s="110">
        <v>1985.8894426571555</v>
      </c>
      <c r="W12" s="121">
        <v>1649.1861129513211</v>
      </c>
      <c r="X12" s="107">
        <v>755.27178271269395</v>
      </c>
      <c r="Y12" s="108">
        <v>893.91433023862578</v>
      </c>
      <c r="Z12" s="107">
        <v>2084.9198337471007</v>
      </c>
      <c r="AA12" s="107">
        <v>992.94472132857709</v>
      </c>
      <c r="AB12" s="109">
        <v>1091.9751124185284</v>
      </c>
    </row>
    <row r="13" spans="1:28" s="5" customFormat="1" ht="12" customHeight="1">
      <c r="A13" s="29" t="s">
        <v>12</v>
      </c>
      <c r="B13" s="110">
        <v>2810.1128594317101</v>
      </c>
      <c r="C13" s="110">
        <v>1180.1485403506083</v>
      </c>
      <c r="D13" s="111">
        <v>1629.9643190811018</v>
      </c>
      <c r="E13" s="110">
        <v>1188.7988437877332</v>
      </c>
      <c r="F13" s="110">
        <v>510.36790279036774</v>
      </c>
      <c r="G13" s="111">
        <v>678.43094099736538</v>
      </c>
      <c r="H13" s="110">
        <v>1621.314015643977</v>
      </c>
      <c r="I13" s="110">
        <v>669.78063756024051</v>
      </c>
      <c r="J13" s="112">
        <v>951.53337808373647</v>
      </c>
      <c r="K13" s="110">
        <v>2904.9029513204969</v>
      </c>
      <c r="L13" s="110">
        <v>1219.9570442001425</v>
      </c>
      <c r="M13" s="110">
        <v>1684.945907120434</v>
      </c>
      <c r="N13" s="122">
        <v>1228.8991377178404</v>
      </c>
      <c r="O13" s="110">
        <v>527.58351754414832</v>
      </c>
      <c r="P13" s="111">
        <v>701.31562017369231</v>
      </c>
      <c r="Q13" s="110">
        <v>1676.003813602736</v>
      </c>
      <c r="R13" s="110">
        <v>692.37352665599519</v>
      </c>
      <c r="S13" s="112">
        <v>983.63028694670129</v>
      </c>
      <c r="T13" s="110">
        <v>3002.6014578471581</v>
      </c>
      <c r="U13" s="110">
        <v>1260.986979878712</v>
      </c>
      <c r="V13" s="110">
        <v>1741.614477968609</v>
      </c>
      <c r="W13" s="122">
        <v>1270.2298163804408</v>
      </c>
      <c r="X13" s="110">
        <v>545.32735360199717</v>
      </c>
      <c r="Y13" s="111">
        <v>724.90246277844221</v>
      </c>
      <c r="Z13" s="110">
        <v>1732.3716414668802</v>
      </c>
      <c r="AA13" s="110">
        <v>715.65962627671342</v>
      </c>
      <c r="AB13" s="112">
        <v>1016.7120151901654</v>
      </c>
    </row>
    <row r="14" spans="1:28" s="5" customFormat="1" ht="12" customHeight="1">
      <c r="A14" s="29" t="s">
        <v>13</v>
      </c>
      <c r="B14" s="110">
        <v>2522.1813307388393</v>
      </c>
      <c r="C14" s="110">
        <v>1080.0521720067347</v>
      </c>
      <c r="D14" s="111">
        <v>1442.1291587321045</v>
      </c>
      <c r="E14" s="110">
        <v>1002.1994410726107</v>
      </c>
      <c r="F14" s="110">
        <v>436.2224447578688</v>
      </c>
      <c r="G14" s="111">
        <v>565.976996314742</v>
      </c>
      <c r="H14" s="110">
        <v>1519.9818896662284</v>
      </c>
      <c r="I14" s="110">
        <v>643.82972724886588</v>
      </c>
      <c r="J14" s="112">
        <v>876.15216241736255</v>
      </c>
      <c r="K14" s="110">
        <v>2607.2589813743193</v>
      </c>
      <c r="L14" s="110">
        <v>1116.4842477810666</v>
      </c>
      <c r="M14" s="110">
        <v>1490.7747335932793</v>
      </c>
      <c r="N14" s="122">
        <v>1036.0054061217854</v>
      </c>
      <c r="O14" s="110">
        <v>450.93700167817036</v>
      </c>
      <c r="P14" s="111">
        <v>585.06840444362979</v>
      </c>
      <c r="Q14" s="110">
        <v>1571.2535752525605</v>
      </c>
      <c r="R14" s="110">
        <v>665.54724610290384</v>
      </c>
      <c r="S14" s="112">
        <v>905.70632914962641</v>
      </c>
      <c r="T14" s="110">
        <v>2694.9470428610957</v>
      </c>
      <c r="U14" s="110">
        <v>1154.0341575015646</v>
      </c>
      <c r="V14" s="110">
        <v>1540.912885359641</v>
      </c>
      <c r="W14" s="122">
        <v>1070.8486289860055</v>
      </c>
      <c r="X14" s="110">
        <v>466.10304073003613</v>
      </c>
      <c r="Y14" s="111">
        <v>604.74558825596796</v>
      </c>
      <c r="Z14" s="110">
        <v>1624.0984138752001</v>
      </c>
      <c r="AA14" s="110">
        <v>687.93111677152706</v>
      </c>
      <c r="AB14" s="112">
        <v>936.16729710367167</v>
      </c>
    </row>
    <row r="15" spans="1:28" s="5" customFormat="1" ht="12" customHeight="1">
      <c r="A15" s="29" t="s">
        <v>14</v>
      </c>
      <c r="B15" s="110">
        <v>2838.2747975594039</v>
      </c>
      <c r="C15" s="110">
        <v>1197.6678308794153</v>
      </c>
      <c r="D15" s="111">
        <v>1640.6069666798949</v>
      </c>
      <c r="E15" s="110">
        <v>1154.3637254240612</v>
      </c>
      <c r="F15" s="110">
        <v>452.83721704737633</v>
      </c>
      <c r="G15" s="111">
        <v>701.52650837667306</v>
      </c>
      <c r="H15" s="110">
        <v>1683.911072135249</v>
      </c>
      <c r="I15" s="110">
        <v>744.83061383202323</v>
      </c>
      <c r="J15" s="112">
        <v>939.08045830316541</v>
      </c>
      <c r="K15" s="110">
        <v>2934.0148415803974</v>
      </c>
      <c r="L15" s="110">
        <v>1238.0672914776919</v>
      </c>
      <c r="M15" s="110">
        <v>1695.9475501027059</v>
      </c>
      <c r="N15" s="122">
        <v>1193.3024617238498</v>
      </c>
      <c r="O15" s="110">
        <v>468.11221971160688</v>
      </c>
      <c r="P15" s="111">
        <v>725.19024201224329</v>
      </c>
      <c r="Q15" s="110">
        <v>1740.7123798565481</v>
      </c>
      <c r="R15" s="110">
        <v>769.95507176608544</v>
      </c>
      <c r="S15" s="112">
        <v>970.75730809046308</v>
      </c>
      <c r="T15" s="110">
        <v>3032.6924473225058</v>
      </c>
      <c r="U15" s="110">
        <v>1279.7063160454491</v>
      </c>
      <c r="V15" s="110">
        <v>1752.9861312771586</v>
      </c>
      <c r="W15" s="122">
        <v>1233.4359430479356</v>
      </c>
      <c r="X15" s="110">
        <v>483.85590048826197</v>
      </c>
      <c r="Y15" s="111">
        <v>749.58004255967501</v>
      </c>
      <c r="Z15" s="110">
        <v>1799.2565042746721</v>
      </c>
      <c r="AA15" s="110">
        <v>795.85041555718453</v>
      </c>
      <c r="AB15" s="112">
        <v>1003.4060887174415</v>
      </c>
    </row>
    <row r="16" spans="1:28" s="5" customFormat="1" ht="12" customHeight="1">
      <c r="A16" s="29" t="s">
        <v>15</v>
      </c>
      <c r="B16" s="110">
        <v>2207.2721180671006</v>
      </c>
      <c r="C16" s="110">
        <v>1010.84154734346</v>
      </c>
      <c r="D16" s="111">
        <v>1196.430570723548</v>
      </c>
      <c r="E16" s="110">
        <v>882.16649113327662</v>
      </c>
      <c r="F16" s="110">
        <v>434.27831470936911</v>
      </c>
      <c r="G16" s="111">
        <v>447.88817642390774</v>
      </c>
      <c r="H16" s="110">
        <v>1325.1056269337432</v>
      </c>
      <c r="I16" s="110">
        <v>576.56323263409115</v>
      </c>
      <c r="J16" s="112">
        <v>748.54239429962468</v>
      </c>
      <c r="K16" s="110">
        <v>2281.7273223101261</v>
      </c>
      <c r="L16" s="110">
        <v>1044.9390259682586</v>
      </c>
      <c r="M16" s="110">
        <v>1236.7882963418679</v>
      </c>
      <c r="N16" s="122">
        <v>911.92353184255626</v>
      </c>
      <c r="O16" s="110">
        <v>448.92729267424596</v>
      </c>
      <c r="P16" s="111">
        <v>462.99623916831064</v>
      </c>
      <c r="Q16" s="110">
        <v>1369.8037904675703</v>
      </c>
      <c r="R16" s="110">
        <v>596.01173329401308</v>
      </c>
      <c r="S16" s="112">
        <v>773.79205717355762</v>
      </c>
      <c r="T16" s="110">
        <v>2358.4670122159964</v>
      </c>
      <c r="U16" s="110">
        <v>1080.0827068276051</v>
      </c>
      <c r="V16" s="110">
        <v>1278.3843053883772</v>
      </c>
      <c r="W16" s="122">
        <v>942.59359849214331</v>
      </c>
      <c r="X16" s="110">
        <v>464.0257406321856</v>
      </c>
      <c r="Y16" s="111">
        <v>478.56785785997494</v>
      </c>
      <c r="Z16" s="110">
        <v>1415.8734137238459</v>
      </c>
      <c r="AA16" s="110">
        <v>616.05696619543323</v>
      </c>
      <c r="AB16" s="112">
        <v>799.81644752839964</v>
      </c>
    </row>
    <row r="17" spans="1:28" s="5" customFormat="1" ht="12" customHeight="1">
      <c r="A17" s="29" t="s">
        <v>16</v>
      </c>
      <c r="B17" s="110">
        <v>2000.6496720372679</v>
      </c>
      <c r="C17" s="110">
        <v>877.21745050980803</v>
      </c>
      <c r="D17" s="111">
        <v>1123.4322215273796</v>
      </c>
      <c r="E17" s="110">
        <v>780.71115835217051</v>
      </c>
      <c r="F17" s="110">
        <v>350.14462411040307</v>
      </c>
      <c r="G17" s="111">
        <v>430.56653424176767</v>
      </c>
      <c r="H17" s="110">
        <v>1219.938513685026</v>
      </c>
      <c r="I17" s="110">
        <v>527.07282639940524</v>
      </c>
      <c r="J17" s="112">
        <v>692.86568728560303</v>
      </c>
      <c r="K17" s="110">
        <v>2068.1351346275078</v>
      </c>
      <c r="L17" s="110">
        <v>906.80755129926001</v>
      </c>
      <c r="M17" s="110">
        <v>1161.3275833282482</v>
      </c>
      <c r="N17" s="122">
        <v>807.04593070498322</v>
      </c>
      <c r="O17" s="110">
        <v>361.95562343820978</v>
      </c>
      <c r="P17" s="111">
        <v>445.09030726677378</v>
      </c>
      <c r="Q17" s="110">
        <v>1261.089203922525</v>
      </c>
      <c r="R17" s="110">
        <v>544.85192786105063</v>
      </c>
      <c r="S17" s="112">
        <v>716.23727606147486</v>
      </c>
      <c r="T17" s="110">
        <v>2137.6912324850414</v>
      </c>
      <c r="U17" s="110">
        <v>937.30555586385651</v>
      </c>
      <c r="V17" s="110">
        <v>1200.3856766211402</v>
      </c>
      <c r="W17" s="122">
        <v>834.18872461226385</v>
      </c>
      <c r="X17" s="110">
        <v>374.12901595130609</v>
      </c>
      <c r="Y17" s="111">
        <v>460.05970866097033</v>
      </c>
      <c r="Z17" s="110">
        <v>1303.5025078727417</v>
      </c>
      <c r="AA17" s="110">
        <v>563.1765399125652</v>
      </c>
      <c r="AB17" s="112">
        <v>740.3259679601731</v>
      </c>
    </row>
    <row r="18" spans="1:28" s="5" customFormat="1" ht="12" customHeight="1">
      <c r="A18" s="29" t="s">
        <v>17</v>
      </c>
      <c r="B18" s="110">
        <v>1571.3203979513282</v>
      </c>
      <c r="C18" s="110">
        <v>671.83226463586152</v>
      </c>
      <c r="D18" s="111">
        <v>899.48813331541669</v>
      </c>
      <c r="E18" s="110">
        <v>535.73364749047528</v>
      </c>
      <c r="F18" s="110">
        <v>218.99504758848542</v>
      </c>
      <c r="G18" s="111">
        <v>316.73859990199009</v>
      </c>
      <c r="H18" s="110">
        <v>1035.5867504608041</v>
      </c>
      <c r="I18" s="110">
        <v>452.83721704737633</v>
      </c>
      <c r="J18" s="112">
        <v>582.74953341342689</v>
      </c>
      <c r="K18" s="110">
        <v>1624.3238224965585</v>
      </c>
      <c r="L18" s="110">
        <v>694.49435875246581</v>
      </c>
      <c r="M18" s="110">
        <v>929.82946374409312</v>
      </c>
      <c r="N18" s="122">
        <v>553.80489381181906</v>
      </c>
      <c r="O18" s="110">
        <v>226.38213904085924</v>
      </c>
      <c r="P18" s="111">
        <v>327.42275477096013</v>
      </c>
      <c r="Q18" s="110">
        <v>1070.5189286847399</v>
      </c>
      <c r="R18" s="110">
        <v>468.11221971160688</v>
      </c>
      <c r="S18" s="112">
        <v>602.40670897313339</v>
      </c>
      <c r="T18" s="110">
        <v>1678.953534481137</v>
      </c>
      <c r="U18" s="110">
        <v>717.85178678995419</v>
      </c>
      <c r="V18" s="110">
        <v>961.10174769114712</v>
      </c>
      <c r="W18" s="122">
        <v>572.43061451206711</v>
      </c>
      <c r="X18" s="110">
        <v>233.99588630169978</v>
      </c>
      <c r="Y18" s="111">
        <v>338.43472821036863</v>
      </c>
      <c r="Z18" s="110">
        <v>1106.5229199690414</v>
      </c>
      <c r="AA18" s="110">
        <v>483.85590048826197</v>
      </c>
      <c r="AB18" s="112">
        <v>622.66701948079174</v>
      </c>
    </row>
    <row r="19" spans="1:28" s="5" customFormat="1" ht="12" customHeight="1">
      <c r="A19" s="29" t="s">
        <v>18</v>
      </c>
      <c r="B19" s="110">
        <v>1037.2491936020517</v>
      </c>
      <c r="C19" s="110">
        <v>444.17483716292298</v>
      </c>
      <c r="D19" s="111">
        <v>593.07435643912982</v>
      </c>
      <c r="E19" s="110">
        <v>312.94136254660515</v>
      </c>
      <c r="F19" s="110">
        <v>131.23347461631892</v>
      </c>
      <c r="G19" s="111">
        <v>181.70788793028731</v>
      </c>
      <c r="H19" s="110">
        <v>724.30783105544765</v>
      </c>
      <c r="I19" s="110">
        <v>312.94136254660515</v>
      </c>
      <c r="J19" s="112">
        <v>411.36646850884352</v>
      </c>
      <c r="K19" s="110">
        <v>1072.2374489823248</v>
      </c>
      <c r="L19" s="110">
        <v>459.1576423865917</v>
      </c>
      <c r="M19" s="110">
        <v>613.0798065957332</v>
      </c>
      <c r="N19" s="122">
        <v>323.4974298632805</v>
      </c>
      <c r="O19" s="110">
        <v>135.66021252331117</v>
      </c>
      <c r="P19" s="111">
        <v>187.83721733996933</v>
      </c>
      <c r="Q19" s="110">
        <v>748.7400191190444</v>
      </c>
      <c r="R19" s="110">
        <v>323.4974298632805</v>
      </c>
      <c r="S19" s="112">
        <v>425.2425892557639</v>
      </c>
      <c r="T19" s="110">
        <v>1108.2992380207579</v>
      </c>
      <c r="U19" s="110">
        <v>474.60016032031706</v>
      </c>
      <c r="V19" s="110">
        <v>633.69907770042835</v>
      </c>
      <c r="W19" s="122">
        <v>334.37738568022348</v>
      </c>
      <c r="X19" s="110">
        <v>140.22277464009392</v>
      </c>
      <c r="Y19" s="111">
        <v>194.15461104012991</v>
      </c>
      <c r="Z19" s="110">
        <v>773.92185234052783</v>
      </c>
      <c r="AA19" s="110">
        <v>334.37738568022348</v>
      </c>
      <c r="AB19" s="112">
        <v>439.54446666029366</v>
      </c>
    </row>
    <row r="20" spans="1:28" s="5" customFormat="1" ht="12" customHeight="1">
      <c r="A20" s="29" t="s">
        <v>19</v>
      </c>
      <c r="B20" s="110">
        <v>831.5659593476305</v>
      </c>
      <c r="C20" s="110">
        <v>354.58275353062908</v>
      </c>
      <c r="D20" s="111">
        <v>476.98320581700244</v>
      </c>
      <c r="E20" s="110">
        <v>230.9204409114065</v>
      </c>
      <c r="F20" s="110">
        <v>98.42510596223913</v>
      </c>
      <c r="G20" s="111">
        <v>132.49533494916813</v>
      </c>
      <c r="H20" s="110">
        <v>600.64551843622507</v>
      </c>
      <c r="I20" s="110">
        <v>256.1576475683907</v>
      </c>
      <c r="J20" s="112">
        <v>344.4878708678354</v>
      </c>
      <c r="K20" s="110">
        <v>859.61615435444298</v>
      </c>
      <c r="L20" s="110">
        <v>366.54345883702348</v>
      </c>
      <c r="M20" s="110">
        <v>493.0726955174195</v>
      </c>
      <c r="N20" s="122">
        <v>238.70979703621103</v>
      </c>
      <c r="O20" s="110">
        <v>101.74515939248337</v>
      </c>
      <c r="P20" s="111">
        <v>136.96463764372763</v>
      </c>
      <c r="Q20" s="110">
        <v>620.90635731823193</v>
      </c>
      <c r="R20" s="110">
        <v>264.79829944454008</v>
      </c>
      <c r="S20" s="112">
        <v>356.10805787369185</v>
      </c>
      <c r="T20" s="110">
        <v>888.52700469060915</v>
      </c>
      <c r="U20" s="110">
        <v>378.87115071025318</v>
      </c>
      <c r="V20" s="110">
        <v>509.65585398034045</v>
      </c>
      <c r="W20" s="122">
        <v>246.738151530165</v>
      </c>
      <c r="X20" s="110">
        <v>105.16708098007052</v>
      </c>
      <c r="Y20" s="111">
        <v>141.57107055009482</v>
      </c>
      <c r="Z20" s="110">
        <v>641.78885316043409</v>
      </c>
      <c r="AA20" s="110">
        <v>273.70406973018299</v>
      </c>
      <c r="AB20" s="112">
        <v>368.08478343024598</v>
      </c>
    </row>
    <row r="21" spans="1:28" s="5" customFormat="1" ht="12" customHeight="1">
      <c r="A21" s="29" t="s">
        <v>20</v>
      </c>
      <c r="B21" s="110">
        <v>451.74599916001824</v>
      </c>
      <c r="C21" s="110">
        <v>214.51625658436677</v>
      </c>
      <c r="D21" s="111">
        <v>237.22974257565255</v>
      </c>
      <c r="E21" s="110">
        <v>124.92417295207284</v>
      </c>
      <c r="F21" s="110">
        <v>56.783714978214775</v>
      </c>
      <c r="G21" s="111">
        <v>68.14045797385775</v>
      </c>
      <c r="H21" s="110">
        <v>326.82182620794646</v>
      </c>
      <c r="I21" s="110">
        <v>157.73254160615232</v>
      </c>
      <c r="J21" s="112">
        <v>169.08928460179521</v>
      </c>
      <c r="K21" s="110">
        <v>466.98419310909043</v>
      </c>
      <c r="L21" s="110">
        <v>221.75227047079713</v>
      </c>
      <c r="M21" s="110">
        <v>245.2319226382933</v>
      </c>
      <c r="N21" s="122">
        <v>129.1380869212289</v>
      </c>
      <c r="O21" s="110">
        <v>58.699130418740403</v>
      </c>
      <c r="P21" s="111">
        <v>70.43895650248848</v>
      </c>
      <c r="Q21" s="110">
        <v>337.84610618786149</v>
      </c>
      <c r="R21" s="110">
        <v>163.0531400520567</v>
      </c>
      <c r="S21" s="112">
        <v>174.79296613580479</v>
      </c>
      <c r="T21" s="110">
        <v>482.68993578032246</v>
      </c>
      <c r="U21" s="110">
        <v>229.2103047001533</v>
      </c>
      <c r="V21" s="110">
        <v>253.4796310801695</v>
      </c>
      <c r="W21" s="122">
        <v>133.48129509008942</v>
      </c>
      <c r="X21" s="110">
        <v>60.673315950040809</v>
      </c>
      <c r="Y21" s="111">
        <v>72.807979140048928</v>
      </c>
      <c r="Z21" s="110">
        <v>349.20864069023338</v>
      </c>
      <c r="AA21" s="110">
        <v>168.53698875011281</v>
      </c>
      <c r="AB21" s="112">
        <v>180.67165194012091</v>
      </c>
    </row>
    <row r="22" spans="1:28" s="5" customFormat="1" ht="12" customHeight="1">
      <c r="A22" s="29" t="s">
        <v>29</v>
      </c>
      <c r="B22" s="110">
        <v>373.51065852336723</v>
      </c>
      <c r="C22" s="110">
        <v>158.99440193900153</v>
      </c>
      <c r="D22" s="111">
        <v>214.51625658436677</v>
      </c>
      <c r="E22" s="110">
        <v>90.853943965143785</v>
      </c>
      <c r="F22" s="110">
        <v>31.54650832123043</v>
      </c>
      <c r="G22" s="111">
        <v>59.307435643913209</v>
      </c>
      <c r="H22" s="110">
        <v>282.65671455822411</v>
      </c>
      <c r="I22" s="110">
        <v>127.44789361777129</v>
      </c>
      <c r="J22" s="112">
        <v>155.2088209404539</v>
      </c>
      <c r="K22" s="110">
        <v>386.10983564327029</v>
      </c>
      <c r="L22" s="110">
        <v>164.35756517247316</v>
      </c>
      <c r="M22" s="110">
        <v>221.75227047079713</v>
      </c>
      <c r="N22" s="122">
        <v>93.91860866998465</v>
      </c>
      <c r="O22" s="110">
        <v>32.610628010411325</v>
      </c>
      <c r="P22" s="111">
        <v>61.30798065957331</v>
      </c>
      <c r="Q22" s="110">
        <v>292.19122697328561</v>
      </c>
      <c r="R22" s="110">
        <v>131.74693716206181</v>
      </c>
      <c r="S22" s="112">
        <v>160.4442898112238</v>
      </c>
      <c r="T22" s="110">
        <v>399.09558936026667</v>
      </c>
      <c r="U22" s="110">
        <v>169.88528466011371</v>
      </c>
      <c r="V22" s="110">
        <v>229.2103047001533</v>
      </c>
      <c r="W22" s="122">
        <v>97.077305520065124</v>
      </c>
      <c r="X22" s="110">
        <v>33.707397750022672</v>
      </c>
      <c r="Y22" s="111">
        <v>63.369907770042623</v>
      </c>
      <c r="Z22" s="110">
        <v>302.01828384020189</v>
      </c>
      <c r="AA22" s="110">
        <v>136.17788691009122</v>
      </c>
      <c r="AB22" s="112">
        <v>165.84039693011101</v>
      </c>
    </row>
    <row r="23" spans="1:28" s="5" customFormat="1" ht="12" customHeight="1">
      <c r="A23" s="29" t="s">
        <v>30</v>
      </c>
      <c r="B23" s="110">
        <v>78.235340636651543</v>
      </c>
      <c r="C23" s="110">
        <v>25.237206656984345</v>
      </c>
      <c r="D23" s="111">
        <v>52.998133979667124</v>
      </c>
      <c r="E23" s="110">
        <v>37.855809985476519</v>
      </c>
      <c r="F23" s="110">
        <v>10.094882662793738</v>
      </c>
      <c r="G23" s="111">
        <v>27.760927322682779</v>
      </c>
      <c r="H23" s="110">
        <v>40.379530651174953</v>
      </c>
      <c r="I23" s="110">
        <v>15.142323994190606</v>
      </c>
      <c r="J23" s="112">
        <v>25.237206656984345</v>
      </c>
      <c r="K23" s="110">
        <v>80.874357465820111</v>
      </c>
      <c r="L23" s="110">
        <v>26.088502408329056</v>
      </c>
      <c r="M23" s="110">
        <v>54.785855057491041</v>
      </c>
      <c r="N23" s="122">
        <v>39.132753612493595</v>
      </c>
      <c r="O23" s="110">
        <v>10.435400963331617</v>
      </c>
      <c r="P23" s="111">
        <v>28.697352649161964</v>
      </c>
      <c r="Q23" s="110">
        <v>41.741603853326502</v>
      </c>
      <c r="R23" s="110">
        <v>15.653101444997425</v>
      </c>
      <c r="S23" s="112">
        <v>26.088502408329056</v>
      </c>
      <c r="T23" s="110">
        <v>83.594346420056127</v>
      </c>
      <c r="U23" s="110">
        <v>26.965918200018137</v>
      </c>
      <c r="V23" s="110">
        <v>56.628428220038089</v>
      </c>
      <c r="W23" s="122">
        <v>40.448877300027206</v>
      </c>
      <c r="X23" s="110">
        <v>10.786367280007255</v>
      </c>
      <c r="Y23" s="111">
        <v>29.662510020019951</v>
      </c>
      <c r="Z23" s="110">
        <v>43.14546912002902</v>
      </c>
      <c r="AA23" s="110">
        <v>16.179550920010882</v>
      </c>
      <c r="AB23" s="112">
        <v>26.965918200018137</v>
      </c>
    </row>
    <row r="24" spans="1:28" s="5" customFormat="1" ht="12" customHeight="1">
      <c r="A24" s="29" t="s">
        <v>32</v>
      </c>
      <c r="B24" s="110">
        <v>49.212552981119472</v>
      </c>
      <c r="C24" s="110">
        <v>17.666044659889042</v>
      </c>
      <c r="D24" s="111">
        <v>31.54650832123043</v>
      </c>
      <c r="E24" s="110">
        <v>22.713485991285911</v>
      </c>
      <c r="F24" s="110">
        <v>8.8330223299445212</v>
      </c>
      <c r="G24" s="111">
        <v>13.880463661341389</v>
      </c>
      <c r="H24" s="110">
        <v>26.499066989833562</v>
      </c>
      <c r="I24" s="110">
        <v>8.8330223299445212</v>
      </c>
      <c r="J24" s="112">
        <v>17.666044659889042</v>
      </c>
      <c r="K24" s="110">
        <v>50.872579696241679</v>
      </c>
      <c r="L24" s="110">
        <v>18.261951685830333</v>
      </c>
      <c r="M24" s="110">
        <v>32.610628010411325</v>
      </c>
      <c r="N24" s="122">
        <v>23.479652167496148</v>
      </c>
      <c r="O24" s="110">
        <v>9.1309758429151646</v>
      </c>
      <c r="P24" s="111">
        <v>14.348676324580973</v>
      </c>
      <c r="Q24" s="110">
        <v>27.39292752874551</v>
      </c>
      <c r="R24" s="110">
        <v>9.1309758429151646</v>
      </c>
      <c r="S24" s="112">
        <v>18.261951685830333</v>
      </c>
      <c r="T24" s="110">
        <v>52.583540490035368</v>
      </c>
      <c r="U24" s="110">
        <v>18.876142740012696</v>
      </c>
      <c r="V24" s="110">
        <v>33.707397750022672</v>
      </c>
      <c r="W24" s="122">
        <v>24.269326380016324</v>
      </c>
      <c r="X24" s="110">
        <v>9.4380713700063481</v>
      </c>
      <c r="Y24" s="111">
        <v>14.831255010009976</v>
      </c>
      <c r="Z24" s="110">
        <v>28.314214110019044</v>
      </c>
      <c r="AA24" s="110">
        <v>9.4380713700063481</v>
      </c>
      <c r="AB24" s="112">
        <v>18.876142740012696</v>
      </c>
    </row>
    <row r="25" spans="1:28" s="5" customFormat="1" ht="12" customHeight="1" thickBot="1">
      <c r="A25" s="34" t="s">
        <v>31</v>
      </c>
      <c r="B25" s="113">
        <v>21.451625658436694</v>
      </c>
      <c r="C25" s="113">
        <v>5.04744133139687</v>
      </c>
      <c r="D25" s="114">
        <v>16.404184327039825</v>
      </c>
      <c r="E25" s="113">
        <v>8.8330223299445212</v>
      </c>
      <c r="F25" s="113">
        <v>3.7855809985476525</v>
      </c>
      <c r="G25" s="114">
        <v>5.04744133139687</v>
      </c>
      <c r="H25" s="113">
        <v>12.618603328492172</v>
      </c>
      <c r="I25" s="113">
        <v>1.2618603328492175</v>
      </c>
      <c r="J25" s="115">
        <v>11.356742995642955</v>
      </c>
      <c r="K25" s="113">
        <v>22.175227047079694</v>
      </c>
      <c r="L25" s="113">
        <v>5.2177004816658084</v>
      </c>
      <c r="M25" s="113">
        <v>16.957526565413879</v>
      </c>
      <c r="N25" s="123">
        <v>9.1309758429151646</v>
      </c>
      <c r="O25" s="113">
        <v>3.9132753612493563</v>
      </c>
      <c r="P25" s="114">
        <v>5.2177004816658084</v>
      </c>
      <c r="Q25" s="113">
        <v>13.044251204164521</v>
      </c>
      <c r="R25" s="113">
        <v>1.3044251204164521</v>
      </c>
      <c r="S25" s="115">
        <v>11.739826083748069</v>
      </c>
      <c r="T25" s="113">
        <v>22.921030470015417</v>
      </c>
      <c r="U25" s="113">
        <v>5.3931836400036275</v>
      </c>
      <c r="V25" s="113">
        <v>17.527846830011789</v>
      </c>
      <c r="W25" s="123">
        <v>9.4380713700063481</v>
      </c>
      <c r="X25" s="113">
        <v>4.0448877300027206</v>
      </c>
      <c r="Y25" s="114">
        <v>5.3931836400036275</v>
      </c>
      <c r="Z25" s="113">
        <v>13.482959100009069</v>
      </c>
      <c r="AA25" s="113">
        <v>1.3482959100009069</v>
      </c>
      <c r="AB25" s="115">
        <v>12.134663190008162</v>
      </c>
    </row>
    <row r="26" spans="1:28" s="5" customFormat="1" ht="14.25" customHeight="1">
      <c r="A26" s="134" t="s">
        <v>72</v>
      </c>
      <c r="B26" s="135">
        <v>43013.996661178993</v>
      </c>
      <c r="C26" s="136">
        <v>21604.848623377824</v>
      </c>
      <c r="D26" s="155">
        <v>21409.148037783674</v>
      </c>
      <c r="E26" s="136">
        <v>18359.02810724729</v>
      </c>
      <c r="F26" s="136">
        <v>9152.5769514727763</v>
      </c>
      <c r="G26" s="136">
        <v>9206.4511557743954</v>
      </c>
      <c r="H26" s="153">
        <v>24654.968553914216</v>
      </c>
      <c r="I26" s="137">
        <v>12452.271671901965</v>
      </c>
      <c r="J26" s="129">
        <v>12202.696882006325</v>
      </c>
      <c r="K26" s="137">
        <v>44464.935075352783</v>
      </c>
      <c r="L26" s="137">
        <v>22333.618494447401</v>
      </c>
      <c r="M26" s="137">
        <v>22131.316580928447</v>
      </c>
      <c r="N26" s="158">
        <v>18978.310694223121</v>
      </c>
      <c r="O26" s="137">
        <v>9461.3096087178292</v>
      </c>
      <c r="P26" s="137">
        <v>9517.0010855034179</v>
      </c>
      <c r="Q26" s="158">
        <v>25486.624381152531</v>
      </c>
      <c r="R26" s="137">
        <v>12872.30888572643</v>
      </c>
      <c r="S26" s="137">
        <v>12614.315495421894</v>
      </c>
      <c r="T26" s="160">
        <v>45960.392177522197</v>
      </c>
      <c r="U26" s="137">
        <v>23084.748982724916</v>
      </c>
      <c r="V26" s="137">
        <v>22875.643194808545</v>
      </c>
      <c r="W26" s="153">
        <v>19616.594534436783</v>
      </c>
      <c r="X26" s="136">
        <v>9779.5150131840182</v>
      </c>
      <c r="Y26" s="136">
        <v>9837.07952125474</v>
      </c>
      <c r="Z26" s="153">
        <v>26343.797643096445</v>
      </c>
      <c r="AA26" s="136">
        <v>13305.233969545692</v>
      </c>
      <c r="AB26" s="133">
        <v>13038.563673558296</v>
      </c>
    </row>
    <row r="27" spans="1:28" s="5" customFormat="1" ht="12" customHeight="1">
      <c r="A27" s="39" t="s">
        <v>22</v>
      </c>
      <c r="B27" s="116">
        <v>1751.1818406053758</v>
      </c>
      <c r="C27" s="116">
        <v>874.44785121613063</v>
      </c>
      <c r="D27" s="117">
        <v>876.7339893892447</v>
      </c>
      <c r="E27" s="116">
        <v>786.431531551239</v>
      </c>
      <c r="F27" s="116">
        <v>382.92814399660602</v>
      </c>
      <c r="G27" s="117">
        <v>403.50338755463264</v>
      </c>
      <c r="H27" s="116">
        <v>964.75030905413632</v>
      </c>
      <c r="I27" s="116">
        <v>491.51970721952426</v>
      </c>
      <c r="J27" s="118">
        <v>473.23060183461172</v>
      </c>
      <c r="K27" s="116">
        <v>1810.252310685531</v>
      </c>
      <c r="L27" s="116">
        <v>903.94452850814912</v>
      </c>
      <c r="M27" s="116">
        <v>906.30778217745149</v>
      </c>
      <c r="N27" s="124">
        <v>812.959262240008</v>
      </c>
      <c r="O27" s="116">
        <v>395.84498960814028</v>
      </c>
      <c r="P27" s="117">
        <v>417.11427263186158</v>
      </c>
      <c r="Q27" s="116">
        <v>997.2930484455926</v>
      </c>
      <c r="R27" s="116">
        <v>508.0995389000027</v>
      </c>
      <c r="S27" s="118">
        <v>489.19350954558377</v>
      </c>
      <c r="T27" s="116">
        <v>1871.1352214590172</v>
      </c>
      <c r="U27" s="116">
        <v>934.34624309144124</v>
      </c>
      <c r="V27" s="116">
        <v>936.78897836749729</v>
      </c>
      <c r="W27" s="124">
        <v>840.30093496328311</v>
      </c>
      <c r="X27" s="116">
        <v>409.15815873938936</v>
      </c>
      <c r="Y27" s="117">
        <v>431.14277622389386</v>
      </c>
      <c r="Z27" s="116">
        <v>1030.834286495656</v>
      </c>
      <c r="AA27" s="116">
        <v>525.18808435205199</v>
      </c>
      <c r="AB27" s="118">
        <v>505.64620214360355</v>
      </c>
    </row>
    <row r="28" spans="1:28" ht="12.75" thickBot="1">
      <c r="A28" s="45" t="s">
        <v>21</v>
      </c>
      <c r="B28" s="128">
        <v>35070.253248889137</v>
      </c>
      <c r="C28" s="128">
        <v>15916.874273858566</v>
      </c>
      <c r="D28" s="154">
        <v>19153.378975025003</v>
      </c>
      <c r="E28" s="128">
        <v>14534.368455623449</v>
      </c>
      <c r="F28" s="128">
        <v>6529.9888620831225</v>
      </c>
      <c r="G28" s="154">
        <v>8004.3795935429362</v>
      </c>
      <c r="H28" s="128">
        <v>20535.884793260695</v>
      </c>
      <c r="I28" s="128">
        <v>9386.885411778092</v>
      </c>
      <c r="J28" s="128">
        <v>11148.999381484507</v>
      </c>
      <c r="K28" s="159">
        <v>36253.235105600084</v>
      </c>
      <c r="L28" s="128">
        <v>16453.778679651379</v>
      </c>
      <c r="M28" s="128">
        <v>19799.456425946806</v>
      </c>
      <c r="N28" s="157">
        <v>15024.6384876018</v>
      </c>
      <c r="O28" s="128">
        <v>6750.2569706011645</v>
      </c>
      <c r="P28" s="128">
        <v>8274.3815170022881</v>
      </c>
      <c r="Q28" s="157">
        <v>21228.596617996529</v>
      </c>
      <c r="R28" s="128">
        <v>9703.5217090519218</v>
      </c>
      <c r="S28" s="128">
        <v>11525.074908946777</v>
      </c>
      <c r="T28" s="159">
        <v>37472.514023322277</v>
      </c>
      <c r="U28" s="128">
        <v>17007.156754810687</v>
      </c>
      <c r="V28" s="128">
        <v>20465.357268514425</v>
      </c>
      <c r="W28" s="157">
        <v>15529.951321091938</v>
      </c>
      <c r="X28" s="128">
        <v>6977.283496357968</v>
      </c>
      <c r="Y28" s="128">
        <v>8552.6678247342388</v>
      </c>
      <c r="Z28" s="157">
        <v>21942.56270223311</v>
      </c>
      <c r="AA28" s="128">
        <v>10029.873258453197</v>
      </c>
      <c r="AB28" s="130">
        <v>11912.689443780402</v>
      </c>
    </row>
    <row r="29" spans="1:28">
      <c r="A29" s="260" t="s">
        <v>118</v>
      </c>
    </row>
    <row r="32" spans="1:28" ht="15" customHeight="1"/>
    <row r="33" ht="15" customHeight="1"/>
    <row r="34" ht="15" customHeight="1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G30"/>
  <sheetViews>
    <sheetView workbookViewId="0">
      <pane xSplit="1" topLeftCell="B1" activePane="topRight" state="frozen"/>
      <selection pane="topRight" activeCell="A29" sqref="A29"/>
    </sheetView>
  </sheetViews>
  <sheetFormatPr defaultColWidth="9.125" defaultRowHeight="12"/>
  <cols>
    <col min="1" max="1" width="14.25" style="64" customWidth="1"/>
    <col min="2" max="16384" width="9.125" style="1"/>
  </cols>
  <sheetData>
    <row r="1" spans="1:163" ht="20.25" customHeight="1" thickBot="1">
      <c r="A1" s="243" t="s">
        <v>108</v>
      </c>
      <c r="B1" s="243"/>
      <c r="C1" s="243"/>
      <c r="D1" s="243"/>
      <c r="E1" s="243"/>
      <c r="F1" s="243"/>
      <c r="G1" s="243"/>
      <c r="H1" s="243"/>
      <c r="I1" s="243"/>
    </row>
    <row r="2" spans="1:163" s="67" customFormat="1" ht="11.1" customHeight="1">
      <c r="A2" s="244" t="s">
        <v>55</v>
      </c>
      <c r="B2" s="232" t="s">
        <v>61</v>
      </c>
      <c r="C2" s="233"/>
      <c r="D2" s="233"/>
      <c r="E2" s="233"/>
      <c r="F2" s="233"/>
      <c r="G2" s="233"/>
      <c r="H2" s="233"/>
      <c r="I2" s="233"/>
      <c r="J2" s="234"/>
      <c r="K2" s="232" t="s">
        <v>62</v>
      </c>
      <c r="L2" s="233"/>
      <c r="M2" s="233"/>
      <c r="N2" s="233"/>
      <c r="O2" s="233"/>
      <c r="P2" s="233"/>
      <c r="Q2" s="233"/>
      <c r="R2" s="233"/>
      <c r="S2" s="234"/>
      <c r="T2" s="232" t="s">
        <v>63</v>
      </c>
      <c r="U2" s="233"/>
      <c r="V2" s="233"/>
      <c r="W2" s="233"/>
      <c r="X2" s="233"/>
      <c r="Y2" s="233"/>
      <c r="Z2" s="233"/>
      <c r="AA2" s="233"/>
      <c r="AB2" s="234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</row>
    <row r="3" spans="1:163" s="68" customFormat="1" ht="12" customHeight="1" thickBot="1">
      <c r="A3" s="245"/>
      <c r="B3" s="246" t="s">
        <v>0</v>
      </c>
      <c r="C3" s="247"/>
      <c r="D3" s="247"/>
      <c r="E3" s="248" t="s">
        <v>1</v>
      </c>
      <c r="F3" s="249"/>
      <c r="G3" s="250"/>
      <c r="H3" s="247" t="s">
        <v>2</v>
      </c>
      <c r="I3" s="247"/>
      <c r="J3" s="251"/>
      <c r="K3" s="246" t="s">
        <v>0</v>
      </c>
      <c r="L3" s="247"/>
      <c r="M3" s="247"/>
      <c r="N3" s="248" t="s">
        <v>1</v>
      </c>
      <c r="O3" s="249"/>
      <c r="P3" s="250"/>
      <c r="Q3" s="247" t="s">
        <v>2</v>
      </c>
      <c r="R3" s="247"/>
      <c r="S3" s="251"/>
      <c r="T3" s="246" t="s">
        <v>0</v>
      </c>
      <c r="U3" s="247"/>
      <c r="V3" s="247"/>
      <c r="W3" s="248" t="s">
        <v>1</v>
      </c>
      <c r="X3" s="249"/>
      <c r="Y3" s="250"/>
      <c r="Z3" s="247" t="s">
        <v>2</v>
      </c>
      <c r="AA3" s="247"/>
      <c r="AB3" s="251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</row>
    <row r="4" spans="1:163" ht="15.75" customHeight="1" thickBot="1">
      <c r="A4" s="245"/>
      <c r="B4" s="73" t="s">
        <v>0</v>
      </c>
      <c r="C4" s="74" t="s">
        <v>3</v>
      </c>
      <c r="D4" s="74" t="s">
        <v>4</v>
      </c>
      <c r="E4" s="75" t="s">
        <v>0</v>
      </c>
      <c r="F4" s="74" t="s">
        <v>3</v>
      </c>
      <c r="G4" s="76" t="s">
        <v>4</v>
      </c>
      <c r="H4" s="77" t="s">
        <v>0</v>
      </c>
      <c r="I4" s="74" t="s">
        <v>3</v>
      </c>
      <c r="J4" s="78" t="s">
        <v>4</v>
      </c>
      <c r="K4" s="73" t="s">
        <v>0</v>
      </c>
      <c r="L4" s="74" t="s">
        <v>3</v>
      </c>
      <c r="M4" s="74" t="s">
        <v>4</v>
      </c>
      <c r="N4" s="75" t="s">
        <v>0</v>
      </c>
      <c r="O4" s="74" t="s">
        <v>3</v>
      </c>
      <c r="P4" s="76" t="s">
        <v>4</v>
      </c>
      <c r="Q4" s="77" t="s">
        <v>0</v>
      </c>
      <c r="R4" s="74" t="s">
        <v>3</v>
      </c>
      <c r="S4" s="78" t="s">
        <v>4</v>
      </c>
      <c r="T4" s="73" t="s">
        <v>0</v>
      </c>
      <c r="U4" s="74" t="s">
        <v>3</v>
      </c>
      <c r="V4" s="74" t="s">
        <v>4</v>
      </c>
      <c r="W4" s="75" t="s">
        <v>0</v>
      </c>
      <c r="X4" s="74" t="s">
        <v>3</v>
      </c>
      <c r="Y4" s="76" t="s">
        <v>4</v>
      </c>
      <c r="Z4" s="77" t="s">
        <v>0</v>
      </c>
      <c r="AA4" s="74" t="s">
        <v>3</v>
      </c>
      <c r="AB4" s="78" t="s">
        <v>4</v>
      </c>
    </row>
    <row r="5" spans="1:163" ht="12.75" thickBot="1">
      <c r="A5" s="65" t="s">
        <v>60</v>
      </c>
      <c r="B5" s="148">
        <f>+B6+B7+B8+B9+B10+B11+B12+B13+B14+B15+B16+B17+B18+B19+B20+B21+B22+B23+B24+B25</f>
        <v>93559.069139186468</v>
      </c>
      <c r="C5" s="63">
        <f t="shared" ref="C5:J5" si="0">+C6+C7+C8+C9+C10+C11+C12+C13+C14+C15+C16+C17+C18+C19+C20+C21+C22+C23+C24+C25</f>
        <v>45430.904832853776</v>
      </c>
      <c r="D5" s="63">
        <f t="shared" si="0"/>
        <v>48128.164306335006</v>
      </c>
      <c r="E5" s="100">
        <f t="shared" si="0"/>
        <v>15190.511656370632</v>
      </c>
      <c r="F5" s="63">
        <f t="shared" si="0"/>
        <v>7365.0270608700939</v>
      </c>
      <c r="G5" s="101">
        <f t="shared" si="0"/>
        <v>7825.4845955006076</v>
      </c>
      <c r="H5" s="63">
        <f t="shared" si="0"/>
        <v>78368.557482817181</v>
      </c>
      <c r="I5" s="63">
        <f t="shared" si="0"/>
        <v>38065.877771983825</v>
      </c>
      <c r="J5" s="63">
        <f t="shared" si="0"/>
        <v>40302.679710834462</v>
      </c>
      <c r="K5" s="148">
        <f>+K6+K7+K8+K9+K10+K11+K12+K13+K14+K15+K16+K17+K18+K19+K20+K21+K22+K23+K24+K25</f>
        <v>96714.982515043172</v>
      </c>
      <c r="L5" s="63">
        <f t="shared" ref="L5:S5" si="1">+L6+L7+L8+L9+L10+L11+L12+L13+L14+L15+L16+L17+L18+L19+L20+L21+L22+L23+L24+L25</f>
        <v>46963.369847290487</v>
      </c>
      <c r="M5" s="101">
        <f t="shared" si="1"/>
        <v>49751.612667750138</v>
      </c>
      <c r="N5" s="63">
        <f t="shared" si="1"/>
        <v>15702.914562507907</v>
      </c>
      <c r="O5" s="63">
        <f t="shared" si="1"/>
        <v>7613.4624891912417</v>
      </c>
      <c r="P5" s="101">
        <f t="shared" si="1"/>
        <v>8089.4520733164945</v>
      </c>
      <c r="Q5" s="63">
        <f t="shared" si="1"/>
        <v>81012.067952534053</v>
      </c>
      <c r="R5" s="63">
        <f t="shared" si="1"/>
        <v>39349.907358099808</v>
      </c>
      <c r="S5" s="97">
        <f t="shared" si="1"/>
        <v>41662.160594434172</v>
      </c>
      <c r="T5" s="63">
        <f>+T6+T7+T8+T9+T10+T11+T12+T13+T14+T15+T16+T17+T18+T19+T20+T21+T22+T23+T24+T25</f>
        <v>99967.727790471152</v>
      </c>
      <c r="U5" s="63">
        <f t="shared" ref="U5:AB5" si="2">+U6+U7+U8+U9+U10+U11+U12+U13+U14+U15+U16+U17+U18+U19+U20+U21+U22+U23+U24+U25</f>
        <v>48542.855004776713</v>
      </c>
      <c r="V5" s="63">
        <f t="shared" si="2"/>
        <v>51424.872785693864</v>
      </c>
      <c r="W5" s="100">
        <f t="shared" si="2"/>
        <v>16231.039366187289</v>
      </c>
      <c r="X5" s="63">
        <f t="shared" si="2"/>
        <v>7869.5205837837493</v>
      </c>
      <c r="Y5" s="63">
        <f t="shared" si="2"/>
        <v>8361.5187824033983</v>
      </c>
      <c r="Z5" s="100">
        <f t="shared" si="2"/>
        <v>83736.688424282082</v>
      </c>
      <c r="AA5" s="63">
        <f t="shared" si="2"/>
        <v>40673.33442099284</v>
      </c>
      <c r="AB5" s="63">
        <f t="shared" si="2"/>
        <v>43063.35400329042</v>
      </c>
      <c r="AC5" s="149"/>
    </row>
    <row r="6" spans="1:163">
      <c r="A6" s="66" t="s">
        <v>5</v>
      </c>
      <c r="B6" s="138">
        <v>16147.400841548655</v>
      </c>
      <c r="C6" s="139">
        <v>7948.2462382312533</v>
      </c>
      <c r="D6" s="139">
        <v>8199.1546033173236</v>
      </c>
      <c r="E6" s="140">
        <v>2731.0410507444558</v>
      </c>
      <c r="F6" s="139">
        <v>1336.5695601699501</v>
      </c>
      <c r="G6" s="141">
        <v>1394.4714905744279</v>
      </c>
      <c r="H6" s="139">
        <v>13416.359790804121</v>
      </c>
      <c r="I6" s="139">
        <v>6611.6766780612252</v>
      </c>
      <c r="J6" s="142">
        <v>6804.6831127428177</v>
      </c>
      <c r="K6" s="138">
        <v>16692.081317419197</v>
      </c>
      <c r="L6" s="139">
        <v>8216.3546840341896</v>
      </c>
      <c r="M6" s="139">
        <v>8475.7266333859607</v>
      </c>
      <c r="N6" s="140">
        <v>2823.1639102529098</v>
      </c>
      <c r="O6" s="139">
        <v>1381.6544225088876</v>
      </c>
      <c r="P6" s="141">
        <v>1441.5094877439335</v>
      </c>
      <c r="Q6" s="139">
        <v>13868.917407166777</v>
      </c>
      <c r="R6" s="139">
        <v>6834.700261525717</v>
      </c>
      <c r="S6" s="142">
        <v>7034.2171456424639</v>
      </c>
      <c r="T6" s="138">
        <v>17253.474053378097</v>
      </c>
      <c r="U6" s="139">
        <v>8492.6894171322001</v>
      </c>
      <c r="V6" s="139">
        <v>8760.7846362492946</v>
      </c>
      <c r="W6" s="140">
        <v>2918.113346545078</v>
      </c>
      <c r="X6" s="139">
        <v>1428.1226095282832</v>
      </c>
      <c r="Y6" s="141">
        <v>1489.9907370168762</v>
      </c>
      <c r="Z6" s="139">
        <v>14335.360706833111</v>
      </c>
      <c r="AA6" s="139">
        <v>7064.5668076038055</v>
      </c>
      <c r="AB6" s="142">
        <v>7270.7938992324853</v>
      </c>
    </row>
    <row r="7" spans="1:163">
      <c r="A7" s="66" t="s">
        <v>6</v>
      </c>
      <c r="B7" s="138">
        <v>14097.439870059818</v>
      </c>
      <c r="C7" s="139">
        <v>7139.6785882267841</v>
      </c>
      <c r="D7" s="139">
        <v>6957.7612818343268</v>
      </c>
      <c r="E7" s="140">
        <v>2184.1590520669401</v>
      </c>
      <c r="F7" s="139">
        <v>1131.8019758470477</v>
      </c>
      <c r="G7" s="141">
        <v>1052.3570762199463</v>
      </c>
      <c r="H7" s="139">
        <v>11913.280817993416</v>
      </c>
      <c r="I7" s="139">
        <v>6007.8766123800406</v>
      </c>
      <c r="J7" s="142">
        <v>5905.4042056146691</v>
      </c>
      <c r="K7" s="138">
        <v>14572.971525738451</v>
      </c>
      <c r="L7" s="139">
        <v>7380.5126127984058</v>
      </c>
      <c r="M7" s="139">
        <v>7192.4589129399701</v>
      </c>
      <c r="N7" s="140">
        <v>2257.8346115913973</v>
      </c>
      <c r="O7" s="139">
        <v>1169.979664309054</v>
      </c>
      <c r="P7" s="141">
        <v>1087.8549472822688</v>
      </c>
      <c r="Q7" s="139">
        <v>12315.136914146979</v>
      </c>
      <c r="R7" s="139">
        <v>6210.5329484892773</v>
      </c>
      <c r="S7" s="142">
        <v>6104.6039656576268</v>
      </c>
      <c r="T7" s="138">
        <v>15063.093769951189</v>
      </c>
      <c r="U7" s="139">
        <v>7628.7360721550858</v>
      </c>
      <c r="V7" s="139">
        <v>7434.3576977960283</v>
      </c>
      <c r="W7" s="140">
        <v>2333.7707351843046</v>
      </c>
      <c r="X7" s="139">
        <v>1209.3287468034277</v>
      </c>
      <c r="Y7" s="141">
        <v>1124.4419883808014</v>
      </c>
      <c r="Z7" s="139">
        <v>12729.323034766809</v>
      </c>
      <c r="AA7" s="139">
        <v>6419.4073253515826</v>
      </c>
      <c r="AB7" s="142">
        <v>6309.9157094151515</v>
      </c>
    </row>
    <row r="8" spans="1:163">
      <c r="A8" s="66" t="s">
        <v>7</v>
      </c>
      <c r="B8" s="138">
        <v>13450.366919473989</v>
      </c>
      <c r="C8" s="139">
        <v>6885.2246343487268</v>
      </c>
      <c r="D8" s="139">
        <v>6565.1422851265552</v>
      </c>
      <c r="E8" s="140">
        <v>2206.0351838483202</v>
      </c>
      <c r="F8" s="139">
        <v>1142.1643540592784</v>
      </c>
      <c r="G8" s="141">
        <v>1063.8708297890914</v>
      </c>
      <c r="H8" s="139">
        <v>11244.331735626216</v>
      </c>
      <c r="I8" s="139">
        <v>5743.0602802897547</v>
      </c>
      <c r="J8" s="142">
        <v>5501.2714553377546</v>
      </c>
      <c r="K8" s="138">
        <v>13904.071656621736</v>
      </c>
      <c r="L8" s="139">
        <v>7117.4754756546445</v>
      </c>
      <c r="M8" s="139">
        <v>6786.5961809670171</v>
      </c>
      <c r="N8" s="140">
        <v>2280.4486641060194</v>
      </c>
      <c r="O8" s="139">
        <v>1180.6915839212434</v>
      </c>
      <c r="P8" s="141">
        <v>1099.7570801847014</v>
      </c>
      <c r="Q8" s="139">
        <v>11623.622992515642</v>
      </c>
      <c r="R8" s="139">
        <v>5936.7838917333265</v>
      </c>
      <c r="S8" s="142">
        <v>5686.8391007822411</v>
      </c>
      <c r="T8" s="138">
        <v>14371.697273813275</v>
      </c>
      <c r="U8" s="139">
        <v>7356.8523966275434</v>
      </c>
      <c r="V8" s="139">
        <v>7014.8448771856574</v>
      </c>
      <c r="W8" s="140">
        <v>2357.1453498224191</v>
      </c>
      <c r="X8" s="139">
        <v>1220.4009326846399</v>
      </c>
      <c r="Y8" s="141">
        <v>1136.7444171377037</v>
      </c>
      <c r="Z8" s="139">
        <v>12014.551923990781</v>
      </c>
      <c r="AA8" s="139">
        <v>6136.451463942828</v>
      </c>
      <c r="AB8" s="142">
        <v>5878.1004600478782</v>
      </c>
    </row>
    <row r="9" spans="1:163">
      <c r="A9" s="66" t="s">
        <v>8</v>
      </c>
      <c r="B9" s="138">
        <v>11074.053310563233</v>
      </c>
      <c r="C9" s="139">
        <v>5513.0222044644497</v>
      </c>
      <c r="D9" s="139">
        <v>5561.0311060998547</v>
      </c>
      <c r="E9" s="140">
        <v>1729.4635279607921</v>
      </c>
      <c r="F9" s="139">
        <v>873.3047821295736</v>
      </c>
      <c r="G9" s="141">
        <v>856.15874583121808</v>
      </c>
      <c r="H9" s="139">
        <v>9344.5897826034725</v>
      </c>
      <c r="I9" s="139">
        <v>4639.717422334702</v>
      </c>
      <c r="J9" s="142">
        <v>4704.8723602684659</v>
      </c>
      <c r="K9" s="138">
        <v>11447.600774102162</v>
      </c>
      <c r="L9" s="139">
        <v>5698.9862235222017</v>
      </c>
      <c r="M9" s="139">
        <v>5748.6145505775467</v>
      </c>
      <c r="N9" s="140">
        <v>1787.8014008271607</v>
      </c>
      <c r="O9" s="139">
        <v>902.76290167349794</v>
      </c>
      <c r="P9" s="141">
        <v>885.03849915373019</v>
      </c>
      <c r="Q9" s="139">
        <v>9659.7993732737177</v>
      </c>
      <c r="R9" s="139">
        <v>4796.2233218487845</v>
      </c>
      <c r="S9" s="142">
        <v>4863.5760514238955</v>
      </c>
      <c r="T9" s="138">
        <v>11832.609677217428</v>
      </c>
      <c r="U9" s="139">
        <v>5890.6561182089154</v>
      </c>
      <c r="V9" s="139">
        <v>5941.9535590060877</v>
      </c>
      <c r="W9" s="140">
        <v>1847.9292363364825</v>
      </c>
      <c r="X9" s="139">
        <v>933.12487545341321</v>
      </c>
      <c r="Y9" s="141">
        <v>914.8043608829928</v>
      </c>
      <c r="Z9" s="139">
        <v>9984.680440879818</v>
      </c>
      <c r="AA9" s="139">
        <v>4957.5312427555891</v>
      </c>
      <c r="AB9" s="142">
        <v>5027.1491981231802</v>
      </c>
    </row>
    <row r="10" spans="1:163">
      <c r="A10" s="66" t="s">
        <v>9</v>
      </c>
      <c r="B10" s="138">
        <v>8190.2736037426366</v>
      </c>
      <c r="C10" s="139">
        <v>3977.3250411728736</v>
      </c>
      <c r="D10" s="139">
        <v>4212.9485625693924</v>
      </c>
      <c r="E10" s="140">
        <v>1456.1533622302325</v>
      </c>
      <c r="F10" s="139">
        <v>708.04868179642824</v>
      </c>
      <c r="G10" s="141">
        <v>748.10468043382878</v>
      </c>
      <c r="H10" s="139">
        <v>6734.1202415121479</v>
      </c>
      <c r="I10" s="139">
        <v>3269.2763593763334</v>
      </c>
      <c r="J10" s="142">
        <v>3464.8438821354443</v>
      </c>
      <c r="K10" s="138">
        <v>8466.5460619417609</v>
      </c>
      <c r="L10" s="139">
        <v>4111.4872705857242</v>
      </c>
      <c r="M10" s="139">
        <v>4355.0587913550889</v>
      </c>
      <c r="N10" s="140">
        <v>1505.271998354388</v>
      </c>
      <c r="O10" s="139">
        <v>731.93241991179946</v>
      </c>
      <c r="P10" s="141">
        <v>773.33957844258373</v>
      </c>
      <c r="Q10" s="139">
        <v>6961.2740635872915</v>
      </c>
      <c r="R10" s="139">
        <v>3379.5548506740511</v>
      </c>
      <c r="S10" s="142">
        <v>3581.7192129125483</v>
      </c>
      <c r="T10" s="138">
        <v>8751.2953012642702</v>
      </c>
      <c r="U10" s="139">
        <v>4249.7659575752496</v>
      </c>
      <c r="V10" s="139">
        <v>4501.5293436876109</v>
      </c>
      <c r="W10" s="140">
        <v>1555.8977261739008</v>
      </c>
      <c r="X10" s="139">
        <v>756.54897526741809</v>
      </c>
      <c r="Y10" s="141">
        <v>799.34875090650792</v>
      </c>
      <c r="Z10" s="139">
        <v>7195.3975750898771</v>
      </c>
      <c r="AA10" s="139">
        <v>3493.2169823078216</v>
      </c>
      <c r="AB10" s="142">
        <v>3702.180592781006</v>
      </c>
    </row>
    <row r="11" spans="1:163">
      <c r="A11" s="58" t="s">
        <v>10</v>
      </c>
      <c r="B11" s="138">
        <v>5777.4887446422799</v>
      </c>
      <c r="C11" s="139">
        <v>2793.3168461553646</v>
      </c>
      <c r="D11" s="139">
        <v>2984.1718984865452</v>
      </c>
      <c r="E11" s="140">
        <v>928.35667430213118</v>
      </c>
      <c r="F11" s="139">
        <v>435.90351458349738</v>
      </c>
      <c r="G11" s="141">
        <v>492.45315971865381</v>
      </c>
      <c r="H11" s="139">
        <v>4849.1320703399942</v>
      </c>
      <c r="I11" s="139">
        <v>2357.4133315718041</v>
      </c>
      <c r="J11" s="142">
        <v>2491.71873876782</v>
      </c>
      <c r="K11" s="138">
        <v>5972.3736892636707</v>
      </c>
      <c r="L11" s="139">
        <v>2887.540378720118</v>
      </c>
      <c r="M11" s="139">
        <v>3084.8333105432298</v>
      </c>
      <c r="N11" s="140">
        <v>959.67179183111296</v>
      </c>
      <c r="O11" s="139">
        <v>450.60731342323578</v>
      </c>
      <c r="P11" s="141">
        <v>509.0644784078724</v>
      </c>
      <c r="Q11" s="139">
        <v>5012.7018974323737</v>
      </c>
      <c r="R11" s="139">
        <v>2436.9330652969616</v>
      </c>
      <c r="S11" s="142">
        <v>2575.7688321354476</v>
      </c>
      <c r="T11" s="138">
        <v>6173.2382274736901</v>
      </c>
      <c r="U11" s="139">
        <v>2984.6549423610354</v>
      </c>
      <c r="V11" s="139">
        <v>3188.5832851119744</v>
      </c>
      <c r="W11" s="140">
        <v>991.94774128241215</v>
      </c>
      <c r="X11" s="139">
        <v>465.76226430772164</v>
      </c>
      <c r="Y11" s="141">
        <v>526.18547697466988</v>
      </c>
      <c r="Z11" s="139">
        <v>5181.2904861909865</v>
      </c>
      <c r="AA11" s="139">
        <v>2518.8926780533352</v>
      </c>
      <c r="AB11" s="142">
        <v>2662.3978081373293</v>
      </c>
    </row>
    <row r="12" spans="1:163">
      <c r="A12" s="58" t="s">
        <v>11</v>
      </c>
      <c r="B12" s="138">
        <v>4620.497793058752</v>
      </c>
      <c r="C12" s="139">
        <v>2260.200712357343</v>
      </c>
      <c r="D12" s="139">
        <v>2360.2970807012166</v>
      </c>
      <c r="E12" s="140">
        <v>788.41337041223881</v>
      </c>
      <c r="F12" s="139">
        <v>371.96304779636972</v>
      </c>
      <c r="G12" s="141">
        <v>416.45032261586908</v>
      </c>
      <c r="H12" s="139">
        <v>3832.0844226463205</v>
      </c>
      <c r="I12" s="139">
        <v>1888.2376645609731</v>
      </c>
      <c r="J12" s="142">
        <v>1943.8467580853473</v>
      </c>
      <c r="K12" s="138">
        <v>4776.3553803814693</v>
      </c>
      <c r="L12" s="139">
        <v>2336.4412919812307</v>
      </c>
      <c r="M12" s="139">
        <v>2439.9140884002882</v>
      </c>
      <c r="N12" s="140">
        <v>815.00795204155565</v>
      </c>
      <c r="O12" s="139">
        <v>384.51002126098882</v>
      </c>
      <c r="P12" s="141">
        <v>430.49793078057604</v>
      </c>
      <c r="Q12" s="139">
        <v>3961.3474283397622</v>
      </c>
      <c r="R12" s="139">
        <v>1951.9312707202716</v>
      </c>
      <c r="S12" s="142">
        <v>2009.4161576197582</v>
      </c>
      <c r="T12" s="138">
        <v>4936.9950971374965</v>
      </c>
      <c r="U12" s="139">
        <v>2415.0211373802149</v>
      </c>
      <c r="V12" s="139">
        <v>2521.9739597573439</v>
      </c>
      <c r="W12" s="140">
        <v>842.4185268718511</v>
      </c>
      <c r="X12" s="139">
        <v>397.44196957433655</v>
      </c>
      <c r="Y12" s="141">
        <v>444.97655729751318</v>
      </c>
      <c r="Z12" s="139">
        <v>4094.5765702654999</v>
      </c>
      <c r="AA12" s="139">
        <v>2017.57916780594</v>
      </c>
      <c r="AB12" s="142">
        <v>2076.997402459906</v>
      </c>
    </row>
    <row r="13" spans="1:163">
      <c r="A13" s="58" t="s">
        <v>12</v>
      </c>
      <c r="B13" s="138">
        <v>3556.5104702921994</v>
      </c>
      <c r="C13" s="139">
        <v>1631.2000767149768</v>
      </c>
      <c r="D13" s="139">
        <v>1925.3103935772226</v>
      </c>
      <c r="E13" s="140">
        <v>620.35033220524122</v>
      </c>
      <c r="F13" s="139">
        <v>274.33819472024612</v>
      </c>
      <c r="G13" s="141">
        <v>346.01213748499509</v>
      </c>
      <c r="H13" s="139">
        <v>2936.1601380869583</v>
      </c>
      <c r="I13" s="139">
        <v>1356.8618819947308</v>
      </c>
      <c r="J13" s="142">
        <v>1579.2982560922276</v>
      </c>
      <c r="K13" s="138">
        <v>3676.4778777045794</v>
      </c>
      <c r="L13" s="139">
        <v>1686.2233490515337</v>
      </c>
      <c r="M13" s="139">
        <v>1990.2545286532627</v>
      </c>
      <c r="N13" s="140">
        <v>641.27584941201167</v>
      </c>
      <c r="O13" s="139">
        <v>283.59210870411687</v>
      </c>
      <c r="P13" s="141">
        <v>357.68374070789628</v>
      </c>
      <c r="Q13" s="139">
        <v>3035.2020282926433</v>
      </c>
      <c r="R13" s="139">
        <v>1402.6312403473999</v>
      </c>
      <c r="S13" s="142">
        <v>1632.5707879453462</v>
      </c>
      <c r="T13" s="138">
        <v>3800.126207424762</v>
      </c>
      <c r="U13" s="139">
        <v>1742.9348831831417</v>
      </c>
      <c r="V13" s="139">
        <v>2057.1913242419191</v>
      </c>
      <c r="W13" s="140">
        <v>662.84341769540606</v>
      </c>
      <c r="X13" s="139">
        <v>293.12995762625451</v>
      </c>
      <c r="Y13" s="141">
        <v>369.71346006915019</v>
      </c>
      <c r="Z13" s="139">
        <v>3137.2827897294687</v>
      </c>
      <c r="AA13" s="139">
        <v>1449.8049255568858</v>
      </c>
      <c r="AB13" s="142">
        <v>1687.4778641727689</v>
      </c>
    </row>
    <row r="14" spans="1:163">
      <c r="A14" s="58" t="s">
        <v>13</v>
      </c>
      <c r="B14" s="138">
        <v>2717.4310368910865</v>
      </c>
      <c r="C14" s="139">
        <v>1234.5218762411075</v>
      </c>
      <c r="D14" s="139">
        <v>1482.909160649979</v>
      </c>
      <c r="E14" s="140">
        <v>413.97880734811912</v>
      </c>
      <c r="F14" s="139">
        <v>173.00606874249755</v>
      </c>
      <c r="G14" s="141">
        <v>240.97273860562157</v>
      </c>
      <c r="H14" s="139">
        <v>2303.4522295429674</v>
      </c>
      <c r="I14" s="139">
        <v>1061.51580749861</v>
      </c>
      <c r="J14" s="142">
        <v>1241.9364220443574</v>
      </c>
      <c r="K14" s="138">
        <v>2809.0948064880363</v>
      </c>
      <c r="L14" s="139">
        <v>1276.1644891685294</v>
      </c>
      <c r="M14" s="139">
        <v>1532.9303173195694</v>
      </c>
      <c r="N14" s="140">
        <v>427.94304691837675</v>
      </c>
      <c r="O14" s="139">
        <v>178.84187035394768</v>
      </c>
      <c r="P14" s="141">
        <v>249.10117656442659</v>
      </c>
      <c r="Q14" s="139">
        <v>2381.1517595697123</v>
      </c>
      <c r="R14" s="139">
        <v>1097.3226188145711</v>
      </c>
      <c r="S14" s="142">
        <v>1283.8291407551276</v>
      </c>
      <c r="T14" s="138">
        <v>2903.5710667572239</v>
      </c>
      <c r="U14" s="139">
        <v>1319.0848093181501</v>
      </c>
      <c r="V14" s="139">
        <v>1584.4862574392196</v>
      </c>
      <c r="W14" s="140">
        <v>442.33574686844781</v>
      </c>
      <c r="X14" s="139">
        <v>184.85673003457441</v>
      </c>
      <c r="Y14" s="141">
        <v>257.47901683387204</v>
      </c>
      <c r="Z14" s="139">
        <v>2461.2353198888509</v>
      </c>
      <c r="AA14" s="139">
        <v>1134.2280792835743</v>
      </c>
      <c r="AB14" s="142">
        <v>1327.0072406053462</v>
      </c>
    </row>
    <row r="15" spans="1:163">
      <c r="A15" s="58" t="s">
        <v>14</v>
      </c>
      <c r="B15" s="138">
        <v>3367.8221442705917</v>
      </c>
      <c r="C15" s="139">
        <v>1472.3395854819473</v>
      </c>
      <c r="D15" s="139">
        <v>1895.4825587885507</v>
      </c>
      <c r="E15" s="140">
        <v>631.00267949224565</v>
      </c>
      <c r="F15" s="139">
        <v>291.99339678464713</v>
      </c>
      <c r="G15" s="141">
        <v>339.00928270759874</v>
      </c>
      <c r="H15" s="139">
        <v>2736.8194647782884</v>
      </c>
      <c r="I15" s="139">
        <v>1180.3461886972736</v>
      </c>
      <c r="J15" s="142">
        <v>1556.4732760809211</v>
      </c>
      <c r="K15" s="138">
        <v>3481.4247597130957</v>
      </c>
      <c r="L15" s="139">
        <v>1522.0042116306336</v>
      </c>
      <c r="M15" s="139">
        <v>1959.4205480824626</v>
      </c>
      <c r="N15" s="140">
        <v>652.28751927027179</v>
      </c>
      <c r="O15" s="139">
        <v>301.8428520544789</v>
      </c>
      <c r="P15" s="141">
        <v>350.44466721579323</v>
      </c>
      <c r="Q15" s="139">
        <v>2829.1372404428243</v>
      </c>
      <c r="R15" s="139">
        <v>1220.1613595761551</v>
      </c>
      <c r="S15" s="142">
        <v>1608.9758808666697</v>
      </c>
      <c r="T15" s="138">
        <v>3598.5130085491451</v>
      </c>
      <c r="U15" s="139">
        <v>1573.1926819153919</v>
      </c>
      <c r="V15" s="139">
        <v>2025.3203266339524</v>
      </c>
      <c r="W15" s="140">
        <v>674.22543510658807</v>
      </c>
      <c r="X15" s="139">
        <v>311.99451506893348</v>
      </c>
      <c r="Y15" s="141">
        <v>362.23092003766027</v>
      </c>
      <c r="Z15" s="139">
        <v>2924.2875734426357</v>
      </c>
      <c r="AA15" s="139">
        <v>1261.1981668464437</v>
      </c>
      <c r="AB15" s="142">
        <v>1663.0894065962752</v>
      </c>
    </row>
    <row r="16" spans="1:163">
      <c r="A16" s="58" t="s">
        <v>15</v>
      </c>
      <c r="B16" s="138">
        <v>2561.1285226451373</v>
      </c>
      <c r="C16" s="139">
        <v>1143.2283840212558</v>
      </c>
      <c r="D16" s="139">
        <v>1417.9001386237878</v>
      </c>
      <c r="E16" s="140">
        <v>394.68598972162039</v>
      </c>
      <c r="F16" s="139">
        <v>180.63998275660384</v>
      </c>
      <c r="G16" s="141">
        <v>214.04600696501683</v>
      </c>
      <c r="H16" s="139">
        <v>2166.4425329234809</v>
      </c>
      <c r="I16" s="139">
        <v>962.58840126464122</v>
      </c>
      <c r="J16" s="142">
        <v>1203.8541316587516</v>
      </c>
      <c r="K16" s="138">
        <v>2647.5199311558076</v>
      </c>
      <c r="L16" s="139">
        <v>1181.7915055014332</v>
      </c>
      <c r="M16" s="139">
        <v>1465.7284256543749</v>
      </c>
      <c r="N16" s="140">
        <v>407.999448327876</v>
      </c>
      <c r="O16" s="139">
        <v>186.73328983031334</v>
      </c>
      <c r="P16" s="141">
        <v>221.266158497563</v>
      </c>
      <c r="Q16" s="139">
        <v>2239.520482827932</v>
      </c>
      <c r="R16" s="139">
        <v>995.05821567112025</v>
      </c>
      <c r="S16" s="142">
        <v>1244.4622671568122</v>
      </c>
      <c r="T16" s="138">
        <v>2736.5620601384703</v>
      </c>
      <c r="U16" s="139">
        <v>1221.5378471342892</v>
      </c>
      <c r="V16" s="139">
        <v>1515.024213004232</v>
      </c>
      <c r="W16" s="140">
        <v>421.72139960588936</v>
      </c>
      <c r="X16" s="139">
        <v>193.0135559324753</v>
      </c>
      <c r="Y16" s="141">
        <v>228.70784367341275</v>
      </c>
      <c r="Z16" s="139">
        <v>2314.840660532634</v>
      </c>
      <c r="AA16" s="139">
        <v>1028.5242912018043</v>
      </c>
      <c r="AB16" s="142">
        <v>1286.3163693308081</v>
      </c>
    </row>
    <row r="17" spans="1:29">
      <c r="A17" s="58" t="s">
        <v>16</v>
      </c>
      <c r="B17" s="138">
        <v>2396.5729219147916</v>
      </c>
      <c r="C17" s="139">
        <v>995.99442547305421</v>
      </c>
      <c r="D17" s="139">
        <v>1400.5784964416462</v>
      </c>
      <c r="E17" s="140">
        <v>363.7544858249417</v>
      </c>
      <c r="F17" s="139">
        <v>141.04765776885512</v>
      </c>
      <c r="G17" s="141">
        <v>222.70682805608686</v>
      </c>
      <c r="H17" s="139">
        <v>2032.8184360898167</v>
      </c>
      <c r="I17" s="139">
        <v>854.94676770419937</v>
      </c>
      <c r="J17" s="142">
        <v>1177.8716683855391</v>
      </c>
      <c r="K17" s="138">
        <v>2477.4135780912075</v>
      </c>
      <c r="L17" s="139">
        <v>1029.5910843383699</v>
      </c>
      <c r="M17" s="139">
        <v>1447.822493752838</v>
      </c>
      <c r="N17" s="140">
        <v>376.02456993227446</v>
      </c>
      <c r="O17" s="139">
        <v>145.80544548394337</v>
      </c>
      <c r="P17" s="141">
        <v>230.21912444833143</v>
      </c>
      <c r="Q17" s="139">
        <v>2101.3890081589334</v>
      </c>
      <c r="R17" s="139">
        <v>883.78563885442691</v>
      </c>
      <c r="S17" s="142">
        <v>1217.6033693045069</v>
      </c>
      <c r="T17" s="138">
        <v>2560.7346427479492</v>
      </c>
      <c r="U17" s="139">
        <v>1064.2185789427433</v>
      </c>
      <c r="V17" s="139">
        <v>1496.5160638052266</v>
      </c>
      <c r="W17" s="140">
        <v>388.67113317909542</v>
      </c>
      <c r="X17" s="139">
        <v>150.70921490617906</v>
      </c>
      <c r="Y17" s="141">
        <v>237.96191827291506</v>
      </c>
      <c r="Z17" s="139">
        <v>2172.0635095689026</v>
      </c>
      <c r="AA17" s="139">
        <v>913.5093640365659</v>
      </c>
      <c r="AB17" s="142">
        <v>1258.5541455323</v>
      </c>
    </row>
    <row r="18" spans="1:29">
      <c r="A18" s="58" t="s">
        <v>17</v>
      </c>
      <c r="B18" s="138">
        <v>1869.5000955153382</v>
      </c>
      <c r="C18" s="139">
        <v>890.82731222434666</v>
      </c>
      <c r="D18" s="139">
        <v>978.67278329091414</v>
      </c>
      <c r="E18" s="140">
        <v>259.82463273210129</v>
      </c>
      <c r="F18" s="139">
        <v>120.01423511911361</v>
      </c>
      <c r="G18" s="141">
        <v>139.81039761298797</v>
      </c>
      <c r="H18" s="139">
        <v>1609.6754627832133</v>
      </c>
      <c r="I18" s="139">
        <v>770.81307710523333</v>
      </c>
      <c r="J18" s="142">
        <v>838.86238567792645</v>
      </c>
      <c r="K18" s="138">
        <v>1932.5616502301573</v>
      </c>
      <c r="L18" s="139">
        <v>920.87649779332469</v>
      </c>
      <c r="M18" s="139">
        <v>1011.6851524368331</v>
      </c>
      <c r="N18" s="140">
        <v>268.5889785230533</v>
      </c>
      <c r="O18" s="139">
        <v>124.06252817493431</v>
      </c>
      <c r="P18" s="141">
        <v>144.52645034811931</v>
      </c>
      <c r="Q18" s="139">
        <v>1663.9726717071044</v>
      </c>
      <c r="R18" s="139">
        <v>796.81396961839073</v>
      </c>
      <c r="S18" s="142">
        <v>867.15870208871411</v>
      </c>
      <c r="T18" s="138">
        <v>1997.5581028354443</v>
      </c>
      <c r="U18" s="139">
        <v>951.84767309164522</v>
      </c>
      <c r="V18" s="139">
        <v>1045.7104297437379</v>
      </c>
      <c r="W18" s="140">
        <v>277.62223798506778</v>
      </c>
      <c r="X18" s="139">
        <v>128.23503373595918</v>
      </c>
      <c r="Y18" s="141">
        <v>149.3872042491073</v>
      </c>
      <c r="Z18" s="139">
        <v>1719.9358648503633</v>
      </c>
      <c r="AA18" s="139">
        <v>823.61263935569025</v>
      </c>
      <c r="AB18" s="142">
        <v>896.32322549463379</v>
      </c>
    </row>
    <row r="19" spans="1:29">
      <c r="A19" s="58" t="s">
        <v>18</v>
      </c>
      <c r="B19" s="138">
        <v>1251.7654501864174</v>
      </c>
      <c r="C19" s="139">
        <v>526.19575879812169</v>
      </c>
      <c r="D19" s="139">
        <v>725.56969138829686</v>
      </c>
      <c r="E19" s="140">
        <v>167.827424268946</v>
      </c>
      <c r="F19" s="139">
        <v>68.14045797385775</v>
      </c>
      <c r="G19" s="141">
        <v>99.686966295088354</v>
      </c>
      <c r="H19" s="139">
        <v>1083.9380259174725</v>
      </c>
      <c r="I19" s="139">
        <v>458.05530082426429</v>
      </c>
      <c r="J19" s="142">
        <v>625.88272509320927</v>
      </c>
      <c r="K19" s="138">
        <v>1293.989719453122</v>
      </c>
      <c r="L19" s="139">
        <v>543.94527521366115</v>
      </c>
      <c r="M19" s="139">
        <v>750.04444423946086</v>
      </c>
      <c r="N19" s="140">
        <v>173.48854101538834</v>
      </c>
      <c r="O19" s="139">
        <v>70.43895650248848</v>
      </c>
      <c r="P19" s="141">
        <v>103.04958451289983</v>
      </c>
      <c r="Q19" s="139">
        <v>1120.5011784377336</v>
      </c>
      <c r="R19" s="139">
        <v>473.5063187111727</v>
      </c>
      <c r="S19" s="142">
        <v>646.994859726561</v>
      </c>
      <c r="T19" s="138">
        <v>1337.5095427209012</v>
      </c>
      <c r="U19" s="139">
        <v>562.23939447037765</v>
      </c>
      <c r="V19" s="139">
        <v>775.27014825052879</v>
      </c>
      <c r="W19" s="140">
        <v>179.32335603012001</v>
      </c>
      <c r="X19" s="139">
        <v>72.807979140048928</v>
      </c>
      <c r="Y19" s="141">
        <v>106.51537689007142</v>
      </c>
      <c r="Z19" s="139">
        <v>1158.1861866907891</v>
      </c>
      <c r="AA19" s="139">
        <v>489.43141533032696</v>
      </c>
      <c r="AB19" s="142">
        <v>668.75477136045322</v>
      </c>
    </row>
    <row r="20" spans="1:29">
      <c r="A20" s="58" t="s">
        <v>19</v>
      </c>
      <c r="B20" s="138">
        <v>1080.1524449189249</v>
      </c>
      <c r="C20" s="139">
        <v>460.57902148996271</v>
      </c>
      <c r="D20" s="139">
        <v>619.57342342896322</v>
      </c>
      <c r="E20" s="140">
        <v>128.7097539506205</v>
      </c>
      <c r="F20" s="139">
        <v>55.521854645365558</v>
      </c>
      <c r="G20" s="141">
        <v>73.187899305254646</v>
      </c>
      <c r="H20" s="139">
        <v>951.44269096830544</v>
      </c>
      <c r="I20" s="139">
        <v>405.05716684459748</v>
      </c>
      <c r="J20" s="142">
        <v>546.38552412370905</v>
      </c>
      <c r="K20" s="138">
        <v>1116.5879030764843</v>
      </c>
      <c r="L20" s="139">
        <v>476.1151689520056</v>
      </c>
      <c r="M20" s="139">
        <v>640.47273412447873</v>
      </c>
      <c r="N20" s="140">
        <v>133.05136228247827</v>
      </c>
      <c r="O20" s="139">
        <v>57.394705298323949</v>
      </c>
      <c r="P20" s="141">
        <v>75.656656984154296</v>
      </c>
      <c r="Q20" s="139">
        <v>983.5365407940061</v>
      </c>
      <c r="R20" s="139">
        <v>418.72046365368163</v>
      </c>
      <c r="S20" s="142">
        <v>564.81607714032441</v>
      </c>
      <c r="T20" s="138">
        <v>1154.1412989607866</v>
      </c>
      <c r="U20" s="139">
        <v>492.12800715032876</v>
      </c>
      <c r="V20" s="139">
        <v>662.01329181044844</v>
      </c>
      <c r="W20" s="140">
        <v>137.52618282009212</v>
      </c>
      <c r="X20" s="139">
        <v>59.325020040039902</v>
      </c>
      <c r="Y20" s="141">
        <v>78.201162780052528</v>
      </c>
      <c r="Z20" s="139">
        <v>1016.6151161407</v>
      </c>
      <c r="AA20" s="139">
        <v>432.80298711028917</v>
      </c>
      <c r="AB20" s="142">
        <v>583.81212903039295</v>
      </c>
    </row>
    <row r="21" spans="1:29">
      <c r="A21" s="58" t="s">
        <v>20</v>
      </c>
      <c r="B21" s="138">
        <v>649.85807141734426</v>
      </c>
      <c r="C21" s="139">
        <v>282.65671455822411</v>
      </c>
      <c r="D21" s="139">
        <v>367.20135685912118</v>
      </c>
      <c r="E21" s="140">
        <v>80.759061302349991</v>
      </c>
      <c r="F21" s="139">
        <v>29.022787655531996</v>
      </c>
      <c r="G21" s="141">
        <v>51.736273646817907</v>
      </c>
      <c r="H21" s="139">
        <v>569.09901011499483</v>
      </c>
      <c r="I21" s="139">
        <v>253.63392690269228</v>
      </c>
      <c r="J21" s="142">
        <v>315.46508321230357</v>
      </c>
      <c r="K21" s="138">
        <v>671.77893701447363</v>
      </c>
      <c r="L21" s="139">
        <v>292.19122697328561</v>
      </c>
      <c r="M21" s="139">
        <v>379.58771004118802</v>
      </c>
      <c r="N21" s="140">
        <v>83.483207706653019</v>
      </c>
      <c r="O21" s="139">
        <v>30.001777769578418</v>
      </c>
      <c r="P21" s="141">
        <v>53.481429937074587</v>
      </c>
      <c r="Q21" s="139">
        <v>588.29572930782058</v>
      </c>
      <c r="R21" s="139">
        <v>262.18944920370717</v>
      </c>
      <c r="S21" s="142">
        <v>326.10628010411341</v>
      </c>
      <c r="T21" s="138">
        <v>694.37239365047139</v>
      </c>
      <c r="U21" s="139">
        <v>302.01828384020189</v>
      </c>
      <c r="V21" s="139">
        <v>392.35410981026217</v>
      </c>
      <c r="W21" s="140">
        <v>86.290938240057926</v>
      </c>
      <c r="X21" s="139">
        <v>31.010805930020858</v>
      </c>
      <c r="Y21" s="141">
        <v>55.280132310037182</v>
      </c>
      <c r="Z21" s="139">
        <v>608.08145541041017</v>
      </c>
      <c r="AA21" s="139">
        <v>271.00747791018119</v>
      </c>
      <c r="AB21" s="142">
        <v>337.07397750022528</v>
      </c>
    </row>
    <row r="22" spans="1:29">
      <c r="A22" s="29" t="s">
        <v>29</v>
      </c>
      <c r="B22" s="138">
        <v>545.12366379085984</v>
      </c>
      <c r="C22" s="139">
        <v>217.03997725006519</v>
      </c>
      <c r="D22" s="139">
        <v>328.08368654079567</v>
      </c>
      <c r="E22" s="140">
        <v>70.664178639556198</v>
      </c>
      <c r="F22" s="139">
        <v>23.975346324135128</v>
      </c>
      <c r="G22" s="141">
        <v>46.688832315421038</v>
      </c>
      <c r="H22" s="139">
        <v>474.45948515130402</v>
      </c>
      <c r="I22" s="139">
        <v>193.0646309259302</v>
      </c>
      <c r="J22" s="142">
        <v>281.3948542253749</v>
      </c>
      <c r="K22" s="138">
        <v>563.51165201990796</v>
      </c>
      <c r="L22" s="139">
        <v>224.36112071163004</v>
      </c>
      <c r="M22" s="139">
        <v>339.15053130827795</v>
      </c>
      <c r="N22" s="140">
        <v>73.047806743321388</v>
      </c>
      <c r="O22" s="139">
        <v>24.784077287912602</v>
      </c>
      <c r="P22" s="141">
        <v>48.263729455408772</v>
      </c>
      <c r="Q22" s="139">
        <v>490.4638452765866</v>
      </c>
      <c r="R22" s="139">
        <v>199.57704342371741</v>
      </c>
      <c r="S22" s="142">
        <v>290.88680185286916</v>
      </c>
      <c r="T22" s="138">
        <v>582.463833120392</v>
      </c>
      <c r="U22" s="139">
        <v>231.9068965201551</v>
      </c>
      <c r="V22" s="139">
        <v>350.55693660023428</v>
      </c>
      <c r="W22" s="140">
        <v>75.504570960050728</v>
      </c>
      <c r="X22" s="139">
        <v>25.617622290017231</v>
      </c>
      <c r="Y22" s="141">
        <v>49.886948670033554</v>
      </c>
      <c r="Z22" s="139">
        <v>506.95926216033865</v>
      </c>
      <c r="AA22" s="139">
        <v>206.28927423013801</v>
      </c>
      <c r="AB22" s="142">
        <v>300.66998793020099</v>
      </c>
    </row>
    <row r="23" spans="1:29">
      <c r="A23" s="29" t="s">
        <v>30</v>
      </c>
      <c r="B23" s="138">
        <v>109.78184895788215</v>
      </c>
      <c r="C23" s="139">
        <v>30.284647988381213</v>
      </c>
      <c r="D23" s="139">
        <v>79.497200969500767</v>
      </c>
      <c r="E23" s="140">
        <v>16.404184327039825</v>
      </c>
      <c r="F23" s="139">
        <v>5.04744133139687</v>
      </c>
      <c r="G23" s="141">
        <v>11.356742995642955</v>
      </c>
      <c r="H23" s="139">
        <v>93.377664630842233</v>
      </c>
      <c r="I23" s="139">
        <v>25.237206656984345</v>
      </c>
      <c r="J23" s="142">
        <v>68.14045797385775</v>
      </c>
      <c r="K23" s="138">
        <v>113.48498547623146</v>
      </c>
      <c r="L23" s="139">
        <v>31.306202889994871</v>
      </c>
      <c r="M23" s="139">
        <v>82.178782586236565</v>
      </c>
      <c r="N23" s="140">
        <v>16.957526565413879</v>
      </c>
      <c r="O23" s="139">
        <v>5.2177004816658084</v>
      </c>
      <c r="P23" s="141">
        <v>11.739826083748069</v>
      </c>
      <c r="Q23" s="139">
        <v>96.527458910817558</v>
      </c>
      <c r="R23" s="139">
        <v>26.088502408329056</v>
      </c>
      <c r="S23" s="142">
        <v>70.43895650248848</v>
      </c>
      <c r="T23" s="138">
        <v>117.30174417007862</v>
      </c>
      <c r="U23" s="139">
        <v>32.359101840021765</v>
      </c>
      <c r="V23" s="139">
        <v>84.942642330057026</v>
      </c>
      <c r="W23" s="140">
        <v>17.527846830011789</v>
      </c>
      <c r="X23" s="139">
        <v>5.3931836400036275</v>
      </c>
      <c r="Y23" s="141">
        <v>12.134663190008162</v>
      </c>
      <c r="Z23" s="139">
        <v>99.773897340066924</v>
      </c>
      <c r="AA23" s="139">
        <v>26.965918200018137</v>
      </c>
      <c r="AB23" s="142">
        <v>72.807979140048928</v>
      </c>
    </row>
    <row r="24" spans="1:29">
      <c r="A24" s="29" t="s">
        <v>32</v>
      </c>
      <c r="B24" s="138">
        <v>61.831156309611643</v>
      </c>
      <c r="C24" s="139">
        <v>15.142323994190606</v>
      </c>
      <c r="D24" s="139">
        <v>46.688832315421038</v>
      </c>
      <c r="E24" s="140">
        <v>15.142323994190606</v>
      </c>
      <c r="F24" s="139">
        <v>1.2618603328492175</v>
      </c>
      <c r="G24" s="141">
        <v>13.880463661341389</v>
      </c>
      <c r="H24" s="139">
        <v>46.688832315421038</v>
      </c>
      <c r="I24" s="139">
        <v>13.880463661341389</v>
      </c>
      <c r="J24" s="142">
        <v>32.808368654079651</v>
      </c>
      <c r="K24" s="138">
        <v>63.916830900406218</v>
      </c>
      <c r="L24" s="139">
        <v>15.653101444997425</v>
      </c>
      <c r="M24" s="139">
        <v>48.263729455408772</v>
      </c>
      <c r="N24" s="140">
        <v>15.653101444997425</v>
      </c>
      <c r="O24" s="139">
        <v>1.3044251204164521</v>
      </c>
      <c r="P24" s="141">
        <v>14.348676324580973</v>
      </c>
      <c r="Q24" s="139">
        <v>48.263729455408772</v>
      </c>
      <c r="R24" s="139">
        <v>14.348676324580973</v>
      </c>
      <c r="S24" s="142">
        <v>33.915053130827779</v>
      </c>
      <c r="T24" s="138">
        <v>66.06649959004443</v>
      </c>
      <c r="U24" s="139">
        <v>16.179550920010882</v>
      </c>
      <c r="V24" s="139">
        <v>49.886948670033554</v>
      </c>
      <c r="W24" s="140">
        <v>16.179550920010882</v>
      </c>
      <c r="X24" s="139">
        <v>1.3482959100009069</v>
      </c>
      <c r="Y24" s="141">
        <v>14.831255010009976</v>
      </c>
      <c r="Z24" s="139">
        <v>49.886948670033554</v>
      </c>
      <c r="AA24" s="139">
        <v>14.831255010009976</v>
      </c>
      <c r="AB24" s="142">
        <v>35.055693660023579</v>
      </c>
    </row>
    <row r="25" spans="1:29" ht="12.75" thickBot="1">
      <c r="A25" s="34" t="s">
        <v>31</v>
      </c>
      <c r="B25" s="143">
        <v>34.070228986928868</v>
      </c>
      <c r="C25" s="144">
        <v>13.880463661341389</v>
      </c>
      <c r="D25" s="144">
        <v>20.189765325587476</v>
      </c>
      <c r="E25" s="145">
        <v>3.7855809985476525</v>
      </c>
      <c r="F25" s="144">
        <v>1.2618603328492175</v>
      </c>
      <c r="G25" s="146">
        <v>2.523720665698435</v>
      </c>
      <c r="H25" s="144">
        <v>30.284647988381213</v>
      </c>
      <c r="I25" s="144">
        <v>12.618603328492172</v>
      </c>
      <c r="J25" s="147">
        <v>17.666044659889042</v>
      </c>
      <c r="K25" s="143">
        <v>35.219478251244233</v>
      </c>
      <c r="L25" s="144">
        <v>14.348676324580973</v>
      </c>
      <c r="M25" s="144">
        <v>20.870801926663241</v>
      </c>
      <c r="N25" s="145">
        <v>3.9132753612493563</v>
      </c>
      <c r="O25" s="144">
        <v>1.3044251204164521</v>
      </c>
      <c r="P25" s="146">
        <v>2.6088502408329042</v>
      </c>
      <c r="Q25" s="144">
        <v>31.306202889994871</v>
      </c>
      <c r="R25" s="144">
        <v>13.044251204164521</v>
      </c>
      <c r="S25" s="147">
        <v>18.261951685830333</v>
      </c>
      <c r="T25" s="143">
        <v>36.403989570024486</v>
      </c>
      <c r="U25" s="144">
        <v>14.831255010009976</v>
      </c>
      <c r="V25" s="144">
        <v>21.57273456001451</v>
      </c>
      <c r="W25" s="145">
        <v>4.0448877300027206</v>
      </c>
      <c r="X25" s="144">
        <v>1.3482959100009069</v>
      </c>
      <c r="Y25" s="146">
        <v>2.6965918200018137</v>
      </c>
      <c r="Z25" s="144">
        <v>32.359101840021765</v>
      </c>
      <c r="AA25" s="144">
        <v>13.482959100009069</v>
      </c>
      <c r="AB25" s="147">
        <v>18.876142740012696</v>
      </c>
    </row>
    <row r="26" spans="1:29" s="5" customFormat="1">
      <c r="A26" s="134" t="s">
        <v>72</v>
      </c>
      <c r="B26" s="162">
        <v>50768.519138729142</v>
      </c>
      <c r="C26" s="120">
        <v>25552.098770821434</v>
      </c>
      <c r="D26" s="120">
        <v>25216.420367887229</v>
      </c>
      <c r="E26" s="153">
        <v>8215.152402494512</v>
      </c>
      <c r="F26" s="120">
        <v>4158.0659825372059</v>
      </c>
      <c r="G26" s="155">
        <v>4057.0864199578205</v>
      </c>
      <c r="H26" s="120">
        <v>42553.366736225682</v>
      </c>
      <c r="I26" s="125">
        <v>21394.03278828174</v>
      </c>
      <c r="J26" s="129">
        <v>21159.333947927043</v>
      </c>
      <c r="K26" s="125">
        <v>52481.031352569298</v>
      </c>
      <c r="L26" s="125">
        <v>26414.016391785615</v>
      </c>
      <c r="M26" s="125">
        <v>26067.014960827149</v>
      </c>
      <c r="N26" s="158">
        <v>8492.2640667110354</v>
      </c>
      <c r="O26" s="125">
        <v>4298.3249245371935</v>
      </c>
      <c r="P26" s="156">
        <v>4193.9391421742739</v>
      </c>
      <c r="Q26" s="125">
        <v>43988.76728587602</v>
      </c>
      <c r="R26" s="125">
        <v>22115.691467246204</v>
      </c>
      <c r="S26" s="129">
        <v>21873.075818650701</v>
      </c>
      <c r="T26" s="125">
        <v>54246.088041238865</v>
      </c>
      <c r="U26" s="125">
        <v>27302.37996057338</v>
      </c>
      <c r="V26" s="125">
        <v>26943.708080676035</v>
      </c>
      <c r="W26" s="153">
        <v>8777.8782611448478</v>
      </c>
      <c r="X26" s="120">
        <v>4442.8873876318348</v>
      </c>
      <c r="Y26" s="155">
        <v>4334.9908735128283</v>
      </c>
      <c r="Z26" s="120">
        <v>45468.209780099518</v>
      </c>
      <c r="AA26" s="120">
        <v>22859.492572943822</v>
      </c>
      <c r="AB26" s="120">
        <v>22608.717207165391</v>
      </c>
      <c r="AC26" s="106"/>
    </row>
    <row r="27" spans="1:29">
      <c r="A27" s="39" t="s">
        <v>22</v>
      </c>
      <c r="B27" s="138">
        <v>2007.2293159941514</v>
      </c>
      <c r="C27" s="139">
        <v>967.03644722725039</v>
      </c>
      <c r="D27" s="139">
        <v>1040.1928687669006</v>
      </c>
      <c r="E27" s="140">
        <v>315.48706788974101</v>
      </c>
      <c r="F27" s="139">
        <v>171.46036298355475</v>
      </c>
      <c r="G27" s="141">
        <v>144.02670490618593</v>
      </c>
      <c r="H27" s="139">
        <v>1691.74224810441</v>
      </c>
      <c r="I27" s="139">
        <v>795.57608424369528</v>
      </c>
      <c r="J27" s="142">
        <v>896.16616386071428</v>
      </c>
      <c r="K27" s="161">
        <v>2074.9367216473706</v>
      </c>
      <c r="L27" s="139">
        <v>999.65630211489497</v>
      </c>
      <c r="M27" s="139">
        <v>1075.2804195325657</v>
      </c>
      <c r="N27" s="140">
        <v>326.12900636372046</v>
      </c>
      <c r="O27" s="139">
        <v>177.24402519767327</v>
      </c>
      <c r="P27" s="141">
        <v>148.88498116604555</v>
      </c>
      <c r="Q27" s="139">
        <v>1748.8077152836754</v>
      </c>
      <c r="R27" s="139">
        <v>822.41227691721747</v>
      </c>
      <c r="S27" s="142">
        <v>926.3954383665216</v>
      </c>
      <c r="T27" s="161">
        <v>2144.7215723773029</v>
      </c>
      <c r="U27" s="139">
        <v>1033.2770217717123</v>
      </c>
      <c r="V27" s="139">
        <v>1111.4445506055133</v>
      </c>
      <c r="W27" s="140">
        <v>337.09746809573574</v>
      </c>
      <c r="X27" s="139">
        <v>183.20514570420426</v>
      </c>
      <c r="Y27" s="141">
        <v>153.89232239153159</v>
      </c>
      <c r="Z27" s="139">
        <v>1807.6241042815539</v>
      </c>
      <c r="AA27" s="139">
        <v>850.07187606750733</v>
      </c>
      <c r="AB27" s="142">
        <v>957.55222821397376</v>
      </c>
    </row>
    <row r="28" spans="1:29" ht="12.75" thickBot="1">
      <c r="A28" s="45" t="s">
        <v>21</v>
      </c>
      <c r="B28" s="159">
        <v>42790.55000050216</v>
      </c>
      <c r="C28" s="128">
        <v>19878.806062035015</v>
      </c>
      <c r="D28" s="154">
        <v>22911.743938450058</v>
      </c>
      <c r="E28" s="128">
        <v>6975.3592538765506</v>
      </c>
      <c r="F28" s="128">
        <v>3206.9610783330695</v>
      </c>
      <c r="G28" s="154">
        <v>3768.3981755429804</v>
      </c>
      <c r="H28" s="128">
        <v>35815.190746615255</v>
      </c>
      <c r="I28" s="128">
        <v>16671.844983702205</v>
      </c>
      <c r="J28" s="130">
        <v>19143.345762907415</v>
      </c>
      <c r="K28" s="128">
        <v>44233.951162448175</v>
      </c>
      <c r="L28" s="128">
        <v>20549.353455509201</v>
      </c>
      <c r="M28" s="154">
        <v>23684.597706926852</v>
      </c>
      <c r="N28" s="128">
        <v>7210.6504957969055</v>
      </c>
      <c r="O28" s="128">
        <v>3315.1375646540077</v>
      </c>
      <c r="P28" s="154">
        <v>3895.5129311421424</v>
      </c>
      <c r="Q28" s="128">
        <v>37023.300666644267</v>
      </c>
      <c r="R28" s="128">
        <v>17234.215890855776</v>
      </c>
      <c r="S28" s="130">
        <v>19789.084775785373</v>
      </c>
      <c r="T28" s="128">
        <v>45721.639749199414</v>
      </c>
      <c r="U28" s="128">
        <v>21240.475044196734</v>
      </c>
      <c r="V28" s="128">
        <v>24481.164705011794</v>
      </c>
      <c r="W28" s="157">
        <v>7453.1611050428473</v>
      </c>
      <c r="X28" s="128">
        <v>3426.6331961518431</v>
      </c>
      <c r="Y28" s="154">
        <v>4026.5279088904326</v>
      </c>
      <c r="Z28" s="128">
        <v>38268.478644162089</v>
      </c>
      <c r="AA28" s="128">
        <v>17813.841848044685</v>
      </c>
      <c r="AB28" s="130">
        <v>20454.63679612106</v>
      </c>
    </row>
    <row r="29" spans="1:29">
      <c r="A29" s="260" t="s">
        <v>119</v>
      </c>
    </row>
    <row r="30" spans="1:29">
      <c r="B30" s="8"/>
    </row>
  </sheetData>
  <mergeCells count="14">
    <mergeCell ref="A1:I1"/>
    <mergeCell ref="B2:J2"/>
    <mergeCell ref="A2:A4"/>
    <mergeCell ref="K2:S2"/>
    <mergeCell ref="T2:AB2"/>
    <mergeCell ref="B3:D3"/>
    <mergeCell ref="E3:G3"/>
    <mergeCell ref="H3:J3"/>
    <mergeCell ref="K3:M3"/>
    <mergeCell ref="N3:P3"/>
    <mergeCell ref="Q3:S3"/>
    <mergeCell ref="T3:V3"/>
    <mergeCell ref="W3:Y3"/>
    <mergeCell ref="Z3:AB3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32"/>
  <sheetViews>
    <sheetView workbookViewId="0">
      <pane xSplit="1" topLeftCell="B1" activePane="topRight" state="frozen"/>
      <selection pane="topRight" activeCell="A29" sqref="A29"/>
    </sheetView>
  </sheetViews>
  <sheetFormatPr defaultColWidth="9.125" defaultRowHeight="12"/>
  <cols>
    <col min="1" max="1" width="15.625" style="1" customWidth="1"/>
    <col min="2" max="2" width="8.875" style="1" customWidth="1"/>
    <col min="3" max="16384" width="9.125" style="1"/>
  </cols>
  <sheetData>
    <row r="1" spans="1:28" ht="12.75" thickBot="1">
      <c r="A1" s="55" t="s">
        <v>109</v>
      </c>
      <c r="B1" s="53"/>
      <c r="C1" s="53"/>
      <c r="D1" s="53"/>
      <c r="E1" s="53"/>
      <c r="F1" s="53"/>
      <c r="G1" s="53"/>
      <c r="H1" s="53"/>
      <c r="I1" s="53"/>
      <c r="J1" s="5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>
      <c r="A2" s="235" t="s">
        <v>55</v>
      </c>
      <c r="B2" s="233" t="s">
        <v>65</v>
      </c>
      <c r="C2" s="233"/>
      <c r="D2" s="233"/>
      <c r="E2" s="233"/>
      <c r="F2" s="233"/>
      <c r="G2" s="233"/>
      <c r="H2" s="233"/>
      <c r="I2" s="233"/>
      <c r="J2" s="234"/>
      <c r="K2" s="233" t="s">
        <v>66</v>
      </c>
      <c r="L2" s="233"/>
      <c r="M2" s="233"/>
      <c r="N2" s="233"/>
      <c r="O2" s="233"/>
      <c r="P2" s="233"/>
      <c r="Q2" s="233"/>
      <c r="R2" s="233"/>
      <c r="S2" s="234"/>
      <c r="T2" s="233" t="s">
        <v>67</v>
      </c>
      <c r="U2" s="233"/>
      <c r="V2" s="233"/>
      <c r="W2" s="233"/>
      <c r="X2" s="233"/>
      <c r="Y2" s="233"/>
      <c r="Z2" s="233"/>
      <c r="AA2" s="233"/>
      <c r="AB2" s="234"/>
    </row>
    <row r="3" spans="1:28" ht="12.75" thickBot="1">
      <c r="A3" s="236"/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5"/>
      <c r="K3" s="11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5"/>
    </row>
    <row r="4" spans="1:28" ht="12.75" thickBot="1">
      <c r="A4" s="237"/>
      <c r="B4" s="83" t="s">
        <v>0</v>
      </c>
      <c r="C4" s="84" t="s">
        <v>3</v>
      </c>
      <c r="D4" s="85" t="s">
        <v>4</v>
      </c>
      <c r="E4" s="86" t="s">
        <v>0</v>
      </c>
      <c r="F4" s="84" t="s">
        <v>3</v>
      </c>
      <c r="G4" s="85" t="s">
        <v>4</v>
      </c>
      <c r="H4" s="86" t="s">
        <v>0</v>
      </c>
      <c r="I4" s="84" t="s">
        <v>3</v>
      </c>
      <c r="J4" s="87" t="s">
        <v>4</v>
      </c>
      <c r="K4" s="83" t="s">
        <v>0</v>
      </c>
      <c r="L4" s="84" t="s">
        <v>3</v>
      </c>
      <c r="M4" s="84" t="s">
        <v>4</v>
      </c>
      <c r="N4" s="88" t="s">
        <v>0</v>
      </c>
      <c r="O4" s="89" t="s">
        <v>3</v>
      </c>
      <c r="P4" s="90" t="s">
        <v>4</v>
      </c>
      <c r="Q4" s="86" t="s">
        <v>0</v>
      </c>
      <c r="R4" s="84" t="s">
        <v>3</v>
      </c>
      <c r="S4" s="87" t="s">
        <v>4</v>
      </c>
      <c r="T4" s="105" t="s">
        <v>0</v>
      </c>
      <c r="U4" s="20" t="s">
        <v>3</v>
      </c>
      <c r="V4" s="20" t="s">
        <v>4</v>
      </c>
      <c r="W4" s="19" t="s">
        <v>0</v>
      </c>
      <c r="X4" s="20" t="s">
        <v>3</v>
      </c>
      <c r="Y4" s="21" t="s">
        <v>4</v>
      </c>
      <c r="Z4" s="103" t="s">
        <v>0</v>
      </c>
      <c r="AA4" s="20" t="s">
        <v>3</v>
      </c>
      <c r="AB4" s="104" t="s">
        <v>4</v>
      </c>
    </row>
    <row r="5" spans="1:28" ht="12.75" thickBot="1">
      <c r="A5" s="166" t="s">
        <v>64</v>
      </c>
      <c r="B5" s="63">
        <f>+B6+B7+B8+B9+B10+B11+B12+B13+B14+B15+B16+B17+B18+B19+B20+B21+B22+B23+B24+B25</f>
        <v>219970.39139374311</v>
      </c>
      <c r="C5" s="63">
        <f t="shared" ref="C5:J5" si="0">+C6+C7+C8+C9+C10+C11+C12+C13+C14+C15+C16+C17+C18+C19+C20+C21+C22+C23+C24+C25</f>
        <v>106072.10670843475</v>
      </c>
      <c r="D5" s="63">
        <f t="shared" si="0"/>
        <v>113898.28468527261</v>
      </c>
      <c r="E5" s="100">
        <f t="shared" si="0"/>
        <v>79481.470283016533</v>
      </c>
      <c r="F5" s="63">
        <f t="shared" si="0"/>
        <v>38493.898023074456</v>
      </c>
      <c r="G5" s="63">
        <f t="shared" si="0"/>
        <v>40987.572259943336</v>
      </c>
      <c r="H5" s="100">
        <f t="shared" si="0"/>
        <v>140488.92111070149</v>
      </c>
      <c r="I5" s="63">
        <f t="shared" si="0"/>
        <v>67578.208685362944</v>
      </c>
      <c r="J5" s="97">
        <f t="shared" si="0"/>
        <v>72910.712425333113</v>
      </c>
      <c r="K5" s="63">
        <f>+K6+K7+K8+K9+K10+K11+K12+K13+K14+K15+K16+K17+K18+K19+K20+K21+K22+K23+K24+K25</f>
        <v>227390.38292289924</v>
      </c>
      <c r="L5" s="63">
        <f t="shared" ref="L5:S5" si="1">+L6+L7+L8+L9+L10+L11+L12+L13+L14+L15+L16+L17+L18+L19+L20+L21+L22+L23+L24+L25</f>
        <v>109650.10703963786</v>
      </c>
      <c r="M5" s="63">
        <f t="shared" si="1"/>
        <v>117740.27588327513</v>
      </c>
      <c r="N5" s="100">
        <f t="shared" si="1"/>
        <v>82162.521275791936</v>
      </c>
      <c r="O5" s="63">
        <f t="shared" si="1"/>
        <v>39792.365491567623</v>
      </c>
      <c r="P5" s="63">
        <f t="shared" si="1"/>
        <v>42370.155784223876</v>
      </c>
      <c r="Q5" s="100">
        <f t="shared" si="1"/>
        <v>145227.86164712289</v>
      </c>
      <c r="R5" s="63">
        <f t="shared" si="1"/>
        <v>69857.741548061022</v>
      </c>
      <c r="S5" s="97">
        <f t="shared" si="1"/>
        <v>75370.120099042004</v>
      </c>
      <c r="T5" s="63">
        <f>+T6+T7+T8+T9+T10+T11+T12+T13+T14+T15+T16+T17+T18+T19+T20+T21+T22+T23+T24+T25</f>
        <v>235038.03972324441</v>
      </c>
      <c r="U5" s="63">
        <f t="shared" ref="U5:AB5" si="2">+U6+U7+U8+U9+U10+U11+U12+U13+U14+U15+U16+U17+U18+U19+U20+U21+U22+U23+U24+U25</f>
        <v>113337.89003197243</v>
      </c>
      <c r="V5" s="63">
        <f t="shared" si="2"/>
        <v>121700.14969131658</v>
      </c>
      <c r="W5" s="63">
        <f t="shared" si="2"/>
        <v>84925.834114684141</v>
      </c>
      <c r="X5" s="63">
        <f t="shared" si="2"/>
        <v>41130.673429851733</v>
      </c>
      <c r="Y5" s="63">
        <f t="shared" si="2"/>
        <v>43795.160684834009</v>
      </c>
      <c r="Z5" s="63">
        <f t="shared" si="2"/>
        <v>150112.20560859601</v>
      </c>
      <c r="AA5" s="63">
        <f t="shared" si="2"/>
        <v>72207.216602116765</v>
      </c>
      <c r="AB5" s="97">
        <f t="shared" si="2"/>
        <v>77904.989006477961</v>
      </c>
    </row>
    <row r="6" spans="1:28">
      <c r="A6" s="2" t="s">
        <v>5</v>
      </c>
      <c r="B6" s="138">
        <v>40869.112543827134</v>
      </c>
      <c r="C6" s="139">
        <v>20455.063205598446</v>
      </c>
      <c r="D6" s="139">
        <v>20414.049338228608</v>
      </c>
      <c r="E6" s="140">
        <v>14483.92663263668</v>
      </c>
      <c r="F6" s="139">
        <v>7339.0696787674769</v>
      </c>
      <c r="G6" s="167">
        <v>7144.8569538691245</v>
      </c>
      <c r="H6" s="161">
        <v>26385.185911190376</v>
      </c>
      <c r="I6" s="139">
        <v>13115.993526830893</v>
      </c>
      <c r="J6" s="142">
        <v>13269.192384359407</v>
      </c>
      <c r="K6" s="138">
        <v>42247.700211732641</v>
      </c>
      <c r="L6" s="139">
        <v>21145.048774806339</v>
      </c>
      <c r="M6" s="139">
        <v>21102.651436931468</v>
      </c>
      <c r="N6" s="140">
        <v>14972.495172437533</v>
      </c>
      <c r="O6" s="139">
        <v>7586.6295185407071</v>
      </c>
      <c r="P6" s="141">
        <v>7385.8656538982304</v>
      </c>
      <c r="Q6" s="139">
        <v>27275.205039302331</v>
      </c>
      <c r="R6" s="139">
        <v>13558.419256260089</v>
      </c>
      <c r="S6" s="142">
        <v>13716.785783027757</v>
      </c>
      <c r="T6" s="138">
        <v>43668.586652385253</v>
      </c>
      <c r="U6" s="139">
        <v>21856.204954668941</v>
      </c>
      <c r="V6" s="139">
        <v>21812.381697697816</v>
      </c>
      <c r="W6" s="140">
        <v>15476.054307403441</v>
      </c>
      <c r="X6" s="139">
        <v>7841.7851591793924</v>
      </c>
      <c r="Y6" s="141">
        <v>7634.2691482280334</v>
      </c>
      <c r="Z6" s="139">
        <v>28192.532344964598</v>
      </c>
      <c r="AA6" s="139">
        <v>14014.419795486205</v>
      </c>
      <c r="AB6" s="142">
        <v>14178.112549466354</v>
      </c>
    </row>
    <row r="7" spans="1:28">
      <c r="A7" s="2" t="s">
        <v>6</v>
      </c>
      <c r="B7" s="138">
        <v>34686.334002429998</v>
      </c>
      <c r="C7" s="139">
        <v>17345.469751916538</v>
      </c>
      <c r="D7" s="139">
        <v>17340.864250488874</v>
      </c>
      <c r="E7" s="140">
        <v>12941.459011717874</v>
      </c>
      <c r="F7" s="139">
        <v>6490.3028869271266</v>
      </c>
      <c r="G7" s="141">
        <v>6451.1561247920408</v>
      </c>
      <c r="H7" s="161">
        <v>21744.874990692977</v>
      </c>
      <c r="I7" s="139">
        <v>10855.166864989187</v>
      </c>
      <c r="J7" s="142">
        <v>10889.708125696616</v>
      </c>
      <c r="K7" s="138">
        <v>35856.365581859056</v>
      </c>
      <c r="L7" s="139">
        <v>17930.563217514697</v>
      </c>
      <c r="M7" s="139">
        <v>17925.802364353724</v>
      </c>
      <c r="N7" s="140">
        <v>13377.997382334213</v>
      </c>
      <c r="O7" s="139">
        <v>6709.2323171012049</v>
      </c>
      <c r="P7" s="141">
        <v>6668.7650652329339</v>
      </c>
      <c r="Q7" s="139">
        <v>22478.368199534209</v>
      </c>
      <c r="R7" s="139">
        <v>11221.330900413419</v>
      </c>
      <c r="S7" s="142">
        <v>11257.037299120717</v>
      </c>
      <c r="T7" s="138">
        <v>37062.296873013438</v>
      </c>
      <c r="U7" s="139">
        <v>18533.60892227017</v>
      </c>
      <c r="V7" s="139">
        <v>18528.687950767417</v>
      </c>
      <c r="W7" s="140">
        <v>13827.929922758191</v>
      </c>
      <c r="X7" s="139">
        <v>6934.879090265792</v>
      </c>
      <c r="Y7" s="141">
        <v>6893.0508324923239</v>
      </c>
      <c r="Z7" s="139">
        <v>23234.366950275617</v>
      </c>
      <c r="AA7" s="139">
        <v>11598.729832007481</v>
      </c>
      <c r="AB7" s="142">
        <v>11635.637118278188</v>
      </c>
    </row>
    <row r="8" spans="1:28">
      <c r="A8" s="2" t="s">
        <v>7</v>
      </c>
      <c r="B8" s="138">
        <v>32089.982572584184</v>
      </c>
      <c r="C8" s="139">
        <v>16150.34213143799</v>
      </c>
      <c r="D8" s="139">
        <v>15939.640441122676</v>
      </c>
      <c r="E8" s="140">
        <v>12006.542221903474</v>
      </c>
      <c r="F8" s="139">
        <v>6110.3490191454121</v>
      </c>
      <c r="G8" s="141">
        <v>5896.1932027593548</v>
      </c>
      <c r="H8" s="161">
        <v>20083.440350663037</v>
      </c>
      <c r="I8" s="139">
        <v>10039.993112293872</v>
      </c>
      <c r="J8" s="142">
        <v>10043.447238364615</v>
      </c>
      <c r="K8" s="138">
        <v>33172.434612368699</v>
      </c>
      <c r="L8" s="139">
        <v>16695.121822242189</v>
      </c>
      <c r="M8" s="139">
        <v>16477.312790127671</v>
      </c>
      <c r="N8" s="140">
        <v>12411.544190656683</v>
      </c>
      <c r="O8" s="139">
        <v>6316.4619313209278</v>
      </c>
      <c r="P8" s="141">
        <v>6095.0822593356806</v>
      </c>
      <c r="Q8" s="139">
        <v>20760.890421713179</v>
      </c>
      <c r="R8" s="139">
        <v>10378.659890921188</v>
      </c>
      <c r="S8" s="142">
        <v>10382.230530791918</v>
      </c>
      <c r="T8" s="138">
        <v>34288.099188336055</v>
      </c>
      <c r="U8" s="139">
        <v>17256.616817305592</v>
      </c>
      <c r="V8" s="139">
        <v>17031.482371054612</v>
      </c>
      <c r="W8" s="140">
        <v>12828.972707697718</v>
      </c>
      <c r="X8" s="139">
        <v>6528.8989412880137</v>
      </c>
      <c r="Y8" s="141">
        <v>6300.0737664096296</v>
      </c>
      <c r="Z8" s="139">
        <v>21459.126480657229</v>
      </c>
      <c r="AA8" s="139">
        <v>10727.717876018793</v>
      </c>
      <c r="AB8" s="142">
        <v>10731.408604645863</v>
      </c>
    </row>
    <row r="9" spans="1:28">
      <c r="A9" s="2" t="s">
        <v>8</v>
      </c>
      <c r="B9" s="138">
        <v>25586.45843348268</v>
      </c>
      <c r="C9" s="139">
        <v>12295.994164091973</v>
      </c>
      <c r="D9" s="139">
        <v>13290.464269396</v>
      </c>
      <c r="E9" s="140">
        <v>9432.6061022683116</v>
      </c>
      <c r="F9" s="139">
        <v>4489.9753719957007</v>
      </c>
      <c r="G9" s="141">
        <v>4942.6307302723762</v>
      </c>
      <c r="H9" s="161">
        <v>16153.852331219661</v>
      </c>
      <c r="I9" s="139">
        <v>7806.0187920983162</v>
      </c>
      <c r="J9" s="142">
        <v>8347.8335391263336</v>
      </c>
      <c r="K9" s="138">
        <v>26449.535066843688</v>
      </c>
      <c r="L9" s="139">
        <v>12710.759860345128</v>
      </c>
      <c r="M9" s="139">
        <v>13738.77520649235</v>
      </c>
      <c r="N9" s="140">
        <v>9750.7846395419201</v>
      </c>
      <c r="O9" s="139">
        <v>4641.4302065094944</v>
      </c>
      <c r="P9" s="141">
        <v>5109.354433031318</v>
      </c>
      <c r="Q9" s="139">
        <v>16698.750427295556</v>
      </c>
      <c r="R9" s="139">
        <v>8069.3296538322475</v>
      </c>
      <c r="S9" s="142">
        <v>8629.4207734571919</v>
      </c>
      <c r="T9" s="138">
        <v>27339.093209615054</v>
      </c>
      <c r="U9" s="139">
        <v>13138.25168227024</v>
      </c>
      <c r="V9" s="139">
        <v>14200.841527355316</v>
      </c>
      <c r="W9" s="140">
        <v>10078.725749008037</v>
      </c>
      <c r="X9" s="139">
        <v>4797.5320821739324</v>
      </c>
      <c r="Y9" s="141">
        <v>5281.1936668329863</v>
      </c>
      <c r="Z9" s="139">
        <v>17260.367460616213</v>
      </c>
      <c r="AA9" s="139">
        <v>8340.7196000930217</v>
      </c>
      <c r="AB9" s="142">
        <v>8919.647860518684</v>
      </c>
    </row>
    <row r="10" spans="1:28">
      <c r="A10" s="2" t="s">
        <v>9</v>
      </c>
      <c r="B10" s="138">
        <v>19708.72944720259</v>
      </c>
      <c r="C10" s="139">
        <v>9475.5999129596585</v>
      </c>
      <c r="D10" s="139">
        <v>10233.129534248883</v>
      </c>
      <c r="E10" s="140">
        <v>7267.8075174752639</v>
      </c>
      <c r="F10" s="139">
        <v>3466.0219997424269</v>
      </c>
      <c r="G10" s="141">
        <v>3801.7855177324668</v>
      </c>
      <c r="H10" s="161">
        <v>12440.921929732564</v>
      </c>
      <c r="I10" s="139">
        <v>6009.5779132178513</v>
      </c>
      <c r="J10" s="142">
        <v>6431.3440165176207</v>
      </c>
      <c r="K10" s="138">
        <v>20373.539854743263</v>
      </c>
      <c r="L10" s="139">
        <v>9795.2287077376532</v>
      </c>
      <c r="M10" s="139">
        <v>10578.311147010576</v>
      </c>
      <c r="N10" s="140">
        <v>7512.9635581299026</v>
      </c>
      <c r="O10" s="139">
        <v>3582.9370705163947</v>
      </c>
      <c r="P10" s="141">
        <v>3930.0264876126098</v>
      </c>
      <c r="Q10" s="139">
        <v>12860.576296617819</v>
      </c>
      <c r="R10" s="139">
        <v>6212.291637221495</v>
      </c>
      <c r="S10" s="142">
        <v>6648.2846593986578</v>
      </c>
      <c r="T10" s="138">
        <v>21058.748431360298</v>
      </c>
      <c r="U10" s="139">
        <v>10124.664572507201</v>
      </c>
      <c r="V10" s="139">
        <v>10934.083858858443</v>
      </c>
      <c r="W10" s="140">
        <v>7765.6416446343756</v>
      </c>
      <c r="X10" s="139">
        <v>3703.4394097115674</v>
      </c>
      <c r="Y10" s="141">
        <v>4062.2022349215526</v>
      </c>
      <c r="Z10" s="139">
        <v>13293.106786731269</v>
      </c>
      <c r="AA10" s="139">
        <v>6421.225162794366</v>
      </c>
      <c r="AB10" s="142">
        <v>6871.8816239354928</v>
      </c>
    </row>
    <row r="11" spans="1:28">
      <c r="A11" s="3" t="s">
        <v>10</v>
      </c>
      <c r="B11" s="138">
        <v>13329.222605396755</v>
      </c>
      <c r="C11" s="139">
        <v>6598.6367167091494</v>
      </c>
      <c r="D11" s="139">
        <v>6730.5858886912001</v>
      </c>
      <c r="E11" s="140">
        <v>4850.3101879469768</v>
      </c>
      <c r="F11" s="139">
        <v>2370.3726252486126</v>
      </c>
      <c r="G11" s="141">
        <v>2479.9375626979941</v>
      </c>
      <c r="H11" s="161">
        <v>8478.9124174531516</v>
      </c>
      <c r="I11" s="139">
        <v>4228.2640914601661</v>
      </c>
      <c r="J11" s="142">
        <v>4250.6483259928355</v>
      </c>
      <c r="K11" s="138">
        <v>13778.840929917638</v>
      </c>
      <c r="L11" s="139">
        <v>6821.2204391449068</v>
      </c>
      <c r="M11" s="139">
        <v>6957.620490775751</v>
      </c>
      <c r="N11" s="140">
        <v>5013.9197550362205</v>
      </c>
      <c r="O11" s="139">
        <v>2450.3294989392716</v>
      </c>
      <c r="P11" s="141">
        <v>2563.5902560969839</v>
      </c>
      <c r="Q11" s="139">
        <v>8764.9211748840098</v>
      </c>
      <c r="R11" s="139">
        <v>4370.8909402050976</v>
      </c>
      <c r="S11" s="142">
        <v>4394.0302346781873</v>
      </c>
      <c r="T11" s="138">
        <v>14242.254752374871</v>
      </c>
      <c r="U11" s="139">
        <v>7050.6336280752694</v>
      </c>
      <c r="V11" s="139">
        <v>7191.6211242981917</v>
      </c>
      <c r="W11" s="140">
        <v>5182.5493031215483</v>
      </c>
      <c r="X11" s="139">
        <v>2532.7396642895101</v>
      </c>
      <c r="Y11" s="141">
        <v>2649.8096388317158</v>
      </c>
      <c r="Z11" s="139">
        <v>9059.7054492519128</v>
      </c>
      <c r="AA11" s="139">
        <v>4517.8939637849144</v>
      </c>
      <c r="AB11" s="142">
        <v>4541.8114854655887</v>
      </c>
    </row>
    <row r="12" spans="1:28">
      <c r="A12" s="3" t="s">
        <v>11</v>
      </c>
      <c r="B12" s="138">
        <v>9971.3283477380846</v>
      </c>
      <c r="C12" s="139">
        <v>4938.0875049647393</v>
      </c>
      <c r="D12" s="139">
        <v>5033.240842773148</v>
      </c>
      <c r="E12" s="140">
        <v>3551.5674397566995</v>
      </c>
      <c r="F12" s="139">
        <v>1711.5243229168507</v>
      </c>
      <c r="G12" s="141">
        <v>1840.0431168398488</v>
      </c>
      <c r="H12" s="161">
        <v>6419.7609079813883</v>
      </c>
      <c r="I12" s="139">
        <v>3226.5631820475792</v>
      </c>
      <c r="J12" s="142">
        <v>3193.1977259329547</v>
      </c>
      <c r="K12" s="138">
        <v>10307.678942042656</v>
      </c>
      <c r="L12" s="139">
        <v>5104.6579566741511</v>
      </c>
      <c r="M12" s="139">
        <v>5203.0209853688457</v>
      </c>
      <c r="N12" s="140">
        <v>3671.3681099801815</v>
      </c>
      <c r="O12" s="139">
        <v>1769.2570745730143</v>
      </c>
      <c r="P12" s="141">
        <v>1902.1110354073833</v>
      </c>
      <c r="Q12" s="139">
        <v>6636.3108320629663</v>
      </c>
      <c r="R12" s="139">
        <v>3335.4008821010198</v>
      </c>
      <c r="S12" s="142">
        <v>3300.909949961334</v>
      </c>
      <c r="T12" s="138">
        <v>10654.349676063308</v>
      </c>
      <c r="U12" s="139">
        <v>5276.3392372724547</v>
      </c>
      <c r="V12" s="139">
        <v>5378.0104387914889</v>
      </c>
      <c r="W12" s="140">
        <v>3794.8445865666322</v>
      </c>
      <c r="X12" s="139">
        <v>1828.7612221277661</v>
      </c>
      <c r="Y12" s="141">
        <v>1966.0833644391653</v>
      </c>
      <c r="Z12" s="139">
        <v>6859.5050894974156</v>
      </c>
      <c r="AA12" s="139">
        <v>3447.5780151445961</v>
      </c>
      <c r="AB12" s="142">
        <v>3411.9270743522197</v>
      </c>
    </row>
    <row r="13" spans="1:28">
      <c r="A13" s="3" t="s">
        <v>12</v>
      </c>
      <c r="B13" s="138">
        <v>7534.4142937370325</v>
      </c>
      <c r="C13" s="139">
        <v>3350.1389454350774</v>
      </c>
      <c r="D13" s="139">
        <v>4184.2753483007227</v>
      </c>
      <c r="E13" s="140">
        <v>2792.8122525574604</v>
      </c>
      <c r="F13" s="139">
        <v>1254.2939983831072</v>
      </c>
      <c r="G13" s="141">
        <v>1538.5182541743532</v>
      </c>
      <c r="H13" s="161">
        <v>4741.6020411785448</v>
      </c>
      <c r="I13" s="139">
        <v>2095.8449470519704</v>
      </c>
      <c r="J13" s="142">
        <v>2645.7570941263375</v>
      </c>
      <c r="K13" s="138">
        <v>7788.5634539151024</v>
      </c>
      <c r="L13" s="139">
        <v>3463.1450752109672</v>
      </c>
      <c r="M13" s="139">
        <v>4325.4183787031943</v>
      </c>
      <c r="N13" s="140">
        <v>2887.0187642851042</v>
      </c>
      <c r="O13" s="139">
        <v>1296.6035600661246</v>
      </c>
      <c r="P13" s="141">
        <v>1590.415204219056</v>
      </c>
      <c r="Q13" s="139">
        <v>4901.5446896292624</v>
      </c>
      <c r="R13" s="139">
        <v>2166.5415151450006</v>
      </c>
      <c r="S13" s="142">
        <v>2735.0031744842668</v>
      </c>
      <c r="T13" s="138">
        <v>8050.5105930061018</v>
      </c>
      <c r="U13" s="139">
        <v>3579.6185365978417</v>
      </c>
      <c r="V13" s="139">
        <v>4470.8920564073787</v>
      </c>
      <c r="W13" s="140">
        <v>2984.1157848437038</v>
      </c>
      <c r="X13" s="139">
        <v>1340.211292750673</v>
      </c>
      <c r="Y13" s="141">
        <v>1643.9044920931904</v>
      </c>
      <c r="Z13" s="139">
        <v>5066.3948081617218</v>
      </c>
      <c r="AA13" s="139">
        <v>2239.4072438473981</v>
      </c>
      <c r="AB13" s="142">
        <v>2826.9875643143414</v>
      </c>
    </row>
    <row r="14" spans="1:28">
      <c r="A14" s="3" t="s">
        <v>13</v>
      </c>
      <c r="B14" s="138">
        <v>6011.9608888024941</v>
      </c>
      <c r="C14" s="139">
        <v>2779.2189185848356</v>
      </c>
      <c r="D14" s="139">
        <v>3232.7419702169541</v>
      </c>
      <c r="E14" s="140">
        <v>2367.7116265044665</v>
      </c>
      <c r="F14" s="139">
        <v>1086.2309601761096</v>
      </c>
      <c r="G14" s="141">
        <v>1281.4806663283568</v>
      </c>
      <c r="H14" s="161">
        <v>3644.2492622973232</v>
      </c>
      <c r="I14" s="139">
        <v>1692.9879584087259</v>
      </c>
      <c r="J14" s="142">
        <v>1951.2613038885972</v>
      </c>
      <c r="K14" s="138">
        <v>6214.7549947999896</v>
      </c>
      <c r="L14" s="139">
        <v>2872.96690304301</v>
      </c>
      <c r="M14" s="139">
        <v>3341.7880917565171</v>
      </c>
      <c r="N14" s="140">
        <v>2447.578739986885</v>
      </c>
      <c r="O14" s="139">
        <v>1122.8714574365652</v>
      </c>
      <c r="P14" s="141">
        <v>1324.707282550318</v>
      </c>
      <c r="Q14" s="139">
        <v>3767.1762548126421</v>
      </c>
      <c r="R14" s="139">
        <v>1750.0954456065188</v>
      </c>
      <c r="S14" s="142">
        <v>2017.0808092063564</v>
      </c>
      <c r="T14" s="138">
        <v>6423.7713687015548</v>
      </c>
      <c r="U14" s="139">
        <v>2969.5913274838467</v>
      </c>
      <c r="V14" s="139">
        <v>3454.1800412172583</v>
      </c>
      <c r="W14" s="140">
        <v>2529.8963910445386</v>
      </c>
      <c r="X14" s="139">
        <v>1160.636183574228</v>
      </c>
      <c r="Y14" s="141">
        <v>1369.2602074703921</v>
      </c>
      <c r="Z14" s="139">
        <v>3893.8749776565664</v>
      </c>
      <c r="AA14" s="139">
        <v>1808.9551439097759</v>
      </c>
      <c r="AB14" s="142">
        <v>2084.9198337471007</v>
      </c>
    </row>
    <row r="15" spans="1:28">
      <c r="A15" s="3" t="s">
        <v>14</v>
      </c>
      <c r="B15" s="138">
        <v>7101.8732946779865</v>
      </c>
      <c r="C15" s="139">
        <v>3051.0835443685728</v>
      </c>
      <c r="D15" s="139">
        <v>4050.78975030932</v>
      </c>
      <c r="E15" s="140">
        <v>2387.9121008237207</v>
      </c>
      <c r="F15" s="139">
        <v>1066.5182543574856</v>
      </c>
      <c r="G15" s="141">
        <v>1321.3938464661414</v>
      </c>
      <c r="H15" s="161">
        <v>4713.9611938541721</v>
      </c>
      <c r="I15" s="139">
        <v>1984.5652900109935</v>
      </c>
      <c r="J15" s="142">
        <v>2729.3959038430849</v>
      </c>
      <c r="K15" s="138">
        <v>7341.4320796312668</v>
      </c>
      <c r="L15" s="139">
        <v>3154.002004942136</v>
      </c>
      <c r="M15" s="139">
        <v>4187.4300746880099</v>
      </c>
      <c r="N15" s="140">
        <v>2468.460612140439</v>
      </c>
      <c r="O15" s="139">
        <v>1102.4938070803414</v>
      </c>
      <c r="P15" s="141">
        <v>1365.9668050600981</v>
      </c>
      <c r="Q15" s="139">
        <v>4872.9714674899506</v>
      </c>
      <c r="R15" s="139">
        <v>2051.508197861795</v>
      </c>
      <c r="S15" s="142">
        <v>2821.46326962788</v>
      </c>
      <c r="T15" s="138">
        <v>7588.3411715911952</v>
      </c>
      <c r="U15" s="139">
        <v>3260.0782803388188</v>
      </c>
      <c r="V15" s="139">
        <v>4328.2628912526616</v>
      </c>
      <c r="W15" s="140">
        <v>2551.4805681484481</v>
      </c>
      <c r="X15" s="139">
        <v>1139.5731863958367</v>
      </c>
      <c r="Y15" s="141">
        <v>1411.9073817526305</v>
      </c>
      <c r="Z15" s="139">
        <v>5036.8606034430322</v>
      </c>
      <c r="AA15" s="139">
        <v>2120.5050939431108</v>
      </c>
      <c r="AB15" s="142">
        <v>2916.3555095002062</v>
      </c>
    </row>
    <row r="16" spans="1:28">
      <c r="A16" s="3" t="s">
        <v>15</v>
      </c>
      <c r="B16" s="138">
        <v>6387.9741847425767</v>
      </c>
      <c r="C16" s="139">
        <v>2803.6315131951205</v>
      </c>
      <c r="D16" s="139">
        <v>3584.3426715473624</v>
      </c>
      <c r="E16" s="140">
        <v>2165.2052727676137</v>
      </c>
      <c r="F16" s="139">
        <v>981.14730360264844</v>
      </c>
      <c r="G16" s="141">
        <v>1184.0579691648754</v>
      </c>
      <c r="H16" s="161">
        <v>4222.7689119748693</v>
      </c>
      <c r="I16" s="139">
        <v>1822.4842095923823</v>
      </c>
      <c r="J16" s="142">
        <v>2400.2847023823933</v>
      </c>
      <c r="K16" s="138">
        <v>6603.451886260521</v>
      </c>
      <c r="L16" s="139">
        <v>2898.2029777773237</v>
      </c>
      <c r="M16" s="139">
        <v>3705.2489084823064</v>
      </c>
      <c r="N16" s="140">
        <v>2238.241487692108</v>
      </c>
      <c r="O16" s="139">
        <v>1014.2431427084812</v>
      </c>
      <c r="P16" s="141">
        <v>1223.9983449836272</v>
      </c>
      <c r="Q16" s="139">
        <v>4365.2103985676176</v>
      </c>
      <c r="R16" s="139">
        <v>1883.9598350688429</v>
      </c>
      <c r="S16" s="142">
        <v>2481.2505634986796</v>
      </c>
      <c r="T16" s="138">
        <v>6825.5410224608895</v>
      </c>
      <c r="U16" s="139">
        <v>2995.6761489245014</v>
      </c>
      <c r="V16" s="139">
        <v>3829.8648735366728</v>
      </c>
      <c r="W16" s="140">
        <v>2313.5186498755625</v>
      </c>
      <c r="X16" s="139">
        <v>1048.3544510578815</v>
      </c>
      <c r="Y16" s="141">
        <v>1265.1641988176591</v>
      </c>
      <c r="Z16" s="139">
        <v>4512.0223725856122</v>
      </c>
      <c r="AA16" s="139">
        <v>1947.3216978667153</v>
      </c>
      <c r="AB16" s="142">
        <v>2564.700674719164</v>
      </c>
    </row>
    <row r="17" spans="1:28">
      <c r="A17" s="3" t="s">
        <v>16</v>
      </c>
      <c r="B17" s="138">
        <v>5081.4274601467487</v>
      </c>
      <c r="C17" s="139">
        <v>2176.340614170419</v>
      </c>
      <c r="D17" s="139">
        <v>2905.086845976236</v>
      </c>
      <c r="E17" s="140">
        <v>1651.7423080827002</v>
      </c>
      <c r="F17" s="139">
        <v>710.1873294677431</v>
      </c>
      <c r="G17" s="141">
        <v>941.55497861489971</v>
      </c>
      <c r="H17" s="161">
        <v>3429.6851520639548</v>
      </c>
      <c r="I17" s="139">
        <v>1466.153284702611</v>
      </c>
      <c r="J17" s="142">
        <v>1963.5318673612501</v>
      </c>
      <c r="K17" s="138">
        <v>5252.8330228298319</v>
      </c>
      <c r="L17" s="139">
        <v>2249.7524439145245</v>
      </c>
      <c r="M17" s="139">
        <v>3003.0805789148967</v>
      </c>
      <c r="N17" s="140">
        <v>1707.4585063251225</v>
      </c>
      <c r="O17" s="139">
        <v>734.14320796301172</v>
      </c>
      <c r="P17" s="141">
        <v>973.31529836211121</v>
      </c>
      <c r="Q17" s="139">
        <v>3545.3745165042988</v>
      </c>
      <c r="R17" s="139">
        <v>1515.6092359515133</v>
      </c>
      <c r="S17" s="142">
        <v>2029.765280552786</v>
      </c>
      <c r="T17" s="138">
        <v>5429.4977685932936</v>
      </c>
      <c r="U17" s="139">
        <v>2325.4167457892067</v>
      </c>
      <c r="V17" s="139">
        <v>3104.0810228043715</v>
      </c>
      <c r="W17" s="140">
        <v>1764.8842271908049</v>
      </c>
      <c r="X17" s="139">
        <v>758.83411715917691</v>
      </c>
      <c r="Y17" s="141">
        <v>1006.0501100315849</v>
      </c>
      <c r="Z17" s="139">
        <v>3664.6135414027244</v>
      </c>
      <c r="AA17" s="139">
        <v>1566.5826286300328</v>
      </c>
      <c r="AB17" s="142">
        <v>2098.0309127728938</v>
      </c>
    </row>
    <row r="18" spans="1:28">
      <c r="A18" s="3" t="s">
        <v>17</v>
      </c>
      <c r="B18" s="138">
        <v>4382.375472081746</v>
      </c>
      <c r="C18" s="139">
        <v>1902.9061197237543</v>
      </c>
      <c r="D18" s="139">
        <v>2479.4693523578981</v>
      </c>
      <c r="E18" s="140">
        <v>1424.0864394031241</v>
      </c>
      <c r="F18" s="139">
        <v>592.64761466036407</v>
      </c>
      <c r="G18" s="141">
        <v>831.43882474272357</v>
      </c>
      <c r="H18" s="161">
        <v>2958.2890326785282</v>
      </c>
      <c r="I18" s="139">
        <v>1310.2585050633361</v>
      </c>
      <c r="J18" s="142">
        <v>1648.0305276150984</v>
      </c>
      <c r="K18" s="138">
        <v>4530.2007710889802</v>
      </c>
      <c r="L18" s="139">
        <v>1967.0945188974069</v>
      </c>
      <c r="M18" s="139">
        <v>2563.1062521914196</v>
      </c>
      <c r="N18" s="140">
        <v>1472.1234013334952</v>
      </c>
      <c r="O18" s="139">
        <v>612.63867005972588</v>
      </c>
      <c r="P18" s="141">
        <v>859.48473127376974</v>
      </c>
      <c r="Q18" s="139">
        <v>3058.0773697553313</v>
      </c>
      <c r="R18" s="139">
        <v>1354.4558488376815</v>
      </c>
      <c r="S18" s="142">
        <v>1703.6215209176503</v>
      </c>
      <c r="T18" s="138">
        <v>4682.5617473478469</v>
      </c>
      <c r="U18" s="139">
        <v>2033.2523905763833</v>
      </c>
      <c r="V18" s="139">
        <v>2649.3093567717456</v>
      </c>
      <c r="W18" s="140">
        <v>1521.6342662895911</v>
      </c>
      <c r="X18" s="139">
        <v>633.24310473736534</v>
      </c>
      <c r="Y18" s="141">
        <v>888.39116155220358</v>
      </c>
      <c r="Z18" s="139">
        <v>3160.9274810584498</v>
      </c>
      <c r="AA18" s="139">
        <v>1400.0092858389842</v>
      </c>
      <c r="AB18" s="142">
        <v>1760.9181952195895</v>
      </c>
    </row>
    <row r="19" spans="1:28">
      <c r="A19" s="3" t="s">
        <v>18</v>
      </c>
      <c r="B19" s="138">
        <v>2801.3299389252475</v>
      </c>
      <c r="C19" s="139">
        <v>1109.1752325744567</v>
      </c>
      <c r="D19" s="139">
        <v>1692.1547063507917</v>
      </c>
      <c r="E19" s="140">
        <v>830.30409901478129</v>
      </c>
      <c r="F19" s="139">
        <v>335.65484853789093</v>
      </c>
      <c r="G19" s="141">
        <v>494.64925047689138</v>
      </c>
      <c r="H19" s="161">
        <v>1971.0258399104671</v>
      </c>
      <c r="I19" s="139">
        <v>773.52038403656684</v>
      </c>
      <c r="J19" s="142">
        <v>1197.5054558739014</v>
      </c>
      <c r="K19" s="138">
        <v>2895.8237673245271</v>
      </c>
      <c r="L19" s="139">
        <v>1146.5896808460627</v>
      </c>
      <c r="M19" s="139">
        <v>1749.2340864784644</v>
      </c>
      <c r="N19" s="140">
        <v>858.31172923402653</v>
      </c>
      <c r="O19" s="139">
        <v>346.97708203077667</v>
      </c>
      <c r="P19" s="141">
        <v>511.33464720324986</v>
      </c>
      <c r="Q19" s="139">
        <v>2037.5120380905007</v>
      </c>
      <c r="R19" s="139">
        <v>799.61259881528611</v>
      </c>
      <c r="S19" s="142">
        <v>1237.8994392752145</v>
      </c>
      <c r="T19" s="138">
        <v>2993.2169202020959</v>
      </c>
      <c r="U19" s="139">
        <v>1185.152104890806</v>
      </c>
      <c r="V19" s="139">
        <v>1808.0648153111954</v>
      </c>
      <c r="W19" s="140">
        <v>887.17870878060819</v>
      </c>
      <c r="X19" s="139">
        <v>358.64671206023968</v>
      </c>
      <c r="Y19" s="141">
        <v>528.53199672035373</v>
      </c>
      <c r="Z19" s="139">
        <v>2106.0382114213917</v>
      </c>
      <c r="AA19" s="139">
        <v>826.50539283056514</v>
      </c>
      <c r="AB19" s="142">
        <v>1279.532818590865</v>
      </c>
    </row>
    <row r="20" spans="1:28">
      <c r="A20" s="3" t="s">
        <v>19</v>
      </c>
      <c r="B20" s="138">
        <v>2007.6197895630942</v>
      </c>
      <c r="C20" s="139">
        <v>736.92643438393975</v>
      </c>
      <c r="D20" s="139">
        <v>1270.6933551791556</v>
      </c>
      <c r="E20" s="140">
        <v>596.85993743767744</v>
      </c>
      <c r="F20" s="139">
        <v>208.20695492012072</v>
      </c>
      <c r="G20" s="141">
        <v>388.65298251755775</v>
      </c>
      <c r="H20" s="161">
        <v>1410.7598521254179</v>
      </c>
      <c r="I20" s="139">
        <v>528.71947946382011</v>
      </c>
      <c r="J20" s="142">
        <v>882.04037266159889</v>
      </c>
      <c r="K20" s="138">
        <v>2075.3403665825776</v>
      </c>
      <c r="L20" s="139">
        <v>761.78427032320894</v>
      </c>
      <c r="M20" s="139">
        <v>1313.5560962593688</v>
      </c>
      <c r="N20" s="140">
        <v>616.99308195698256</v>
      </c>
      <c r="O20" s="139">
        <v>215.23014486871486</v>
      </c>
      <c r="P20" s="141">
        <v>401.76293708826773</v>
      </c>
      <c r="Q20" s="139">
        <v>1458.3472846255952</v>
      </c>
      <c r="R20" s="139">
        <v>546.55412545449406</v>
      </c>
      <c r="S20" s="142">
        <v>911.79315917110114</v>
      </c>
      <c r="T20" s="138">
        <v>2145.1387928114227</v>
      </c>
      <c r="U20" s="139">
        <v>787.4048114405374</v>
      </c>
      <c r="V20" s="139">
        <v>1357.7339813709139</v>
      </c>
      <c r="W20" s="140">
        <v>637.74396543043122</v>
      </c>
      <c r="X20" s="139">
        <v>222.4688251501488</v>
      </c>
      <c r="Y20" s="141">
        <v>415.27514028027747</v>
      </c>
      <c r="Z20" s="139">
        <v>1507.3948273810074</v>
      </c>
      <c r="AA20" s="139">
        <v>564.93598629037956</v>
      </c>
      <c r="AB20" s="142">
        <v>942.45884109064741</v>
      </c>
    </row>
    <row r="21" spans="1:28">
      <c r="A21" s="3" t="s">
        <v>20</v>
      </c>
      <c r="B21" s="138">
        <v>1188.6724335439569</v>
      </c>
      <c r="C21" s="139">
        <v>458.05530082426429</v>
      </c>
      <c r="D21" s="139">
        <v>730.6171327196937</v>
      </c>
      <c r="E21" s="140">
        <v>355.84461386347829</v>
      </c>
      <c r="F21" s="139">
        <v>143.85207794481101</v>
      </c>
      <c r="G21" s="141">
        <v>211.99253591866835</v>
      </c>
      <c r="H21" s="161">
        <v>832.82781968047971</v>
      </c>
      <c r="I21" s="139">
        <v>314.20322287945436</v>
      </c>
      <c r="J21" s="142">
        <v>518.62459680102643</v>
      </c>
      <c r="K21" s="138">
        <v>1228.7684634322993</v>
      </c>
      <c r="L21" s="139">
        <v>473.5063187111727</v>
      </c>
      <c r="M21" s="139">
        <v>755.26214472112667</v>
      </c>
      <c r="N21" s="140">
        <v>367.84788395743993</v>
      </c>
      <c r="O21" s="139">
        <v>148.70446372747571</v>
      </c>
      <c r="P21" s="141">
        <v>219.14342022996422</v>
      </c>
      <c r="Q21" s="139">
        <v>860.92057947485944</v>
      </c>
      <c r="R21" s="139">
        <v>324.80185498369696</v>
      </c>
      <c r="S21" s="142">
        <v>536.11872449116242</v>
      </c>
      <c r="T21" s="138">
        <v>1270.0947472208591</v>
      </c>
      <c r="U21" s="139">
        <v>489.43141533032696</v>
      </c>
      <c r="V21" s="139">
        <v>780.66333189053262</v>
      </c>
      <c r="W21" s="140">
        <v>380.21944662025408</v>
      </c>
      <c r="X21" s="139">
        <v>153.70573374010291</v>
      </c>
      <c r="Y21" s="141">
        <v>226.5137128801515</v>
      </c>
      <c r="Z21" s="139">
        <v>889.8753006006101</v>
      </c>
      <c r="AA21" s="139">
        <v>335.72568159022438</v>
      </c>
      <c r="AB21" s="142">
        <v>554.14961901037191</v>
      </c>
    </row>
    <row r="22" spans="1:28">
      <c r="A22" s="29" t="s">
        <v>29</v>
      </c>
      <c r="B22" s="138">
        <v>776.04410470226526</v>
      </c>
      <c r="C22" s="139">
        <v>295.27531788671621</v>
      </c>
      <c r="D22" s="139">
        <v>480.76878681555007</v>
      </c>
      <c r="E22" s="140">
        <v>252.37206656984307</v>
      </c>
      <c r="F22" s="139">
        <v>102.2106869607868</v>
      </c>
      <c r="G22" s="141">
        <v>150.16137960905706</v>
      </c>
      <c r="H22" s="161">
        <v>523.67203813242327</v>
      </c>
      <c r="I22" s="139">
        <v>193.0646309259302</v>
      </c>
      <c r="J22" s="142">
        <v>330.60740720649409</v>
      </c>
      <c r="K22" s="138">
        <v>802.22144905611901</v>
      </c>
      <c r="L22" s="139">
        <v>305.23547817745015</v>
      </c>
      <c r="M22" s="139">
        <v>496.98597087866887</v>
      </c>
      <c r="N22" s="140">
        <v>260.88502408329072</v>
      </c>
      <c r="O22" s="139">
        <v>105.65843475373273</v>
      </c>
      <c r="P22" s="141">
        <v>155.22658932955798</v>
      </c>
      <c r="Q22" s="139">
        <v>541.33642497282824</v>
      </c>
      <c r="R22" s="139">
        <v>199.57704342371741</v>
      </c>
      <c r="S22" s="142">
        <v>341.75938154911086</v>
      </c>
      <c r="T22" s="138">
        <v>829.20198465056706</v>
      </c>
      <c r="U22" s="139">
        <v>315.50124294021089</v>
      </c>
      <c r="V22" s="139">
        <v>513.70074171034321</v>
      </c>
      <c r="W22" s="140">
        <v>269.65918200018029</v>
      </c>
      <c r="X22" s="139">
        <v>109.21196871007322</v>
      </c>
      <c r="Y22" s="141">
        <v>160.44721329010741</v>
      </c>
      <c r="Z22" s="139">
        <v>559.54280265037573</v>
      </c>
      <c r="AA22" s="139">
        <v>206.28927423013801</v>
      </c>
      <c r="AB22" s="142">
        <v>353.25352842023608</v>
      </c>
    </row>
    <row r="23" spans="1:28">
      <c r="A23" s="29" t="s">
        <v>30</v>
      </c>
      <c r="B23" s="138">
        <v>239.75346324135097</v>
      </c>
      <c r="C23" s="139">
        <v>93.377664630842233</v>
      </c>
      <c r="D23" s="139">
        <v>146.37579861050943</v>
      </c>
      <c r="E23" s="140">
        <v>64.354876975310077</v>
      </c>
      <c r="F23" s="139">
        <v>21.451625658436694</v>
      </c>
      <c r="G23" s="141">
        <v>42.903251316873387</v>
      </c>
      <c r="H23" s="161">
        <v>175.39858626604126</v>
      </c>
      <c r="I23" s="139">
        <v>71.926038972405422</v>
      </c>
      <c r="J23" s="142">
        <v>103.47254729363603</v>
      </c>
      <c r="K23" s="138">
        <v>247.84077287912621</v>
      </c>
      <c r="L23" s="139">
        <v>96.527458910817558</v>
      </c>
      <c r="M23" s="139">
        <v>151.31331396830862</v>
      </c>
      <c r="N23" s="140">
        <v>66.525681141239119</v>
      </c>
      <c r="O23" s="139">
        <v>22.175227047079694</v>
      </c>
      <c r="P23" s="141">
        <v>44.35045409415941</v>
      </c>
      <c r="Q23" s="139">
        <v>181.31509173788706</v>
      </c>
      <c r="R23" s="139">
        <v>74.352231863737842</v>
      </c>
      <c r="S23" s="142">
        <v>106.96285987414919</v>
      </c>
      <c r="T23" s="138">
        <v>256.1762229001713</v>
      </c>
      <c r="U23" s="139">
        <v>99.773897340066924</v>
      </c>
      <c r="V23" s="139">
        <v>156.40232556010471</v>
      </c>
      <c r="W23" s="140">
        <v>68.763091410046229</v>
      </c>
      <c r="X23" s="139">
        <v>22.921030470015417</v>
      </c>
      <c r="Y23" s="141">
        <v>45.842060940030834</v>
      </c>
      <c r="Z23" s="139">
        <v>187.41313149012541</v>
      </c>
      <c r="AA23" s="139">
        <v>76.852866870051628</v>
      </c>
      <c r="AB23" s="142">
        <v>110.56026462007412</v>
      </c>
    </row>
    <row r="24" spans="1:28">
      <c r="A24" s="29" t="s">
        <v>32</v>
      </c>
      <c r="B24" s="138">
        <v>143.85207794481101</v>
      </c>
      <c r="C24" s="139">
        <v>35.332089319778085</v>
      </c>
      <c r="D24" s="139">
        <v>108.51998862503292</v>
      </c>
      <c r="E24" s="140">
        <v>44.165111649722604</v>
      </c>
      <c r="F24" s="139">
        <v>8.8330223299445212</v>
      </c>
      <c r="G24" s="141">
        <v>35.332089319778085</v>
      </c>
      <c r="H24" s="161">
        <v>99.686966295088354</v>
      </c>
      <c r="I24" s="139">
        <v>26.499066989833562</v>
      </c>
      <c r="J24" s="142">
        <v>73.187899305254646</v>
      </c>
      <c r="K24" s="138">
        <v>148.70446372747571</v>
      </c>
      <c r="L24" s="139">
        <v>36.523903371660687</v>
      </c>
      <c r="M24" s="139">
        <v>112.180560355815</v>
      </c>
      <c r="N24" s="140">
        <v>45.654879214575864</v>
      </c>
      <c r="O24" s="139">
        <v>9.1309758429151646</v>
      </c>
      <c r="P24" s="141">
        <v>36.523903371660687</v>
      </c>
      <c r="Q24" s="139">
        <v>103.04958451289983</v>
      </c>
      <c r="R24" s="139">
        <v>27.39292752874551</v>
      </c>
      <c r="S24" s="142">
        <v>75.656656984154296</v>
      </c>
      <c r="T24" s="138">
        <v>153.70573374010291</v>
      </c>
      <c r="U24" s="139">
        <v>37.752285480025392</v>
      </c>
      <c r="V24" s="139">
        <v>115.95344826007772</v>
      </c>
      <c r="W24" s="140">
        <v>47.190356850031741</v>
      </c>
      <c r="X24" s="139">
        <v>9.4380713700063481</v>
      </c>
      <c r="Y24" s="141">
        <v>37.752285480025392</v>
      </c>
      <c r="Z24" s="139">
        <v>106.51537689007142</v>
      </c>
      <c r="AA24" s="139">
        <v>28.314214110019044</v>
      </c>
      <c r="AB24" s="142">
        <v>78.201162780052528</v>
      </c>
    </row>
    <row r="25" spans="1:28" ht="12.75" thickBot="1">
      <c r="A25" s="34" t="s">
        <v>31</v>
      </c>
      <c r="B25" s="143">
        <v>71.926038972405422</v>
      </c>
      <c r="C25" s="144">
        <v>21.451625658436694</v>
      </c>
      <c r="D25" s="144">
        <v>50.474413313968689</v>
      </c>
      <c r="E25" s="145">
        <v>13.880463661341389</v>
      </c>
      <c r="F25" s="144">
        <v>5.04744133139687</v>
      </c>
      <c r="G25" s="146">
        <v>8.8330223299445212</v>
      </c>
      <c r="H25" s="144">
        <v>58.045575311063992</v>
      </c>
      <c r="I25" s="144">
        <v>16.404184327039825</v>
      </c>
      <c r="J25" s="147">
        <v>41.64139098402417</v>
      </c>
      <c r="K25" s="143">
        <v>74.352231863737842</v>
      </c>
      <c r="L25" s="144">
        <v>22.175227047079694</v>
      </c>
      <c r="M25" s="144">
        <v>52.177004816658133</v>
      </c>
      <c r="N25" s="145">
        <v>14.348676324580973</v>
      </c>
      <c r="O25" s="144">
        <v>5.2177004816658084</v>
      </c>
      <c r="P25" s="146">
        <v>9.1309758429151646</v>
      </c>
      <c r="Q25" s="161">
        <v>60.003555539156856</v>
      </c>
      <c r="R25" s="144">
        <v>16.957526565413879</v>
      </c>
      <c r="S25" s="147">
        <v>43.046028973742956</v>
      </c>
      <c r="T25" s="143">
        <v>76.852866870051628</v>
      </c>
      <c r="U25" s="144">
        <v>22.921030470015417</v>
      </c>
      <c r="V25" s="144">
        <v>53.931836400036275</v>
      </c>
      <c r="W25" s="145">
        <v>14.831255010009976</v>
      </c>
      <c r="X25" s="144">
        <v>5.3931836400036275</v>
      </c>
      <c r="Y25" s="146">
        <v>9.4380713700063481</v>
      </c>
      <c r="Z25" s="144">
        <v>62.021611860041716</v>
      </c>
      <c r="AA25" s="144">
        <v>17.527846830011789</v>
      </c>
      <c r="AB25" s="147">
        <v>44.493765030029927</v>
      </c>
    </row>
    <row r="26" spans="1:28" s="5" customFormat="1" ht="14.25" customHeight="1">
      <c r="A26" s="163" t="s">
        <v>72</v>
      </c>
      <c r="B26" s="119">
        <v>123812.99827900785</v>
      </c>
      <c r="C26" s="120">
        <v>61824.334957201376</v>
      </c>
      <c r="D26" s="120">
        <v>61988.663321941793</v>
      </c>
      <c r="E26" s="153">
        <v>45409.036119890559</v>
      </c>
      <c r="F26" s="110">
        <v>22800.823508495188</v>
      </c>
      <c r="G26" s="110">
        <v>22608.21261137745</v>
      </c>
      <c r="H26" s="120">
        <v>78403.962159216695</v>
      </c>
      <c r="I26" s="125">
        <v>39023.511448684323</v>
      </c>
      <c r="J26" s="129">
        <v>39380.450710541998</v>
      </c>
      <c r="K26" s="125">
        <v>127989.43035524184</v>
      </c>
      <c r="L26" s="125">
        <v>63909.779451578332</v>
      </c>
      <c r="M26" s="125">
        <v>64079.650903580368</v>
      </c>
      <c r="N26" s="158">
        <v>46940.763463798583</v>
      </c>
      <c r="O26" s="125">
        <v>23569.935734098304</v>
      </c>
      <c r="P26" s="125">
        <v>23370.827729729601</v>
      </c>
      <c r="Q26" s="158">
        <v>81048.666891399989</v>
      </c>
      <c r="R26" s="125">
        <v>40339.843717533782</v>
      </c>
      <c r="S26" s="125">
        <v>40708.823173903314</v>
      </c>
      <c r="T26" s="160">
        <v>132294.0065861207</v>
      </c>
      <c r="U26" s="125">
        <v>66059.210984954989</v>
      </c>
      <c r="V26" s="125">
        <v>66234.795601024554</v>
      </c>
      <c r="W26" s="153">
        <v>48519.488317089286</v>
      </c>
      <c r="X26" s="120">
        <v>24362.646388711044</v>
      </c>
      <c r="Y26" s="120">
        <v>24156.841928388581</v>
      </c>
      <c r="Z26" s="153">
        <v>83774.518268928281</v>
      </c>
      <c r="AA26" s="120">
        <v>41696.564596252072</v>
      </c>
      <c r="AB26" s="150">
        <v>42077.953672644166</v>
      </c>
    </row>
    <row r="27" spans="1:28">
      <c r="A27" s="164" t="s">
        <v>22</v>
      </c>
      <c r="B27" s="161">
        <v>4784.8871963274742</v>
      </c>
      <c r="C27" s="139">
        <v>2308.9995548451566</v>
      </c>
      <c r="D27" s="139">
        <v>2475.8876414824504</v>
      </c>
      <c r="E27" s="140">
        <v>1751.1818406053758</v>
      </c>
      <c r="F27" s="161">
        <v>863.01716035056029</v>
      </c>
      <c r="G27" s="161">
        <v>888.16468025481504</v>
      </c>
      <c r="H27" s="139">
        <v>3033.705355722172</v>
      </c>
      <c r="I27" s="139">
        <v>1445.9823944946477</v>
      </c>
      <c r="J27" s="142">
        <v>1587.7229612277199</v>
      </c>
      <c r="K27" s="138">
        <v>4946.2899298494704</v>
      </c>
      <c r="L27" s="139">
        <v>2386.886205995253</v>
      </c>
      <c r="M27" s="139">
        <v>2559.4037238543092</v>
      </c>
      <c r="N27" s="140">
        <v>1810.252310685531</v>
      </c>
      <c r="O27" s="139">
        <v>892.12826016163729</v>
      </c>
      <c r="P27" s="141">
        <v>918.12405052396332</v>
      </c>
      <c r="Q27" s="139">
        <v>3136.0376191640312</v>
      </c>
      <c r="R27" s="139">
        <v>1494.7579458336954</v>
      </c>
      <c r="S27" s="142">
        <v>1641.2796733304281</v>
      </c>
      <c r="T27" s="138">
        <v>5112.6449327851342</v>
      </c>
      <c r="U27" s="139">
        <v>2467.1626288166722</v>
      </c>
      <c r="V27" s="139">
        <v>2645.4823039687476</v>
      </c>
      <c r="W27" s="140">
        <v>1871.1352214590172</v>
      </c>
      <c r="X27" s="139">
        <v>922.13256671116096</v>
      </c>
      <c r="Y27" s="141">
        <v>949.00265474777757</v>
      </c>
      <c r="Z27" s="139">
        <v>3241.5097113263696</v>
      </c>
      <c r="AA27" s="139">
        <v>1545.0300621055035</v>
      </c>
      <c r="AB27" s="142">
        <v>1696.479649220993</v>
      </c>
    </row>
    <row r="28" spans="1:28" ht="12.75" thickBot="1">
      <c r="A28" s="165" t="s">
        <v>21</v>
      </c>
      <c r="B28" s="128">
        <v>96157.393114566992</v>
      </c>
      <c r="C28" s="128">
        <v>44247.771751293694</v>
      </c>
      <c r="D28" s="154">
        <v>51909.621363403596</v>
      </c>
      <c r="E28" s="128">
        <v>34072.434163150741</v>
      </c>
      <c r="F28" s="128">
        <v>15693.074514580718</v>
      </c>
      <c r="G28" s="128">
        <v>18379.35964856666</v>
      </c>
      <c r="H28" s="128">
        <v>62084.958951546461</v>
      </c>
      <c r="I28" s="128">
        <v>28554.697236692948</v>
      </c>
      <c r="J28" s="128">
        <v>33530.261714806787</v>
      </c>
      <c r="K28" s="159">
        <v>99400.952567634857</v>
      </c>
      <c r="L28" s="128">
        <v>45740.327588005028</v>
      </c>
      <c r="M28" s="128">
        <v>53660.624979649401</v>
      </c>
      <c r="N28" s="157">
        <v>35221.757811970652</v>
      </c>
      <c r="O28" s="128">
        <v>16222.429757472453</v>
      </c>
      <c r="P28" s="128">
        <v>18999.328054496997</v>
      </c>
      <c r="Q28" s="157">
        <v>64179.194755683893</v>
      </c>
      <c r="R28" s="128">
        <v>29517.897830517733</v>
      </c>
      <c r="S28" s="128">
        <v>34661.296925129878</v>
      </c>
      <c r="T28" s="159">
        <v>102744.03313726261</v>
      </c>
      <c r="U28" s="128">
        <v>47278.679046974736</v>
      </c>
      <c r="V28" s="154">
        <v>55465.354090244429</v>
      </c>
      <c r="W28" s="128">
        <v>36406.345797571863</v>
      </c>
      <c r="X28" s="128">
        <v>16768.02704113509</v>
      </c>
      <c r="Y28" s="154">
        <v>19638.31875644004</v>
      </c>
      <c r="Z28" s="128">
        <v>66337.687339650322</v>
      </c>
      <c r="AA28" s="128">
        <v>30510.65200585097</v>
      </c>
      <c r="AB28" s="130">
        <v>35827.035333818145</v>
      </c>
    </row>
    <row r="29" spans="1:28">
      <c r="A29" s="260" t="s">
        <v>118</v>
      </c>
    </row>
    <row r="32" spans="1:28" ht="12" customHeight="1"/>
  </sheetData>
  <mergeCells count="4">
    <mergeCell ref="A2:A4"/>
    <mergeCell ref="B2:J2"/>
    <mergeCell ref="K2:S2"/>
    <mergeCell ref="T2:AB2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34"/>
  <sheetViews>
    <sheetView workbookViewId="0">
      <pane xSplit="1" topLeftCell="B1" activePane="topRight" state="frozen"/>
      <selection pane="topRight" activeCell="A29" sqref="A29"/>
    </sheetView>
  </sheetViews>
  <sheetFormatPr defaultColWidth="9.125" defaultRowHeight="12"/>
  <cols>
    <col min="1" max="1" width="17" style="72" customWidth="1"/>
    <col min="2" max="16384" width="9.125" style="1"/>
  </cols>
  <sheetData>
    <row r="1" spans="1:28" ht="12.75" thickBot="1">
      <c r="A1" s="69" t="s">
        <v>110</v>
      </c>
      <c r="B1" s="53"/>
      <c r="C1" s="53"/>
      <c r="D1" s="53"/>
      <c r="E1" s="53"/>
      <c r="F1" s="53"/>
      <c r="G1" s="53"/>
      <c r="H1" s="53"/>
      <c r="I1" s="53"/>
      <c r="J1" s="5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>
      <c r="A2" s="253" t="s">
        <v>55</v>
      </c>
      <c r="B2" s="256" t="s">
        <v>69</v>
      </c>
      <c r="C2" s="233"/>
      <c r="D2" s="233"/>
      <c r="E2" s="233"/>
      <c r="F2" s="233"/>
      <c r="G2" s="233"/>
      <c r="H2" s="233"/>
      <c r="I2" s="233"/>
      <c r="J2" s="234"/>
      <c r="K2" s="233" t="s">
        <v>71</v>
      </c>
      <c r="L2" s="233"/>
      <c r="M2" s="233"/>
      <c r="N2" s="233"/>
      <c r="O2" s="233"/>
      <c r="P2" s="233"/>
      <c r="Q2" s="233"/>
      <c r="R2" s="233"/>
      <c r="S2" s="234"/>
      <c r="T2" s="233" t="s">
        <v>70</v>
      </c>
      <c r="U2" s="233"/>
      <c r="V2" s="233"/>
      <c r="W2" s="233"/>
      <c r="X2" s="233"/>
      <c r="Y2" s="233"/>
      <c r="Z2" s="233"/>
      <c r="AA2" s="233"/>
      <c r="AB2" s="234"/>
    </row>
    <row r="3" spans="1:28" ht="12.75" thickBot="1">
      <c r="A3" s="254"/>
      <c r="B3" s="174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5"/>
      <c r="K3" s="11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5"/>
    </row>
    <row r="4" spans="1:28" ht="12.75" thickBot="1">
      <c r="A4" s="255"/>
      <c r="B4" s="175" t="s">
        <v>0</v>
      </c>
      <c r="C4" s="84" t="s">
        <v>3</v>
      </c>
      <c r="D4" s="85" t="s">
        <v>4</v>
      </c>
      <c r="E4" s="86" t="s">
        <v>0</v>
      </c>
      <c r="F4" s="84" t="s">
        <v>3</v>
      </c>
      <c r="G4" s="85" t="s">
        <v>4</v>
      </c>
      <c r="H4" s="86" t="s">
        <v>0</v>
      </c>
      <c r="I4" s="84" t="s">
        <v>3</v>
      </c>
      <c r="J4" s="87" t="s">
        <v>4</v>
      </c>
      <c r="K4" s="83" t="s">
        <v>0</v>
      </c>
      <c r="L4" s="84" t="s">
        <v>3</v>
      </c>
      <c r="M4" s="84" t="s">
        <v>4</v>
      </c>
      <c r="N4" s="88" t="s">
        <v>0</v>
      </c>
      <c r="O4" s="89" t="s">
        <v>3</v>
      </c>
      <c r="P4" s="90" t="s">
        <v>4</v>
      </c>
      <c r="Q4" s="86" t="s">
        <v>0</v>
      </c>
      <c r="R4" s="84" t="s">
        <v>3</v>
      </c>
      <c r="S4" s="87" t="s">
        <v>4</v>
      </c>
      <c r="T4" s="83" t="s">
        <v>0</v>
      </c>
      <c r="U4" s="84" t="s">
        <v>3</v>
      </c>
      <c r="V4" s="84" t="s">
        <v>4</v>
      </c>
      <c r="W4" s="88" t="s">
        <v>0</v>
      </c>
      <c r="X4" s="89" t="s">
        <v>3</v>
      </c>
      <c r="Y4" s="90" t="s">
        <v>4</v>
      </c>
      <c r="Z4" s="86" t="s">
        <v>0</v>
      </c>
      <c r="AA4" s="84" t="s">
        <v>3</v>
      </c>
      <c r="AB4" s="87" t="s">
        <v>4</v>
      </c>
    </row>
    <row r="5" spans="1:28" ht="12.75" thickBot="1">
      <c r="A5" s="93" t="s">
        <v>68</v>
      </c>
      <c r="B5" s="100">
        <f>+B6+B7+B8+B9+B10+B11+B12+B13+B14+B15+B16+B17+B18+B19+B20+B21+B22+B23+B24+B25</f>
        <v>47730.729848900613</v>
      </c>
      <c r="C5" s="63">
        <f t="shared" ref="C5:J5" si="0">+C6+C7+C8+C9+C10+C11+C12+C13+C14+C15+C16+C17+C18+C19+C20+C21+C22+C23+C24+C25</f>
        <v>22786.966511717343</v>
      </c>
      <c r="D5" s="101">
        <f t="shared" si="0"/>
        <v>24943.763337183947</v>
      </c>
      <c r="E5" s="63">
        <f t="shared" si="0"/>
        <v>12033.614093522245</v>
      </c>
      <c r="F5" s="63">
        <f t="shared" si="0"/>
        <v>5659.0359828851342</v>
      </c>
      <c r="G5" s="101">
        <f t="shared" si="0"/>
        <v>6374.5781106371887</v>
      </c>
      <c r="H5" s="63">
        <f t="shared" si="0"/>
        <v>35697.115755378531</v>
      </c>
      <c r="I5" s="63">
        <f t="shared" si="0"/>
        <v>17127.930528832094</v>
      </c>
      <c r="J5" s="97">
        <f t="shared" si="0"/>
        <v>18569.18522654663</v>
      </c>
      <c r="K5" s="63">
        <f>+K6+K7+K8+K9+K10+K11+K12+K13+K14+K15+K16+K17+K18+K19+K20+K21+K22+K23+K24+K25</f>
        <v>49340.772041017852</v>
      </c>
      <c r="L5" s="63">
        <f t="shared" ref="L5:S5" si="1">+L6+L7+L8+L9+L10+L11+L12+L13+L14+L15+L16+L17+L18+L19+L20+L21+L22+L23+L24+L25</f>
        <v>23555.611316236213</v>
      </c>
      <c r="M5" s="101">
        <f t="shared" si="1"/>
        <v>25785.160724783371</v>
      </c>
      <c r="N5" s="63">
        <f t="shared" si="1"/>
        <v>12439.529244528319</v>
      </c>
      <c r="O5" s="63">
        <f t="shared" si="1"/>
        <v>5849.9253057176375</v>
      </c>
      <c r="P5" s="63">
        <f t="shared" si="1"/>
        <v>6589.6039388105046</v>
      </c>
      <c r="Q5" s="100">
        <f t="shared" si="1"/>
        <v>36901.242796490391</v>
      </c>
      <c r="R5" s="63">
        <f t="shared" si="1"/>
        <v>17705.686010518519</v>
      </c>
      <c r="S5" s="63">
        <f t="shared" si="1"/>
        <v>19195.556785972811</v>
      </c>
      <c r="T5" s="148">
        <f>+T6+T7+T8+T9+T10+T11+T12+T13+T14+T15+T16+T17+T18+T19+T20+T21+T22+T23+T24+T25</f>
        <v>51000.214652378709</v>
      </c>
      <c r="U5" s="63">
        <f t="shared" ref="U5:AB5" si="2">+U6+U7+U8+U9+U10+U11+U12+U13+U14+U15+U16+U17+U18+U19+U20+U21+U22+U23+U24+U25</f>
        <v>24347.84020803927</v>
      </c>
      <c r="V5" s="101">
        <f t="shared" si="2"/>
        <v>26652.374444338941</v>
      </c>
      <c r="W5" s="63">
        <f t="shared" si="2"/>
        <v>12857.898962709023</v>
      </c>
      <c r="X5" s="63">
        <f t="shared" si="2"/>
        <v>6046.6716257286816</v>
      </c>
      <c r="Y5" s="63">
        <f t="shared" si="2"/>
        <v>6811.2273369800696</v>
      </c>
      <c r="Z5" s="100">
        <f t="shared" si="2"/>
        <v>38142.315689669762</v>
      </c>
      <c r="AA5" s="63">
        <f t="shared" si="2"/>
        <v>18301.168582310551</v>
      </c>
      <c r="AB5" s="97">
        <f t="shared" si="2"/>
        <v>19841.147107358884</v>
      </c>
    </row>
    <row r="6" spans="1:28">
      <c r="A6" s="170" t="s">
        <v>5</v>
      </c>
      <c r="B6" s="61">
        <v>8320.9899152100788</v>
      </c>
      <c r="C6" s="4">
        <v>4171.3515695558399</v>
      </c>
      <c r="D6" s="4">
        <v>4149.6383456541607</v>
      </c>
      <c r="E6" s="61">
        <v>2059.1374000091619</v>
      </c>
      <c r="F6" s="4">
        <v>995.189428826886</v>
      </c>
      <c r="G6" s="60">
        <v>1063.9479711822007</v>
      </c>
      <c r="H6" s="4">
        <v>6261.8525152008388</v>
      </c>
      <c r="I6" s="4">
        <v>3176.1621407288785</v>
      </c>
      <c r="J6" s="57">
        <v>3085.690374471882</v>
      </c>
      <c r="K6" s="56">
        <v>8601.6716664846572</v>
      </c>
      <c r="L6" s="4">
        <v>4312.0586579745977</v>
      </c>
      <c r="M6" s="4">
        <v>4289.6130085114637</v>
      </c>
      <c r="N6" s="61">
        <v>2128.5957574212312</v>
      </c>
      <c r="O6" s="4">
        <v>1028.7589337272627</v>
      </c>
      <c r="P6" s="60">
        <v>1099.8368236938798</v>
      </c>
      <c r="Q6" s="4">
        <v>6473.0759090641131</v>
      </c>
      <c r="R6" s="4">
        <v>3283.2997242473252</v>
      </c>
      <c r="S6" s="57">
        <v>3189.776184817566</v>
      </c>
      <c r="T6" s="56">
        <v>8890.9654878398069</v>
      </c>
      <c r="U6" s="4">
        <v>4457.0830178236856</v>
      </c>
      <c r="V6" s="4">
        <v>4433.8824700154591</v>
      </c>
      <c r="W6" s="61">
        <v>2200.1852838129898</v>
      </c>
      <c r="X6" s="4">
        <v>1063.3584412101202</v>
      </c>
      <c r="Y6" s="60">
        <v>1136.8268426028244</v>
      </c>
      <c r="Z6" s="4">
        <v>6690.7802040268234</v>
      </c>
      <c r="AA6" s="4">
        <v>3393.7245766135529</v>
      </c>
      <c r="AB6" s="57">
        <v>3297.0556274126434</v>
      </c>
    </row>
    <row r="7" spans="1:28">
      <c r="A7" s="170" t="s">
        <v>6</v>
      </c>
      <c r="B7" s="61">
        <v>7122.4079578730698</v>
      </c>
      <c r="C7" s="4">
        <v>3572.717732506118</v>
      </c>
      <c r="D7" s="4">
        <v>3549.6902253678231</v>
      </c>
      <c r="E7" s="61">
        <v>1807.6593103558673</v>
      </c>
      <c r="F7" s="4">
        <v>886.55902482424267</v>
      </c>
      <c r="G7" s="60">
        <v>921.10028553168149</v>
      </c>
      <c r="H7" s="4">
        <v>5314.7486475176402</v>
      </c>
      <c r="I7" s="4">
        <v>2686.1587076817673</v>
      </c>
      <c r="J7" s="57">
        <v>2628.5899398360302</v>
      </c>
      <c r="K7" s="56">
        <v>7362.6594134447569</v>
      </c>
      <c r="L7" s="4">
        <v>3693.2318396247738</v>
      </c>
      <c r="M7" s="4">
        <v>3669.4275738199085</v>
      </c>
      <c r="N7" s="61">
        <v>1868.63486568185</v>
      </c>
      <c r="O7" s="4">
        <v>916.46423348724898</v>
      </c>
      <c r="P7" s="60">
        <v>952.17063219454349</v>
      </c>
      <c r="Q7" s="4">
        <v>5494.0245477628323</v>
      </c>
      <c r="R7" s="4">
        <v>2776.7676061374605</v>
      </c>
      <c r="S7" s="57">
        <v>2717.2569416252973</v>
      </c>
      <c r="T7" s="56">
        <v>7610.2824290197323</v>
      </c>
      <c r="U7" s="4">
        <v>3817.4436432667308</v>
      </c>
      <c r="V7" s="4">
        <v>3792.838785752926</v>
      </c>
      <c r="W7" s="61">
        <v>1931.481314833597</v>
      </c>
      <c r="X7" s="4">
        <v>947.28701428141437</v>
      </c>
      <c r="Y7" s="60">
        <v>984.19430055211808</v>
      </c>
      <c r="Z7" s="4">
        <v>5678.8011141860597</v>
      </c>
      <c r="AA7" s="4">
        <v>2870.1566289852481</v>
      </c>
      <c r="AB7" s="57">
        <v>2808.6444852007362</v>
      </c>
    </row>
    <row r="8" spans="1:28" ht="17.25" customHeight="1">
      <c r="A8" s="170" t="s">
        <v>7</v>
      </c>
      <c r="B8" s="61">
        <v>6724.0320843807267</v>
      </c>
      <c r="C8" s="4">
        <v>3364.3187929045498</v>
      </c>
      <c r="D8" s="4">
        <v>3359.7132914768908</v>
      </c>
      <c r="E8" s="61">
        <v>1868.6822042723365</v>
      </c>
      <c r="F8" s="4">
        <v>924.55441160242538</v>
      </c>
      <c r="G8" s="60">
        <v>944.12779266997404</v>
      </c>
      <c r="H8" s="4">
        <v>4855.3498801088399</v>
      </c>
      <c r="I8" s="4">
        <v>2439.7643813020127</v>
      </c>
      <c r="J8" s="57">
        <v>2415.5854988068031</v>
      </c>
      <c r="K8" s="56">
        <v>6950.8456150205875</v>
      </c>
      <c r="L8" s="4">
        <v>3477.803234090743</v>
      </c>
      <c r="M8" s="4">
        <v>3473.0423809297699</v>
      </c>
      <c r="N8" s="61">
        <v>1931.716170064743</v>
      </c>
      <c r="O8" s="4">
        <v>955.74127206527294</v>
      </c>
      <c r="P8" s="60">
        <v>975.97489799940649</v>
      </c>
      <c r="Q8" s="4">
        <v>5019.1294449557699</v>
      </c>
      <c r="R8" s="4">
        <v>2522.061962025402</v>
      </c>
      <c r="S8" s="57">
        <v>2497.0674829302934</v>
      </c>
      <c r="T8" s="56">
        <v>7184.6183940309102</v>
      </c>
      <c r="U8" s="4">
        <v>3594.7696827667978</v>
      </c>
      <c r="V8" s="4">
        <v>3589.8487112640369</v>
      </c>
      <c r="W8" s="61">
        <v>1996.6841872451796</v>
      </c>
      <c r="X8" s="4">
        <v>987.88502917918845</v>
      </c>
      <c r="Y8" s="60">
        <v>1008.7991580659206</v>
      </c>
      <c r="Z8" s="4">
        <v>5187.9342067856551</v>
      </c>
      <c r="AA8" s="4">
        <v>2606.8846535875373</v>
      </c>
      <c r="AB8" s="57">
        <v>2581.0495531980423</v>
      </c>
    </row>
    <row r="9" spans="1:28">
      <c r="A9" s="170" t="s">
        <v>8</v>
      </c>
      <c r="B9" s="61">
        <v>5618.1845604277178</v>
      </c>
      <c r="C9" s="4">
        <v>2737.6504623039591</v>
      </c>
      <c r="D9" s="4">
        <v>2880.5340981235599</v>
      </c>
      <c r="E9" s="61">
        <v>1490.562088870372</v>
      </c>
      <c r="F9" s="4">
        <v>750.99638986797095</v>
      </c>
      <c r="G9" s="60">
        <v>739.56569900240061</v>
      </c>
      <c r="H9" s="4">
        <v>4127.6224715570488</v>
      </c>
      <c r="I9" s="4">
        <v>1986.6540724361248</v>
      </c>
      <c r="J9" s="57">
        <v>2140.968399121306</v>
      </c>
      <c r="K9" s="56">
        <v>5807.6958923101001</v>
      </c>
      <c r="L9" s="4">
        <v>2829.9962689894041</v>
      </c>
      <c r="M9" s="4">
        <v>2977.6996233207879</v>
      </c>
      <c r="N9" s="61">
        <v>1540.8413923850871</v>
      </c>
      <c r="O9" s="4">
        <v>776.32883036582132</v>
      </c>
      <c r="P9" s="60">
        <v>764.51256201930948</v>
      </c>
      <c r="Q9" s="4">
        <v>4266.8544999251053</v>
      </c>
      <c r="R9" s="4">
        <v>2053.6674386236514</v>
      </c>
      <c r="S9" s="57">
        <v>2213.1870613015458</v>
      </c>
      <c r="T9" s="56">
        <v>6003.0219409074834</v>
      </c>
      <c r="U9" s="4">
        <v>2925.1754930771399</v>
      </c>
      <c r="V9" s="4">
        <v>3077.8464478306291</v>
      </c>
      <c r="W9" s="61">
        <v>1592.663399988601</v>
      </c>
      <c r="X9" s="4">
        <v>802.43853818441426</v>
      </c>
      <c r="Y9" s="60">
        <v>790.22486180413398</v>
      </c>
      <c r="Z9" s="4">
        <v>4410.3585409190837</v>
      </c>
      <c r="AA9" s="4">
        <v>2122.7369548928004</v>
      </c>
      <c r="AB9" s="57">
        <v>2287.6215860265688</v>
      </c>
    </row>
    <row r="10" spans="1:28">
      <c r="A10" s="170" t="s">
        <v>9</v>
      </c>
      <c r="B10" s="61">
        <v>4208.236092141462</v>
      </c>
      <c r="C10" s="4">
        <v>2049.9246361493465</v>
      </c>
      <c r="D10" s="4">
        <v>2158.3114559917453</v>
      </c>
      <c r="E10" s="61">
        <v>1015.5373772188265</v>
      </c>
      <c r="F10" s="4">
        <v>474.78139561391743</v>
      </c>
      <c r="G10" s="60">
        <v>540.75598160493189</v>
      </c>
      <c r="H10" s="4">
        <v>3192.6987149224647</v>
      </c>
      <c r="I10" s="4">
        <v>1575.1432405354517</v>
      </c>
      <c r="J10" s="57">
        <v>1617.555474386817</v>
      </c>
      <c r="K10" s="56">
        <v>4350.1873609397016</v>
      </c>
      <c r="L10" s="4">
        <v>2119.0722306930593</v>
      </c>
      <c r="M10" s="4">
        <v>2231.1151302469252</v>
      </c>
      <c r="N10" s="61">
        <v>1049.793254515761</v>
      </c>
      <c r="O10" s="4">
        <v>490.79661435017346</v>
      </c>
      <c r="P10" s="60">
        <v>558.99664016558279</v>
      </c>
      <c r="Q10" s="4">
        <v>3300.3941064240371</v>
      </c>
      <c r="R10" s="4">
        <v>1628.2756163428942</v>
      </c>
      <c r="S10" s="57">
        <v>1672.1184900813716</v>
      </c>
      <c r="T10" s="56">
        <v>4496.4940759653637</v>
      </c>
      <c r="U10" s="4">
        <v>2190.3414591768224</v>
      </c>
      <c r="V10" s="4">
        <v>2306.1526167884667</v>
      </c>
      <c r="W10" s="61">
        <v>1085.1001941439552</v>
      </c>
      <c r="X10" s="4">
        <v>507.30322301624813</v>
      </c>
      <c r="Y10" s="60">
        <v>577.79697112768997</v>
      </c>
      <c r="Z10" s="4">
        <v>3411.3938818213337</v>
      </c>
      <c r="AA10" s="4">
        <v>1683.0382361605973</v>
      </c>
      <c r="AB10" s="57">
        <v>1728.355645660806</v>
      </c>
    </row>
    <row r="11" spans="1:28">
      <c r="A11" s="171" t="s">
        <v>10</v>
      </c>
      <c r="B11" s="61">
        <v>3078.4213070451528</v>
      </c>
      <c r="C11" s="4">
        <v>1436.1253629115322</v>
      </c>
      <c r="D11" s="4">
        <v>1642.2959441334467</v>
      </c>
      <c r="E11" s="61">
        <v>762.2420917176172</v>
      </c>
      <c r="F11" s="4">
        <v>332.22916516904394</v>
      </c>
      <c r="G11" s="60">
        <v>430.01292654858526</v>
      </c>
      <c r="H11" s="4">
        <v>2316.1792153274132</v>
      </c>
      <c r="I11" s="4">
        <v>1103.8961977425042</v>
      </c>
      <c r="J11" s="57">
        <v>1212.2830175848821</v>
      </c>
      <c r="K11" s="56">
        <v>3182.2619188509393</v>
      </c>
      <c r="L11" s="4">
        <v>1484.5684190889958</v>
      </c>
      <c r="M11" s="4">
        <v>1697.6934997621502</v>
      </c>
      <c r="N11" s="61">
        <v>787.95386968874288</v>
      </c>
      <c r="O11" s="4">
        <v>343.43584428473531</v>
      </c>
      <c r="P11" s="60">
        <v>444.5180254040028</v>
      </c>
      <c r="Q11" s="4">
        <v>2394.3080491623386</v>
      </c>
      <c r="R11" s="4">
        <v>1141.1325748042557</v>
      </c>
      <c r="S11" s="57">
        <v>1253.1754743581425</v>
      </c>
      <c r="T11" s="56">
        <v>3289.2886395568826</v>
      </c>
      <c r="U11" s="4">
        <v>1534.4978383543578</v>
      </c>
      <c r="V11" s="4">
        <v>1754.7908012025944</v>
      </c>
      <c r="W11" s="61">
        <v>814.4545540732455</v>
      </c>
      <c r="X11" s="4">
        <v>354.98637441831767</v>
      </c>
      <c r="Y11" s="60">
        <v>459.46817965491459</v>
      </c>
      <c r="Z11" s="4">
        <v>2474.8340854836879</v>
      </c>
      <c r="AA11" s="4">
        <v>1179.5114639360565</v>
      </c>
      <c r="AB11" s="57">
        <v>1295.3226215477009</v>
      </c>
    </row>
    <row r="12" spans="1:28">
      <c r="A12" s="171" t="s">
        <v>11</v>
      </c>
      <c r="B12" s="61">
        <v>2352.8825348979667</v>
      </c>
      <c r="C12" s="4">
        <v>1146.7830842359838</v>
      </c>
      <c r="D12" s="4">
        <v>1206.0994506619829</v>
      </c>
      <c r="E12" s="61">
        <v>641.35821198111591</v>
      </c>
      <c r="F12" s="4">
        <v>305.23213556712068</v>
      </c>
      <c r="G12" s="60">
        <v>336.12607641399524</v>
      </c>
      <c r="H12" s="4">
        <v>1711.5243229168507</v>
      </c>
      <c r="I12" s="4">
        <v>841.55094866886304</v>
      </c>
      <c r="J12" s="57">
        <v>869.97337424798764</v>
      </c>
      <c r="K12" s="56">
        <v>2432.2494368136913</v>
      </c>
      <c r="L12" s="4">
        <v>1185.4661120604505</v>
      </c>
      <c r="M12" s="4">
        <v>1246.7833247532362</v>
      </c>
      <c r="N12" s="61">
        <v>662.99236224070467</v>
      </c>
      <c r="O12" s="4">
        <v>315.52815698160799</v>
      </c>
      <c r="P12" s="60">
        <v>347.46420525909912</v>
      </c>
      <c r="Q12" s="4">
        <v>1769.2570745730143</v>
      </c>
      <c r="R12" s="4">
        <v>869.93795507883794</v>
      </c>
      <c r="S12" s="57">
        <v>899.31911949412847</v>
      </c>
      <c r="T12" s="56">
        <v>2514.0515284701492</v>
      </c>
      <c r="U12" s="4">
        <v>1225.3360390863295</v>
      </c>
      <c r="V12" s="4">
        <v>1288.7154893838983</v>
      </c>
      <c r="W12" s="61">
        <v>685.29030634246169</v>
      </c>
      <c r="X12" s="4">
        <v>326.14008798957161</v>
      </c>
      <c r="Y12" s="60">
        <v>359.15021835288871</v>
      </c>
      <c r="Z12" s="4">
        <v>1828.7612221277661</v>
      </c>
      <c r="AA12" s="4">
        <v>899.19595109675652</v>
      </c>
      <c r="AB12" s="57">
        <v>929.56527103100825</v>
      </c>
    </row>
    <row r="13" spans="1:28">
      <c r="A13" s="171" t="s">
        <v>12</v>
      </c>
      <c r="B13" s="61">
        <v>1887.0019069270982</v>
      </c>
      <c r="C13" s="4">
        <v>867.50185898023767</v>
      </c>
      <c r="D13" s="4">
        <v>1019.5000479468605</v>
      </c>
      <c r="E13" s="61">
        <v>493.06729591611798</v>
      </c>
      <c r="F13" s="4">
        <v>231.08667753462171</v>
      </c>
      <c r="G13" s="60">
        <v>261.9806183814963</v>
      </c>
      <c r="H13" s="4">
        <v>1393.9346110109802</v>
      </c>
      <c r="I13" s="4">
        <v>636.41518144561599</v>
      </c>
      <c r="J13" s="57">
        <v>757.51942956536425</v>
      </c>
      <c r="K13" s="56">
        <v>1950.6538287891719</v>
      </c>
      <c r="L13" s="4">
        <v>896.7642356319293</v>
      </c>
      <c r="M13" s="4">
        <v>1053.8895931571813</v>
      </c>
      <c r="N13" s="61">
        <v>509.69933050875403</v>
      </c>
      <c r="O13" s="4">
        <v>238.88164111562966</v>
      </c>
      <c r="P13" s="60">
        <v>270.81768939312042</v>
      </c>
      <c r="Q13" s="4">
        <v>1440.9544982803909</v>
      </c>
      <c r="R13" s="4">
        <v>657.88259451630631</v>
      </c>
      <c r="S13" s="57">
        <v>783.07190376406595</v>
      </c>
      <c r="T13" s="56">
        <v>2016.2587625914073</v>
      </c>
      <c r="U13" s="4">
        <v>926.92446060194288</v>
      </c>
      <c r="V13" s="4">
        <v>1089.334301989463</v>
      </c>
      <c r="W13" s="61">
        <v>526.8416805985396</v>
      </c>
      <c r="X13" s="4">
        <v>246.91577511761056</v>
      </c>
      <c r="Y13" s="60">
        <v>279.92590548092767</v>
      </c>
      <c r="Z13" s="4">
        <v>1489.4170819928663</v>
      </c>
      <c r="AA13" s="4">
        <v>680.00868548433095</v>
      </c>
      <c r="AB13" s="57">
        <v>809.408396508534</v>
      </c>
    </row>
    <row r="14" spans="1:28">
      <c r="A14" s="171" t="s">
        <v>13</v>
      </c>
      <c r="B14" s="61">
        <v>1490.3237064532289</v>
      </c>
      <c r="C14" s="4">
        <v>647.53700015049083</v>
      </c>
      <c r="D14" s="4">
        <v>842.78670630273803</v>
      </c>
      <c r="E14" s="61">
        <v>388.02789703674449</v>
      </c>
      <c r="F14" s="4">
        <v>156.94121950212278</v>
      </c>
      <c r="G14" s="60">
        <v>231.08667753462171</v>
      </c>
      <c r="H14" s="4">
        <v>1102.2958094164844</v>
      </c>
      <c r="I14" s="4">
        <v>490.59578064836802</v>
      </c>
      <c r="J14" s="57">
        <v>611.70002876811634</v>
      </c>
      <c r="K14" s="56">
        <v>1540.5949689061677</v>
      </c>
      <c r="L14" s="4">
        <v>669.37957189620261</v>
      </c>
      <c r="M14" s="4">
        <v>871.21539700993753</v>
      </c>
      <c r="N14" s="61">
        <v>401.11676636528421</v>
      </c>
      <c r="O14" s="4">
        <v>162.23512524965267</v>
      </c>
      <c r="P14" s="60">
        <v>238.88164111562966</v>
      </c>
      <c r="Q14" s="4">
        <v>1139.4782025408613</v>
      </c>
      <c r="R14" s="4">
        <v>507.14444664655474</v>
      </c>
      <c r="S14" s="57">
        <v>632.33375589431455</v>
      </c>
      <c r="T14" s="56">
        <v>1592.4086887264157</v>
      </c>
      <c r="U14" s="4">
        <v>691.89233241512511</v>
      </c>
      <c r="V14" s="4">
        <v>900.5163563112892</v>
      </c>
      <c r="W14" s="61">
        <v>414.60723736326145</v>
      </c>
      <c r="X14" s="4">
        <v>167.69146224564952</v>
      </c>
      <c r="Y14" s="60">
        <v>246.91577511761056</v>
      </c>
      <c r="Z14" s="4">
        <v>1177.8014513631529</v>
      </c>
      <c r="AA14" s="4">
        <v>524.20087016947423</v>
      </c>
      <c r="AB14" s="57">
        <v>653.60058119367727</v>
      </c>
    </row>
    <row r="15" spans="1:28">
      <c r="A15" s="171" t="s">
        <v>14</v>
      </c>
      <c r="B15" s="61">
        <v>1695.0464135380544</v>
      </c>
      <c r="C15" s="4">
        <v>701.52650837667306</v>
      </c>
      <c r="D15" s="4">
        <v>993.51990516131991</v>
      </c>
      <c r="E15" s="61">
        <v>421.90571315069764</v>
      </c>
      <c r="F15" s="4">
        <v>164.55560073033092</v>
      </c>
      <c r="G15" s="60">
        <v>257.350112420367</v>
      </c>
      <c r="H15" s="4">
        <v>1273.1407003873182</v>
      </c>
      <c r="I15" s="4">
        <v>536.97090764634243</v>
      </c>
      <c r="J15" s="57">
        <v>736.1697927409532</v>
      </c>
      <c r="K15" s="56">
        <v>1752.2233360789646</v>
      </c>
      <c r="L15" s="4">
        <v>725.19024201224329</v>
      </c>
      <c r="M15" s="4">
        <v>1027.0330940667218</v>
      </c>
      <c r="N15" s="61">
        <v>436.13734131600535</v>
      </c>
      <c r="O15" s="4">
        <v>170.10635306460054</v>
      </c>
      <c r="P15" s="60">
        <v>266.03098825140518</v>
      </c>
      <c r="Q15" s="4">
        <v>1316.0859947629597</v>
      </c>
      <c r="R15" s="4">
        <v>555.08388894764312</v>
      </c>
      <c r="S15" s="57">
        <v>761.00210581531701</v>
      </c>
      <c r="T15" s="56">
        <v>1811.1546001883185</v>
      </c>
      <c r="U15" s="4">
        <v>749.58004255967501</v>
      </c>
      <c r="V15" s="4">
        <v>1061.5745576285997</v>
      </c>
      <c r="W15" s="61">
        <v>450.80563406146803</v>
      </c>
      <c r="X15" s="4">
        <v>175.82741739054245</v>
      </c>
      <c r="Y15" s="60">
        <v>274.97821667092427</v>
      </c>
      <c r="Z15" s="4">
        <v>1360.3489661268297</v>
      </c>
      <c r="AA15" s="4">
        <v>573.75262516913881</v>
      </c>
      <c r="AB15" s="57">
        <v>786.59634095768263</v>
      </c>
    </row>
    <row r="16" spans="1:28">
      <c r="A16" s="171" t="s">
        <v>15</v>
      </c>
      <c r="B16" s="61">
        <v>1212.5149527498224</v>
      </c>
      <c r="C16" s="4">
        <v>493.6668021909922</v>
      </c>
      <c r="D16" s="4">
        <v>718.84815055881313</v>
      </c>
      <c r="E16" s="61">
        <v>283.3325756935771</v>
      </c>
      <c r="F16" s="4">
        <v>112.59067418391072</v>
      </c>
      <c r="G16" s="60">
        <v>170.74190150966666</v>
      </c>
      <c r="H16" s="4">
        <v>929.18237705622823</v>
      </c>
      <c r="I16" s="4">
        <v>381.07612800708176</v>
      </c>
      <c r="J16" s="57">
        <v>548.10624904914675</v>
      </c>
      <c r="K16" s="56">
        <v>1253.4152331075807</v>
      </c>
      <c r="L16" s="4">
        <v>510.31905919380091</v>
      </c>
      <c r="M16" s="4">
        <v>743.09617391378015</v>
      </c>
      <c r="N16" s="61">
        <v>292.88988610371047</v>
      </c>
      <c r="O16" s="4">
        <v>116.38855735998995</v>
      </c>
      <c r="P16" s="60">
        <v>176.50132874372085</v>
      </c>
      <c r="Q16" s="4">
        <v>960.52534700387059</v>
      </c>
      <c r="R16" s="4">
        <v>393.93050183381132</v>
      </c>
      <c r="S16" s="57">
        <v>566.59484517005967</v>
      </c>
      <c r="T16" s="56">
        <v>1295.5704439303108</v>
      </c>
      <c r="U16" s="4">
        <v>527.48225217162928</v>
      </c>
      <c r="V16" s="4">
        <v>768.08819175867882</v>
      </c>
      <c r="W16" s="61">
        <v>302.74044046943118</v>
      </c>
      <c r="X16" s="4">
        <v>120.30296979352872</v>
      </c>
      <c r="Y16" s="60">
        <v>182.43747067590124</v>
      </c>
      <c r="Z16" s="4">
        <v>992.83000346086794</v>
      </c>
      <c r="AA16" s="4">
        <v>407.17928237810003</v>
      </c>
      <c r="AB16" s="57">
        <v>585.65072108278412</v>
      </c>
    </row>
    <row r="17" spans="1:28">
      <c r="A17" s="171" t="s">
        <v>16</v>
      </c>
      <c r="B17" s="61">
        <v>1207.5659121263534</v>
      </c>
      <c r="C17" s="4">
        <v>466.44707876191495</v>
      </c>
      <c r="D17" s="4">
        <v>741.11883336442179</v>
      </c>
      <c r="E17" s="61">
        <v>270.95997413490562</v>
      </c>
      <c r="F17" s="4">
        <v>107.64163356044213</v>
      </c>
      <c r="G17" s="60">
        <v>163.31834057446378</v>
      </c>
      <c r="H17" s="4">
        <v>936.60593799143112</v>
      </c>
      <c r="I17" s="4">
        <v>358.80544520147311</v>
      </c>
      <c r="J17" s="57">
        <v>577.8004927899583</v>
      </c>
      <c r="K17" s="56">
        <v>1248.2992525642844</v>
      </c>
      <c r="L17" s="4">
        <v>482.18116620567156</v>
      </c>
      <c r="M17" s="4">
        <v>766.11808635861325</v>
      </c>
      <c r="N17" s="61">
        <v>280.09993474546985</v>
      </c>
      <c r="O17" s="4">
        <v>111.2725768166937</v>
      </c>
      <c r="P17" s="60">
        <v>168.82735792877648</v>
      </c>
      <c r="Q17" s="4">
        <v>968.19931781881496</v>
      </c>
      <c r="R17" s="4">
        <v>370.90858938897821</v>
      </c>
      <c r="S17" s="57">
        <v>597.29072842983715</v>
      </c>
      <c r="T17" s="56">
        <v>1290.2824013020236</v>
      </c>
      <c r="U17" s="4">
        <v>498.3980177160513</v>
      </c>
      <c r="V17" s="4">
        <v>791.88438358596943</v>
      </c>
      <c r="W17" s="61">
        <v>289.5203338987136</v>
      </c>
      <c r="X17" s="4">
        <v>115.01492716524174</v>
      </c>
      <c r="Y17" s="60">
        <v>174.50540673347069</v>
      </c>
      <c r="Z17" s="4">
        <v>1000.7620674032981</v>
      </c>
      <c r="AA17" s="4">
        <v>383.38309055080839</v>
      </c>
      <c r="AB17" s="57">
        <v>617.37897685250493</v>
      </c>
    </row>
    <row r="18" spans="1:28">
      <c r="A18" s="171" t="s">
        <v>17</v>
      </c>
      <c r="B18" s="61">
        <v>993.51990516131991</v>
      </c>
      <c r="C18" s="4">
        <v>404.58407096855757</v>
      </c>
      <c r="D18" s="4">
        <v>588.93583419276263</v>
      </c>
      <c r="E18" s="61">
        <v>195.48710462700961</v>
      </c>
      <c r="F18" s="4">
        <v>81.65917028723203</v>
      </c>
      <c r="G18" s="60">
        <v>113.82793433977787</v>
      </c>
      <c r="H18" s="4">
        <v>798.03280053431058</v>
      </c>
      <c r="I18" s="4">
        <v>322.92490068132582</v>
      </c>
      <c r="J18" s="57">
        <v>475.10789985298499</v>
      </c>
      <c r="K18" s="56">
        <v>1027.0330940667218</v>
      </c>
      <c r="L18" s="4">
        <v>418.23140941446849</v>
      </c>
      <c r="M18" s="4">
        <v>608.8016846522537</v>
      </c>
      <c r="N18" s="61">
        <v>202.08123146020208</v>
      </c>
      <c r="O18" s="4">
        <v>84.41367896438841</v>
      </c>
      <c r="P18" s="60">
        <v>117.66755249581401</v>
      </c>
      <c r="Q18" s="4">
        <v>824.95186260652008</v>
      </c>
      <c r="R18" s="4">
        <v>333.81773045008043</v>
      </c>
      <c r="S18" s="57">
        <v>491.13413215643999</v>
      </c>
      <c r="T18" s="56">
        <v>1061.5745576285997</v>
      </c>
      <c r="U18" s="4">
        <v>432.29748486246342</v>
      </c>
      <c r="V18" s="4">
        <v>629.27707276615024</v>
      </c>
      <c r="W18" s="61">
        <v>208.87768381733639</v>
      </c>
      <c r="X18" s="4">
        <v>87.252703366735133</v>
      </c>
      <c r="Y18" s="60">
        <v>121.62498045060046</v>
      </c>
      <c r="Z18" s="4">
        <v>852.69687381126766</v>
      </c>
      <c r="AA18" s="4">
        <v>345.04478149572742</v>
      </c>
      <c r="AB18" s="57">
        <v>507.6520923155536</v>
      </c>
    </row>
    <row r="19" spans="1:28">
      <c r="A19" s="171" t="s">
        <v>18</v>
      </c>
      <c r="B19" s="61">
        <v>676.35713840717767</v>
      </c>
      <c r="C19" s="4">
        <v>254.89578723554149</v>
      </c>
      <c r="D19" s="4">
        <v>421.4613511716372</v>
      </c>
      <c r="E19" s="61">
        <v>135.01905561486655</v>
      </c>
      <c r="F19" s="4">
        <v>51.736273646817907</v>
      </c>
      <c r="G19" s="60">
        <v>83.28278196804844</v>
      </c>
      <c r="H19" s="4">
        <v>541.33808279231221</v>
      </c>
      <c r="I19" s="4">
        <v>203.15951358872388</v>
      </c>
      <c r="J19" s="57">
        <v>338.17856920358935</v>
      </c>
      <c r="K19" s="56">
        <v>699.17186454321916</v>
      </c>
      <c r="L19" s="4">
        <v>263.49387432412362</v>
      </c>
      <c r="M19" s="4">
        <v>435.67799021909553</v>
      </c>
      <c r="N19" s="61">
        <v>139.57348788456054</v>
      </c>
      <c r="O19" s="4">
        <v>53.481429937074587</v>
      </c>
      <c r="P19" s="60">
        <v>86.092057947485927</v>
      </c>
      <c r="Q19" s="4">
        <v>559.59837665865859</v>
      </c>
      <c r="R19" s="4">
        <v>210.01244438704904</v>
      </c>
      <c r="S19" s="57">
        <v>349.58593227160958</v>
      </c>
      <c r="T19" s="56">
        <v>722.68660776049148</v>
      </c>
      <c r="U19" s="4">
        <v>272.35577382018209</v>
      </c>
      <c r="V19" s="4">
        <v>450.33083394030086</v>
      </c>
      <c r="W19" s="61">
        <v>144.26766237009662</v>
      </c>
      <c r="X19" s="4">
        <v>55.280132310037182</v>
      </c>
      <c r="Y19" s="60">
        <v>88.987530060059726</v>
      </c>
      <c r="Z19" s="4">
        <v>578.41894539038913</v>
      </c>
      <c r="AA19" s="4">
        <v>217.0756415101452</v>
      </c>
      <c r="AB19" s="57">
        <v>361.34330388024148</v>
      </c>
    </row>
    <row r="20" spans="1:28">
      <c r="A20" s="171" t="s">
        <v>19</v>
      </c>
      <c r="B20" s="61">
        <v>470.67390415275639</v>
      </c>
      <c r="C20" s="4">
        <v>210.73067558581914</v>
      </c>
      <c r="D20" s="4">
        <v>259.94322856693833</v>
      </c>
      <c r="E20" s="61">
        <v>66.878597641008525</v>
      </c>
      <c r="F20" s="79">
        <v>25.237206656984345</v>
      </c>
      <c r="G20" s="80">
        <v>41.64139098402417</v>
      </c>
      <c r="H20" s="4">
        <v>403.79530651174827</v>
      </c>
      <c r="I20" s="4">
        <v>185.49346892883494</v>
      </c>
      <c r="J20" s="57">
        <v>218.3018375829144</v>
      </c>
      <c r="K20" s="56">
        <v>486.55056991533723</v>
      </c>
      <c r="L20" s="4">
        <v>217.83899510954777</v>
      </c>
      <c r="M20" s="4">
        <v>268.71157480578944</v>
      </c>
      <c r="N20" s="61">
        <v>69.134531382072026</v>
      </c>
      <c r="O20" s="79">
        <v>26.088502408329056</v>
      </c>
      <c r="P20" s="80">
        <v>43.046028973742956</v>
      </c>
      <c r="Q20" s="4">
        <v>417.41603853326518</v>
      </c>
      <c r="R20" s="4">
        <v>191.75049270121869</v>
      </c>
      <c r="S20" s="57">
        <v>225.66554583204649</v>
      </c>
      <c r="T20" s="56">
        <v>502.91437443033595</v>
      </c>
      <c r="U20" s="4">
        <v>225.1654169701506</v>
      </c>
      <c r="V20" s="4">
        <v>277.74895746018569</v>
      </c>
      <c r="W20" s="61">
        <v>71.459683230048029</v>
      </c>
      <c r="X20" s="79">
        <v>26.965918200018137</v>
      </c>
      <c r="Y20" s="80">
        <v>44.493765030029927</v>
      </c>
      <c r="Z20" s="79">
        <v>431.45469120028827</v>
      </c>
      <c r="AA20" s="79">
        <v>198.19949877013261</v>
      </c>
      <c r="AB20" s="91">
        <v>233.255192430156</v>
      </c>
    </row>
    <row r="21" spans="1:28">
      <c r="A21" s="171" t="s">
        <v>20</v>
      </c>
      <c r="B21" s="61">
        <v>325.55996587509725</v>
      </c>
      <c r="C21" s="4">
        <v>117.35301095497749</v>
      </c>
      <c r="D21" s="4">
        <v>208.20695492012072</v>
      </c>
      <c r="E21" s="61">
        <v>51.736273646817907</v>
      </c>
      <c r="F21" s="79">
        <v>22.713485991285911</v>
      </c>
      <c r="G21" s="80">
        <v>29.022787655531996</v>
      </c>
      <c r="H21" s="4">
        <v>273.82369222827964</v>
      </c>
      <c r="I21" s="79">
        <v>94.639524963691457</v>
      </c>
      <c r="J21" s="91">
        <v>179.18416726458889</v>
      </c>
      <c r="K21" s="56">
        <v>336.54168106744504</v>
      </c>
      <c r="L21" s="4">
        <v>121.31153619873018</v>
      </c>
      <c r="M21" s="4">
        <v>215.23014486871486</v>
      </c>
      <c r="N21" s="61">
        <v>53.481429937074587</v>
      </c>
      <c r="O21" s="79">
        <v>23.479652167496148</v>
      </c>
      <c r="P21" s="80">
        <v>30.001777769578418</v>
      </c>
      <c r="Q21" s="4">
        <v>283.06025113037043</v>
      </c>
      <c r="R21" s="79">
        <v>97.831884031234011</v>
      </c>
      <c r="S21" s="91">
        <v>185.22836709913642</v>
      </c>
      <c r="T21" s="56">
        <v>347.86034478023248</v>
      </c>
      <c r="U21" s="4">
        <v>125.39151963008402</v>
      </c>
      <c r="V21" s="4">
        <v>222.4688251501488</v>
      </c>
      <c r="W21" s="61">
        <v>55.280132310037182</v>
      </c>
      <c r="X21" s="79">
        <v>24.269326380016324</v>
      </c>
      <c r="Y21" s="80">
        <v>31.010805930020858</v>
      </c>
      <c r="Z21" s="79">
        <v>292.58021247019559</v>
      </c>
      <c r="AA21" s="79">
        <v>101.12219325006782</v>
      </c>
      <c r="AB21" s="91">
        <v>191.45801922012811</v>
      </c>
    </row>
    <row r="22" spans="1:28">
      <c r="A22" s="29" t="s">
        <v>29</v>
      </c>
      <c r="B22" s="61">
        <v>243.5390442398986</v>
      </c>
      <c r="C22" s="4">
        <v>99.686966295088354</v>
      </c>
      <c r="D22" s="4">
        <v>143.85207794481101</v>
      </c>
      <c r="E22" s="61">
        <v>70.664178639556198</v>
      </c>
      <c r="F22" s="79">
        <v>31.54650832123043</v>
      </c>
      <c r="G22" s="80">
        <v>39.117670318325736</v>
      </c>
      <c r="H22" s="4">
        <v>172.87486560034284</v>
      </c>
      <c r="I22" s="79">
        <v>68.14045797385775</v>
      </c>
      <c r="J22" s="91">
        <v>104.73440762648525</v>
      </c>
      <c r="K22" s="56">
        <v>251.75404824037557</v>
      </c>
      <c r="L22" s="4">
        <v>103.04958451289983</v>
      </c>
      <c r="M22" s="4">
        <v>148.70446372747571</v>
      </c>
      <c r="N22" s="61">
        <v>73.047806743321388</v>
      </c>
      <c r="O22" s="79">
        <v>32.610628010411325</v>
      </c>
      <c r="P22" s="80">
        <v>40.437178732910048</v>
      </c>
      <c r="Q22" s="4">
        <v>178.70624149705415</v>
      </c>
      <c r="R22" s="79">
        <v>70.43895650248848</v>
      </c>
      <c r="S22" s="91">
        <v>108.26728499456564</v>
      </c>
      <c r="T22" s="56">
        <v>260.221110630174</v>
      </c>
      <c r="U22" s="4">
        <v>106.51537689007142</v>
      </c>
      <c r="V22" s="4">
        <v>153.70573374010291</v>
      </c>
      <c r="W22" s="61">
        <v>75.504570960050728</v>
      </c>
      <c r="X22" s="79">
        <v>33.707397750022672</v>
      </c>
      <c r="Y22" s="80">
        <v>41.797173210028113</v>
      </c>
      <c r="Z22" s="79">
        <v>184.71653967012361</v>
      </c>
      <c r="AA22" s="79">
        <v>72.807979140048928</v>
      </c>
      <c r="AB22" s="91">
        <v>111.90856053007502</v>
      </c>
    </row>
    <row r="23" spans="1:28">
      <c r="A23" s="29" t="s">
        <v>30</v>
      </c>
      <c r="B23" s="61">
        <v>59.307435643913209</v>
      </c>
      <c r="C23" s="4">
        <v>26.499066989833562</v>
      </c>
      <c r="D23" s="4">
        <v>32.808368654079651</v>
      </c>
      <c r="E23" s="61">
        <v>5.04744133139687</v>
      </c>
      <c r="F23" s="79">
        <v>1.2618603328492175</v>
      </c>
      <c r="G23" s="80">
        <v>3.7855809985476525</v>
      </c>
      <c r="H23" s="4">
        <v>54.259994312516341</v>
      </c>
      <c r="I23" s="79">
        <v>25.237206656984345</v>
      </c>
      <c r="J23" s="91">
        <v>29.022787655531996</v>
      </c>
      <c r="K23" s="56">
        <v>61.30798065957331</v>
      </c>
      <c r="L23" s="4">
        <v>27.39292752874551</v>
      </c>
      <c r="M23" s="4">
        <v>33.915053130827779</v>
      </c>
      <c r="N23" s="61">
        <v>5.2177004816658084</v>
      </c>
      <c r="O23" s="79">
        <v>1.3044251204164521</v>
      </c>
      <c r="P23" s="80">
        <v>3.9132753612493563</v>
      </c>
      <c r="Q23" s="4">
        <v>56.090280177907495</v>
      </c>
      <c r="R23" s="79">
        <v>26.088502408329056</v>
      </c>
      <c r="S23" s="91">
        <v>30.001777769578418</v>
      </c>
      <c r="T23" s="56">
        <v>63.369907770042623</v>
      </c>
      <c r="U23" s="4">
        <v>28.314214110019044</v>
      </c>
      <c r="V23" s="4">
        <v>35.055693660023579</v>
      </c>
      <c r="W23" s="61">
        <v>5.3931836400036275</v>
      </c>
      <c r="X23" s="79">
        <v>1.3482959100009069</v>
      </c>
      <c r="Y23" s="80">
        <v>4.0448877300027206</v>
      </c>
      <c r="Z23" s="79">
        <v>57.976724130038995</v>
      </c>
      <c r="AA23" s="79">
        <v>26.965918200018137</v>
      </c>
      <c r="AB23" s="91">
        <v>31.010805930020858</v>
      </c>
    </row>
    <row r="24" spans="1:28">
      <c r="A24" s="29" t="s">
        <v>32</v>
      </c>
      <c r="B24" s="61">
        <v>31.54650832123043</v>
      </c>
      <c r="C24" s="4">
        <v>11.356742995642955</v>
      </c>
      <c r="D24" s="4">
        <v>20.189765325587476</v>
      </c>
      <c r="E24" s="61">
        <v>3.7855809985476525</v>
      </c>
      <c r="F24" s="79">
        <v>1.2618603328492175</v>
      </c>
      <c r="G24" s="80">
        <v>2.523720665698435</v>
      </c>
      <c r="H24" s="4">
        <v>27.760927322682779</v>
      </c>
      <c r="I24" s="79">
        <v>10.094882662793738</v>
      </c>
      <c r="J24" s="91">
        <v>17.666044659889042</v>
      </c>
      <c r="K24" s="56">
        <v>32.610628010411325</v>
      </c>
      <c r="L24" s="4">
        <v>11.739826083748069</v>
      </c>
      <c r="M24" s="4">
        <v>20.870801926663241</v>
      </c>
      <c r="N24" s="61">
        <v>3.9132753612493563</v>
      </c>
      <c r="O24" s="79">
        <v>1.3044251204164521</v>
      </c>
      <c r="P24" s="80">
        <v>2.6088502408329042</v>
      </c>
      <c r="Q24" s="4">
        <v>28.697352649161964</v>
      </c>
      <c r="R24" s="79">
        <v>10.435400963331617</v>
      </c>
      <c r="S24" s="91">
        <v>18.261951685830333</v>
      </c>
      <c r="T24" s="56">
        <v>33.707397750022672</v>
      </c>
      <c r="U24" s="4">
        <v>12.134663190008162</v>
      </c>
      <c r="V24" s="4">
        <v>21.57273456001451</v>
      </c>
      <c r="W24" s="61">
        <v>4.0448877300027206</v>
      </c>
      <c r="X24" s="79">
        <v>1.3482959100009069</v>
      </c>
      <c r="Y24" s="80">
        <v>2.6965918200018137</v>
      </c>
      <c r="Z24" s="79">
        <v>29.662510020019951</v>
      </c>
      <c r="AA24" s="79">
        <v>10.786367280007255</v>
      </c>
      <c r="AB24" s="91">
        <v>18.876142740012696</v>
      </c>
    </row>
    <row r="25" spans="1:28" ht="12.75" thickBot="1">
      <c r="A25" s="34" t="s">
        <v>31</v>
      </c>
      <c r="B25" s="62">
        <v>12.618603328492172</v>
      </c>
      <c r="C25" s="7">
        <v>6.3093016642460871</v>
      </c>
      <c r="D25" s="7">
        <v>6.3093016642460871</v>
      </c>
      <c r="E25" s="62">
        <v>2.523720665698435</v>
      </c>
      <c r="F25" s="81">
        <v>1.2618603328492175</v>
      </c>
      <c r="G25" s="82">
        <v>1.2618603328492175</v>
      </c>
      <c r="H25" s="7">
        <v>10.094882662793738</v>
      </c>
      <c r="I25" s="81">
        <v>5.04744133139687</v>
      </c>
      <c r="J25" s="92">
        <v>5.04744133139687</v>
      </c>
      <c r="K25" s="59">
        <v>13.044251204164521</v>
      </c>
      <c r="L25" s="7">
        <v>6.5221256020822604</v>
      </c>
      <c r="M25" s="7">
        <v>6.5221256020822604</v>
      </c>
      <c r="N25" s="62">
        <v>2.6088502408329042</v>
      </c>
      <c r="O25" s="81">
        <v>1.3044251204164521</v>
      </c>
      <c r="P25" s="82">
        <v>1.3044251204164521</v>
      </c>
      <c r="Q25" s="7">
        <v>10.435400963331617</v>
      </c>
      <c r="R25" s="81">
        <v>5.2177004816658084</v>
      </c>
      <c r="S25" s="92">
        <v>5.2177004816658084</v>
      </c>
      <c r="T25" s="59">
        <v>13.482959100009069</v>
      </c>
      <c r="U25" s="7">
        <v>6.7414795500045344</v>
      </c>
      <c r="V25" s="7">
        <v>6.7414795500045344</v>
      </c>
      <c r="W25" s="62">
        <v>2.6965918200018137</v>
      </c>
      <c r="X25" s="81">
        <v>1.3482959100009069</v>
      </c>
      <c r="Y25" s="82">
        <v>1.3482959100009069</v>
      </c>
      <c r="Z25" s="81">
        <v>10.786367280007255</v>
      </c>
      <c r="AA25" s="81">
        <v>5.3931836400036275</v>
      </c>
      <c r="AB25" s="92">
        <v>5.3931836400036275</v>
      </c>
    </row>
    <row r="26" spans="1:28">
      <c r="A26" s="134" t="s">
        <v>72</v>
      </c>
      <c r="B26" s="61">
        <v>25634.358496996181</v>
      </c>
      <c r="C26" s="4">
        <v>12840.137761098824</v>
      </c>
      <c r="D26" s="4">
        <v>12794.220735890834</v>
      </c>
      <c r="E26" s="61">
        <v>6704.8015000376045</v>
      </c>
      <c r="F26" s="4">
        <v>3311.5394015118286</v>
      </c>
      <c r="G26" s="60">
        <v>3393.2620985260824</v>
      </c>
      <c r="H26" s="4">
        <v>18929.556996954099</v>
      </c>
      <c r="I26" s="4">
        <v>9528.598359587666</v>
      </c>
      <c r="J26" s="57">
        <v>9400.9586373655056</v>
      </c>
      <c r="K26" s="56">
        <v>26499.050884452488</v>
      </c>
      <c r="L26" s="4">
        <v>13273.25838618608</v>
      </c>
      <c r="M26" s="4">
        <v>13225.792498261142</v>
      </c>
      <c r="N26" s="61">
        <v>6930.9663489517789</v>
      </c>
      <c r="O26" s="4">
        <v>3423.2435001957338</v>
      </c>
      <c r="P26" s="60">
        <v>3507.7228487563339</v>
      </c>
      <c r="Q26" s="4">
        <v>19568.084535497044</v>
      </c>
      <c r="R26" s="4">
        <v>9850.0148859904275</v>
      </c>
      <c r="S26" s="57">
        <v>9718.0696495048123</v>
      </c>
      <c r="T26" s="56">
        <v>27390.274357021975</v>
      </c>
      <c r="U26" s="4">
        <v>13719.668315469702</v>
      </c>
      <c r="V26" s="4">
        <v>13670.606041559051</v>
      </c>
      <c r="W26" s="61">
        <v>7164.0705429397385</v>
      </c>
      <c r="X26" s="4">
        <v>3538.3749806791752</v>
      </c>
      <c r="Y26" s="60">
        <v>3625.6955622603004</v>
      </c>
      <c r="Z26" s="4">
        <v>20226.203814086559</v>
      </c>
      <c r="AA26" s="4">
        <v>10181.293334790707</v>
      </c>
      <c r="AB26" s="57">
        <v>10044.910479298886</v>
      </c>
    </row>
    <row r="27" spans="1:28">
      <c r="A27" s="39" t="s">
        <v>22</v>
      </c>
      <c r="B27" s="61">
        <v>1083.6294940560679</v>
      </c>
      <c r="C27" s="4">
        <v>521.23950347000709</v>
      </c>
      <c r="D27" s="4">
        <v>562.38999058606032</v>
      </c>
      <c r="E27" s="61">
        <v>254.90440630221823</v>
      </c>
      <c r="F27" s="4">
        <v>128.02373769438745</v>
      </c>
      <c r="G27" s="60">
        <v>126.88066860783042</v>
      </c>
      <c r="H27" s="4">
        <v>828.72508775384927</v>
      </c>
      <c r="I27" s="4">
        <v>393.21576577561933</v>
      </c>
      <c r="J27" s="57">
        <v>435.50932197822959</v>
      </c>
      <c r="K27" s="56">
        <v>1120.1822392493063</v>
      </c>
      <c r="L27" s="4">
        <v>538.82183660093347</v>
      </c>
      <c r="M27" s="4">
        <v>581.36040264837607</v>
      </c>
      <c r="N27" s="61">
        <v>263.50278412720775</v>
      </c>
      <c r="O27" s="4">
        <v>132.34220548092938</v>
      </c>
      <c r="P27" s="60">
        <v>131.16057864627822</v>
      </c>
      <c r="Q27" s="4">
        <v>856.67945512210179</v>
      </c>
      <c r="R27" s="4">
        <v>406.47963112000093</v>
      </c>
      <c r="S27" s="57">
        <v>450.19982400209472</v>
      </c>
      <c r="T27" s="56">
        <v>1157.8565208505827</v>
      </c>
      <c r="U27" s="4">
        <v>556.94364294078071</v>
      </c>
      <c r="V27" s="4">
        <v>600.9128779097897</v>
      </c>
      <c r="W27" s="61">
        <v>272.36498328025027</v>
      </c>
      <c r="X27" s="4">
        <v>136.79317545913921</v>
      </c>
      <c r="Y27" s="60">
        <v>135.57180782111118</v>
      </c>
      <c r="Z27" s="4">
        <v>885.49153757032013</v>
      </c>
      <c r="AA27" s="4">
        <v>420.15046748164161</v>
      </c>
      <c r="AB27" s="57">
        <v>465.34107008867863</v>
      </c>
    </row>
    <row r="28" spans="1:28" ht="12.75" thickBot="1">
      <c r="A28" s="45" t="s">
        <v>21</v>
      </c>
      <c r="B28" s="62">
        <v>22096.371351907397</v>
      </c>
      <c r="C28" s="7">
        <v>9946.8287506175675</v>
      </c>
      <c r="D28" s="7">
        <v>12149.542601291667</v>
      </c>
      <c r="E28" s="62">
        <v>5328.812593484874</v>
      </c>
      <c r="F28" s="7">
        <v>2347.4965813733779</v>
      </c>
      <c r="G28" s="230">
        <v>2981.3160121112237</v>
      </c>
      <c r="H28" s="7">
        <v>16767.558758423038</v>
      </c>
      <c r="I28" s="7">
        <v>7599.3321692445616</v>
      </c>
      <c r="J28" s="231">
        <v>9168.2265891811658</v>
      </c>
      <c r="K28" s="59">
        <v>22841.721156569238</v>
      </c>
      <c r="L28" s="7">
        <v>10282.352930049863</v>
      </c>
      <c r="M28" s="7">
        <v>12559.368226521645</v>
      </c>
      <c r="N28" s="62">
        <v>5508.5628955764132</v>
      </c>
      <c r="O28" s="7">
        <v>2426.6818055220047</v>
      </c>
      <c r="P28" s="230">
        <v>3081.8810900541953</v>
      </c>
      <c r="Q28" s="7">
        <v>17333.158260993983</v>
      </c>
      <c r="R28" s="7">
        <v>7855.6711245282431</v>
      </c>
      <c r="S28" s="231">
        <v>9477.4871364679857</v>
      </c>
      <c r="T28" s="59">
        <v>23609.940295350119</v>
      </c>
      <c r="U28" s="7">
        <v>10628.171892569868</v>
      </c>
      <c r="V28" s="7">
        <v>12981.768402780062</v>
      </c>
      <c r="W28" s="62">
        <v>5693.8284197694347</v>
      </c>
      <c r="X28" s="7">
        <v>2508.2966450495387</v>
      </c>
      <c r="Y28" s="230">
        <v>3185.5317747197278</v>
      </c>
      <c r="Z28" s="7">
        <v>17916.11187558022</v>
      </c>
      <c r="AA28" s="7">
        <v>8119.8752475203883</v>
      </c>
      <c r="AB28" s="231">
        <v>9796.2366280604037</v>
      </c>
    </row>
    <row r="29" spans="1:28" s="5" customFormat="1" ht="14.25" customHeight="1">
      <c r="A29" s="261" t="s">
        <v>118</v>
      </c>
      <c r="B29" s="54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</row>
    <row r="34" spans="29:33">
      <c r="AC34" s="252"/>
      <c r="AD34" s="252"/>
      <c r="AE34" s="252"/>
      <c r="AF34" s="252"/>
      <c r="AG34" s="252"/>
    </row>
  </sheetData>
  <mergeCells count="5">
    <mergeCell ref="AC34:AG34"/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A49B-B9AC-479A-A03C-70853B377A68}">
  <dimension ref="A1:AB29"/>
  <sheetViews>
    <sheetView workbookViewId="0">
      <selection activeCell="A29" sqref="A29"/>
    </sheetView>
  </sheetViews>
  <sheetFormatPr defaultColWidth="9.125" defaultRowHeight="12"/>
  <cols>
    <col min="1" max="1" width="17" style="172" customWidth="1"/>
    <col min="2" max="2" width="9.125" style="172"/>
    <col min="3" max="16384" width="9.125" style="1"/>
  </cols>
  <sheetData>
    <row r="1" spans="1:28" ht="12.75" thickBot="1">
      <c r="A1" s="169" t="s">
        <v>111</v>
      </c>
      <c r="B1" s="173"/>
      <c r="C1" s="53"/>
      <c r="D1" s="53"/>
      <c r="E1" s="53"/>
      <c r="F1" s="53"/>
      <c r="G1" s="53"/>
      <c r="H1" s="53"/>
      <c r="I1" s="53"/>
      <c r="J1" s="5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>
      <c r="A2" s="253" t="s">
        <v>58</v>
      </c>
      <c r="B2" s="256" t="s">
        <v>75</v>
      </c>
      <c r="C2" s="233"/>
      <c r="D2" s="233"/>
      <c r="E2" s="233"/>
      <c r="F2" s="233"/>
      <c r="G2" s="233"/>
      <c r="H2" s="233"/>
      <c r="I2" s="233"/>
      <c r="J2" s="234"/>
      <c r="K2" s="233" t="s">
        <v>76</v>
      </c>
      <c r="L2" s="233"/>
      <c r="M2" s="233"/>
      <c r="N2" s="233"/>
      <c r="O2" s="233"/>
      <c r="P2" s="233"/>
      <c r="Q2" s="233"/>
      <c r="R2" s="233"/>
      <c r="S2" s="234"/>
      <c r="T2" s="233" t="s">
        <v>77</v>
      </c>
      <c r="U2" s="233"/>
      <c r="V2" s="233"/>
      <c r="W2" s="233"/>
      <c r="X2" s="233"/>
      <c r="Y2" s="233"/>
      <c r="Z2" s="233"/>
      <c r="AA2" s="233"/>
      <c r="AB2" s="234"/>
    </row>
    <row r="3" spans="1:28" ht="12.75" thickBot="1">
      <c r="A3" s="254"/>
      <c r="B3" s="174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5"/>
      <c r="K3" s="11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5"/>
    </row>
    <row r="4" spans="1:28" ht="12.75" thickBot="1">
      <c r="A4" s="255"/>
      <c r="B4" s="175" t="s">
        <v>0</v>
      </c>
      <c r="C4" s="84" t="s">
        <v>3</v>
      </c>
      <c r="D4" s="85" t="s">
        <v>4</v>
      </c>
      <c r="E4" s="86" t="s">
        <v>0</v>
      </c>
      <c r="F4" s="84" t="s">
        <v>3</v>
      </c>
      <c r="G4" s="85" t="s">
        <v>4</v>
      </c>
      <c r="H4" s="86" t="s">
        <v>0</v>
      </c>
      <c r="I4" s="84" t="s">
        <v>3</v>
      </c>
      <c r="J4" s="87" t="s">
        <v>4</v>
      </c>
      <c r="K4" s="83" t="s">
        <v>0</v>
      </c>
      <c r="L4" s="84" t="s">
        <v>3</v>
      </c>
      <c r="M4" s="84" t="s">
        <v>4</v>
      </c>
      <c r="N4" s="88" t="s">
        <v>0</v>
      </c>
      <c r="O4" s="89" t="s">
        <v>3</v>
      </c>
      <c r="P4" s="90" t="s">
        <v>4</v>
      </c>
      <c r="Q4" s="86" t="s">
        <v>0</v>
      </c>
      <c r="R4" s="84" t="s">
        <v>3</v>
      </c>
      <c r="S4" s="87" t="s">
        <v>4</v>
      </c>
      <c r="T4" s="105" t="s">
        <v>0</v>
      </c>
      <c r="U4" s="20" t="s">
        <v>3</v>
      </c>
      <c r="V4" s="20" t="s">
        <v>4</v>
      </c>
      <c r="W4" s="19" t="s">
        <v>0</v>
      </c>
      <c r="X4" s="20" t="s">
        <v>3</v>
      </c>
      <c r="Y4" s="21" t="s">
        <v>4</v>
      </c>
      <c r="Z4" s="103" t="s">
        <v>0</v>
      </c>
      <c r="AA4" s="20" t="s">
        <v>3</v>
      </c>
      <c r="AB4" s="104" t="s">
        <v>4</v>
      </c>
    </row>
    <row r="5" spans="1:28" ht="12.75" thickBot="1">
      <c r="A5" s="93" t="s">
        <v>74</v>
      </c>
      <c r="B5" s="100">
        <f>+B6+B7+B8+B9+B10+B11+B12+B13+B14+B15+B16+B17+B18+B19+B20+B21+B22+B23+B24+B25</f>
        <v>108455.38842035009</v>
      </c>
      <c r="C5" s="63">
        <f t="shared" ref="C5:J5" si="0">+C6+C7+C8+C9+C10+C11+C12+C13+C14+C15+C16+C17+C18+C19+C20+C21+C22+C23+C24+C25</f>
        <v>52376.638774028266</v>
      </c>
      <c r="D5" s="101">
        <f t="shared" si="0"/>
        <v>56078.749646324497</v>
      </c>
      <c r="E5" s="63">
        <f t="shared" si="0"/>
        <v>6111.9378826903721</v>
      </c>
      <c r="F5" s="63">
        <f t="shared" si="0"/>
        <v>2981.7278250736649</v>
      </c>
      <c r="G5" s="101">
        <f t="shared" si="0"/>
        <v>3130.2100576166863</v>
      </c>
      <c r="H5" s="63">
        <f t="shared" si="0"/>
        <v>102343.45053766035</v>
      </c>
      <c r="I5" s="63">
        <f t="shared" si="0"/>
        <v>49394.910948954654</v>
      </c>
      <c r="J5" s="97">
        <f t="shared" si="0"/>
        <v>52948.539588707812</v>
      </c>
      <c r="K5" s="63">
        <f>+K6+K7+K8+K9+K10+K11+K12+K13+K14+K15+K16+K17+K18+K19+K20+K21+K22+K23+K24+K25</f>
        <v>112113.78107163921</v>
      </c>
      <c r="L5" s="63">
        <f t="shared" ref="L5:S5" si="1">+L6+L7+L8+L9+L10+L11+L12+L13+L14+L15+L16+L17+L18+L19+L20+L21+L22+L23+L24+L25</f>
        <v>54143.395716031664</v>
      </c>
      <c r="M5" s="63">
        <f t="shared" si="1"/>
        <v>57970.385355594728</v>
      </c>
      <c r="N5" s="100">
        <f t="shared" si="1"/>
        <v>6318.104390051285</v>
      </c>
      <c r="O5" s="63">
        <f t="shared" si="1"/>
        <v>3082.3067941985623</v>
      </c>
      <c r="P5" s="101">
        <f t="shared" si="1"/>
        <v>3235.7975958527391</v>
      </c>
      <c r="Q5" s="63">
        <f t="shared" si="1"/>
        <v>105795.676681586</v>
      </c>
      <c r="R5" s="63">
        <f t="shared" si="1"/>
        <v>51061.088921833281</v>
      </c>
      <c r="S5" s="97">
        <f t="shared" si="1"/>
        <v>54734.587759742077</v>
      </c>
      <c r="T5" s="63">
        <f>+T6+T7+T8+T9+T10+T11+T12+T13+T14+T15+T16+T17+T18+T19+T20+T21+T22+T23+T24+T25</f>
        <v>115884.42303638521</v>
      </c>
      <c r="U5" s="63">
        <f t="shared" ref="U5:AB5" si="2">+U6+U7+U8+U9+U10+U11+U12+U13+U14+U15+U16+U17+U18+U19+U20+U21+U22+U23+U24+U25</f>
        <v>55964.361506762085</v>
      </c>
      <c r="V5" s="101">
        <f t="shared" si="2"/>
        <v>59920.061529613224</v>
      </c>
      <c r="W5" s="63">
        <f t="shared" si="2"/>
        <v>6530.596639648601</v>
      </c>
      <c r="X5" s="63">
        <f t="shared" si="2"/>
        <v>3185.9717962646432</v>
      </c>
      <c r="Y5" s="63">
        <f t="shared" si="2"/>
        <v>3344.6248433839855</v>
      </c>
      <c r="Z5" s="100">
        <f t="shared" si="2"/>
        <v>109353.82639673597</v>
      </c>
      <c r="AA5" s="63">
        <f t="shared" si="2"/>
        <v>52778.389710497708</v>
      </c>
      <c r="AB5" s="97">
        <f t="shared" si="2"/>
        <v>56575.436686229375</v>
      </c>
    </row>
    <row r="6" spans="1:28">
      <c r="A6" s="170" t="s">
        <v>5</v>
      </c>
      <c r="B6" s="140">
        <v>21995.495812400906</v>
      </c>
      <c r="C6" s="139">
        <v>11023.080000752374</v>
      </c>
      <c r="D6" s="139">
        <v>10972.415811648456</v>
      </c>
      <c r="E6" s="140">
        <v>1133.912803754278</v>
      </c>
      <c r="F6" s="139">
        <v>583.84446491178073</v>
      </c>
      <c r="G6" s="141">
        <v>550.06833884250523</v>
      </c>
      <c r="H6" s="139">
        <v>20861.58300864655</v>
      </c>
      <c r="I6" s="139">
        <v>10439.235535840557</v>
      </c>
      <c r="J6" s="142">
        <v>10422.347472805917</v>
      </c>
      <c r="K6" s="138">
        <v>22737.442906165448</v>
      </c>
      <c r="L6" s="139">
        <v>11394.908044119114</v>
      </c>
      <c r="M6" s="139">
        <v>11342.534862038468</v>
      </c>
      <c r="N6" s="140">
        <v>1172.1616941862269</v>
      </c>
      <c r="O6" s="139">
        <v>603.53857445332915</v>
      </c>
      <c r="P6" s="141">
        <v>568.62311973288888</v>
      </c>
      <c r="Q6" s="139">
        <v>21565.28121197785</v>
      </c>
      <c r="R6" s="139">
        <v>10791.369469665955</v>
      </c>
      <c r="S6" s="142">
        <v>10773.91174230574</v>
      </c>
      <c r="T6" s="138">
        <v>23502.154929731503</v>
      </c>
      <c r="U6" s="139">
        <v>11778.144770639286</v>
      </c>
      <c r="V6" s="139">
        <v>11724.010159086796</v>
      </c>
      <c r="W6" s="140">
        <v>1211.5841633182076</v>
      </c>
      <c r="X6" s="139">
        <v>623.83695217660932</v>
      </c>
      <c r="Y6" s="141">
        <v>587.74721114159991</v>
      </c>
      <c r="Z6" s="139">
        <v>22290.570766412155</v>
      </c>
      <c r="AA6" s="139">
        <v>11154.30781846297</v>
      </c>
      <c r="AB6" s="142">
        <v>11136.262947945474</v>
      </c>
    </row>
    <row r="7" spans="1:28">
      <c r="A7" s="170" t="s">
        <v>6</v>
      </c>
      <c r="B7" s="140">
        <v>16483.089609586375</v>
      </c>
      <c r="C7" s="139">
        <v>8212.7604208708999</v>
      </c>
      <c r="D7" s="139">
        <v>8270.3291887166142</v>
      </c>
      <c r="E7" s="140">
        <v>942.97641731305941</v>
      </c>
      <c r="F7" s="139">
        <v>465.1556441934913</v>
      </c>
      <c r="G7" s="141">
        <v>477.82077311955157</v>
      </c>
      <c r="H7" s="139">
        <v>15540.113192273418</v>
      </c>
      <c r="I7" s="139">
        <v>7747.6047766775273</v>
      </c>
      <c r="J7" s="142">
        <v>7792.5084155971845</v>
      </c>
      <c r="K7" s="138">
        <v>17039.093463122492</v>
      </c>
      <c r="L7" s="139">
        <v>8489.7913993051279</v>
      </c>
      <c r="M7" s="139">
        <v>8549.3020638172911</v>
      </c>
      <c r="N7" s="140">
        <v>974.78468470916334</v>
      </c>
      <c r="O7" s="139">
        <v>480.84616925825446</v>
      </c>
      <c r="P7" s="141">
        <v>493.93851545092974</v>
      </c>
      <c r="Q7" s="139">
        <v>16064.30877841326</v>
      </c>
      <c r="R7" s="139">
        <v>8008.9452300468492</v>
      </c>
      <c r="S7" s="142">
        <v>8055.3635483663365</v>
      </c>
      <c r="T7" s="138">
        <v>17612.157008379545</v>
      </c>
      <c r="U7" s="139">
        <v>8775.322432298386</v>
      </c>
      <c r="V7" s="139">
        <v>8836.8345760828979</v>
      </c>
      <c r="W7" s="140">
        <v>1007.5689151902304</v>
      </c>
      <c r="X7" s="139">
        <v>497.0181217788284</v>
      </c>
      <c r="Y7" s="141">
        <v>510.55079341142039</v>
      </c>
      <c r="Z7" s="139">
        <v>16604.58809319073</v>
      </c>
      <c r="AA7" s="139">
        <v>8278.3043105195302</v>
      </c>
      <c r="AB7" s="142">
        <v>8326.2837826714494</v>
      </c>
    </row>
    <row r="8" spans="1:28" ht="17.25" customHeight="1">
      <c r="A8" s="170" t="s">
        <v>7</v>
      </c>
      <c r="B8" s="140">
        <v>13845.288666895589</v>
      </c>
      <c r="C8" s="139">
        <v>6970.426410760384</v>
      </c>
      <c r="D8" s="139">
        <v>6874.8622561364982</v>
      </c>
      <c r="E8" s="140">
        <v>842.80676126148683</v>
      </c>
      <c r="F8" s="139">
        <v>442.12813705519989</v>
      </c>
      <c r="G8" s="141">
        <v>400.67862420627534</v>
      </c>
      <c r="H8" s="139">
        <v>13002.481905634331</v>
      </c>
      <c r="I8" s="139">
        <v>6528.298273705298</v>
      </c>
      <c r="J8" s="142">
        <v>6474.1836319303266</v>
      </c>
      <c r="K8" s="138">
        <v>14312.314815175176</v>
      </c>
      <c r="L8" s="139">
        <v>7205.551259132646</v>
      </c>
      <c r="M8" s="139">
        <v>7106.7635560424551</v>
      </c>
      <c r="N8" s="140">
        <v>871.23612845800926</v>
      </c>
      <c r="O8" s="139">
        <v>457.04190345339032</v>
      </c>
      <c r="P8" s="141">
        <v>414.19422500463486</v>
      </c>
      <c r="Q8" s="139">
        <v>13441.078686717106</v>
      </c>
      <c r="R8" s="139">
        <v>6748.5093556792326</v>
      </c>
      <c r="S8" s="142">
        <v>6692.5693310377992</v>
      </c>
      <c r="T8" s="138">
        <v>14793.670580175027</v>
      </c>
      <c r="U8" s="139">
        <v>7447.8903694286209</v>
      </c>
      <c r="V8" s="139">
        <v>7345.7802107463312</v>
      </c>
      <c r="W8" s="140">
        <v>900.53778500518968</v>
      </c>
      <c r="X8" s="139">
        <v>472.41326426502479</v>
      </c>
      <c r="Y8" s="141">
        <v>428.1245207401783</v>
      </c>
      <c r="Z8" s="139">
        <v>13893.132795169773</v>
      </c>
      <c r="AA8" s="139">
        <v>6975.4771051635698</v>
      </c>
      <c r="AB8" s="142">
        <v>6917.6556900061287</v>
      </c>
    </row>
    <row r="9" spans="1:28">
      <c r="A9" s="170" t="s">
        <v>8</v>
      </c>
      <c r="B9" s="140">
        <v>11903.921467403145</v>
      </c>
      <c r="C9" s="139">
        <v>5522.1667571569078</v>
      </c>
      <c r="D9" s="139">
        <v>6381.7547102479684</v>
      </c>
      <c r="E9" s="140">
        <v>714.41817909814586</v>
      </c>
      <c r="F9" s="139">
        <v>337.20538053432466</v>
      </c>
      <c r="G9" s="141">
        <v>377.21279856382085</v>
      </c>
      <c r="H9" s="139">
        <v>11189.503288305425</v>
      </c>
      <c r="I9" s="139">
        <v>5184.9613766225157</v>
      </c>
      <c r="J9" s="142">
        <v>6004.5419116840721</v>
      </c>
      <c r="K9" s="138">
        <v>12305.461856059499</v>
      </c>
      <c r="L9" s="139">
        <v>5708.4392381994103</v>
      </c>
      <c r="M9" s="139">
        <v>6597.0226178570147</v>
      </c>
      <c r="N9" s="140">
        <v>738.51677165698345</v>
      </c>
      <c r="O9" s="139">
        <v>348.57991622209295</v>
      </c>
      <c r="P9" s="141">
        <v>389.93685543488436</v>
      </c>
      <c r="Q9" s="139">
        <v>11566.945084402012</v>
      </c>
      <c r="R9" s="139">
        <v>5359.8593219773447</v>
      </c>
      <c r="S9" s="142">
        <v>6207.0857624221617</v>
      </c>
      <c r="T9" s="138">
        <v>12719.322582426354</v>
      </c>
      <c r="U9" s="139">
        <v>5900.4270593131387</v>
      </c>
      <c r="V9" s="139">
        <v>6818.8955231101299</v>
      </c>
      <c r="W9" s="140">
        <v>763.35477376751737</v>
      </c>
      <c r="X9" s="139">
        <v>360.30345321826826</v>
      </c>
      <c r="Y9" s="141">
        <v>403.05132054924923</v>
      </c>
      <c r="Z9" s="139">
        <v>11955.967808658339</v>
      </c>
      <c r="AA9" s="139">
        <v>5540.1236060949041</v>
      </c>
      <c r="AB9" s="142">
        <v>6415.8442025609183</v>
      </c>
    </row>
    <row r="10" spans="1:28">
      <c r="A10" s="170" t="s">
        <v>9</v>
      </c>
      <c r="B10" s="140">
        <v>9222.3046274585959</v>
      </c>
      <c r="C10" s="139">
        <v>4515.7247875639196</v>
      </c>
      <c r="D10" s="139">
        <v>4706.5798398951001</v>
      </c>
      <c r="E10" s="140">
        <v>524.26233510717873</v>
      </c>
      <c r="F10" s="139">
        <v>255.65152071518631</v>
      </c>
      <c r="G10" s="141">
        <v>268.61081439199296</v>
      </c>
      <c r="H10" s="139">
        <v>8698.0422923517453</v>
      </c>
      <c r="I10" s="139">
        <v>4260.0732668486962</v>
      </c>
      <c r="J10" s="142">
        <v>4437.9690255030682</v>
      </c>
      <c r="K10" s="138">
        <v>9533.3893229107816</v>
      </c>
      <c r="L10" s="139">
        <v>4668.0481955437226</v>
      </c>
      <c r="M10" s="139">
        <v>4865.341127366908</v>
      </c>
      <c r="N10" s="140">
        <v>541.94663371173044</v>
      </c>
      <c r="O10" s="139">
        <v>264.27510003470655</v>
      </c>
      <c r="P10" s="141">
        <v>277.67153367701911</v>
      </c>
      <c r="Q10" s="139">
        <v>8991.4426891993498</v>
      </c>
      <c r="R10" s="139">
        <v>4403.7730955089619</v>
      </c>
      <c r="S10" s="142">
        <v>4587.6695936898323</v>
      </c>
      <c r="T10" s="138">
        <v>9854.0189324364128</v>
      </c>
      <c r="U10" s="139">
        <v>4825.0452948419952</v>
      </c>
      <c r="V10" s="139">
        <v>5028.9736375930079</v>
      </c>
      <c r="W10" s="140">
        <v>560.17353409982945</v>
      </c>
      <c r="X10" s="139">
        <v>273.1632739318261</v>
      </c>
      <c r="Y10" s="141">
        <v>287.01026016800159</v>
      </c>
      <c r="Z10" s="139">
        <v>9293.8453983364088</v>
      </c>
      <c r="AA10" s="139">
        <v>4551.8820209100832</v>
      </c>
      <c r="AB10" s="142">
        <v>4741.963377424916</v>
      </c>
    </row>
    <row r="11" spans="1:28">
      <c r="A11" s="171" t="s">
        <v>10</v>
      </c>
      <c r="B11" s="140">
        <v>7862.7569090014749</v>
      </c>
      <c r="C11" s="139">
        <v>3744.0577549903196</v>
      </c>
      <c r="D11" s="139">
        <v>4118.6991540107847</v>
      </c>
      <c r="E11" s="140">
        <v>420.58798569272585</v>
      </c>
      <c r="F11" s="139">
        <v>177.89575865434622</v>
      </c>
      <c r="G11" s="141">
        <v>242.69222703837963</v>
      </c>
      <c r="H11" s="139">
        <v>7442.1689233086881</v>
      </c>
      <c r="I11" s="139">
        <v>3566.1619963359476</v>
      </c>
      <c r="J11" s="142">
        <v>3876.0069269723704</v>
      </c>
      <c r="K11" s="138">
        <v>8127.9816480725485</v>
      </c>
      <c r="L11" s="139">
        <v>3870.3514650241377</v>
      </c>
      <c r="M11" s="139">
        <v>4257.6301830473431</v>
      </c>
      <c r="N11" s="140">
        <v>434.77516457323003</v>
      </c>
      <c r="O11" s="139">
        <v>183.89649818083288</v>
      </c>
      <c r="P11" s="141">
        <v>250.87866639239411</v>
      </c>
      <c r="Q11" s="139">
        <v>7693.2064834992325</v>
      </c>
      <c r="R11" s="139">
        <v>3686.454966843336</v>
      </c>
      <c r="S11" s="142">
        <v>4006.751516654931</v>
      </c>
      <c r="T11" s="138">
        <v>8401.3441945680879</v>
      </c>
      <c r="U11" s="139">
        <v>4000.5202053240464</v>
      </c>
      <c r="V11" s="139">
        <v>4400.8239892426664</v>
      </c>
      <c r="W11" s="140">
        <v>449.39764421042332</v>
      </c>
      <c r="X11" s="139">
        <v>190.08135651477309</v>
      </c>
      <c r="Y11" s="141">
        <v>259.3162876956506</v>
      </c>
      <c r="Z11" s="139">
        <v>7951.9465503575229</v>
      </c>
      <c r="AA11" s="139">
        <v>3810.4388488092823</v>
      </c>
      <c r="AB11" s="142">
        <v>4141.5077015469342</v>
      </c>
    </row>
    <row r="12" spans="1:28">
      <c r="A12" s="171" t="s">
        <v>11</v>
      </c>
      <c r="B12" s="140">
        <v>6273.9415071840867</v>
      </c>
      <c r="C12" s="139">
        <v>3094.3371152229561</v>
      </c>
      <c r="D12" s="139">
        <v>3179.6043919603298</v>
      </c>
      <c r="E12" s="140">
        <v>399.14971574161933</v>
      </c>
      <c r="F12" s="139">
        <v>202.66425195549712</v>
      </c>
      <c r="G12" s="141">
        <v>196.48546378612221</v>
      </c>
      <c r="H12" s="139">
        <v>5874.7917914423206</v>
      </c>
      <c r="I12" s="139">
        <v>2891.672863267459</v>
      </c>
      <c r="J12" s="142">
        <v>2983.1189281742077</v>
      </c>
      <c r="K12" s="138">
        <v>6485.5726841931746</v>
      </c>
      <c r="L12" s="139">
        <v>3198.714595473376</v>
      </c>
      <c r="M12" s="139">
        <v>3286.8580887192397</v>
      </c>
      <c r="N12" s="140">
        <v>412.61374374518101</v>
      </c>
      <c r="O12" s="139">
        <v>209.50047670033848</v>
      </c>
      <c r="P12" s="141">
        <v>203.1132670448404</v>
      </c>
      <c r="Q12" s="139">
        <v>6072.9589404478975</v>
      </c>
      <c r="R12" s="139">
        <v>2989.2141187730622</v>
      </c>
      <c r="S12" s="142">
        <v>3083.7448216744233</v>
      </c>
      <c r="T12" s="138">
        <v>6703.6972741825321</v>
      </c>
      <c r="U12" s="139">
        <v>3306.2946571896232</v>
      </c>
      <c r="V12" s="139">
        <v>3397.4026169923627</v>
      </c>
      <c r="W12" s="140">
        <v>426.4908842940556</v>
      </c>
      <c r="X12" s="139">
        <v>216.54645518335883</v>
      </c>
      <c r="Y12" s="141">
        <v>209.94442911069541</v>
      </c>
      <c r="Z12" s="139">
        <v>6277.2063898884016</v>
      </c>
      <c r="AA12" s="139">
        <v>3089.7482020063003</v>
      </c>
      <c r="AB12" s="142">
        <v>3187.4581878817021</v>
      </c>
    </row>
    <row r="13" spans="1:28">
      <c r="A13" s="171" t="s">
        <v>12</v>
      </c>
      <c r="B13" s="140">
        <v>4891.1287148774727</v>
      </c>
      <c r="C13" s="139">
        <v>2407.2558707884659</v>
      </c>
      <c r="D13" s="139">
        <v>2483.8728440887148</v>
      </c>
      <c r="E13" s="140">
        <v>285.46001342512096</v>
      </c>
      <c r="F13" s="139">
        <v>127.28303628912319</v>
      </c>
      <c r="G13" s="141">
        <v>158.17697713599776</v>
      </c>
      <c r="H13" s="139">
        <v>4605.6687014522468</v>
      </c>
      <c r="I13" s="139">
        <v>2279.9728344993428</v>
      </c>
      <c r="J13" s="142">
        <v>2325.6958669527171</v>
      </c>
      <c r="K13" s="138">
        <v>5056.1151632923538</v>
      </c>
      <c r="L13" s="139">
        <v>2488.4568817820682</v>
      </c>
      <c r="M13" s="139">
        <v>2567.6582815102356</v>
      </c>
      <c r="N13" s="140">
        <v>295.08908608401367</v>
      </c>
      <c r="O13" s="139">
        <v>131.57651890326187</v>
      </c>
      <c r="P13" s="141">
        <v>163.51256718075228</v>
      </c>
      <c r="Q13" s="139">
        <v>4761.0260772082702</v>
      </c>
      <c r="R13" s="139">
        <v>2356.8803628788223</v>
      </c>
      <c r="S13" s="142">
        <v>2404.1457143295029</v>
      </c>
      <c r="T13" s="138">
        <v>5226.1638391202041</v>
      </c>
      <c r="U13" s="139">
        <v>2572.1493579095772</v>
      </c>
      <c r="V13" s="139">
        <v>2654.0144812105896</v>
      </c>
      <c r="W13" s="140">
        <v>305.01360455704867</v>
      </c>
      <c r="X13" s="139">
        <v>136.0017370968651</v>
      </c>
      <c r="Y13" s="141">
        <v>169.0118674601822</v>
      </c>
      <c r="Z13" s="139">
        <v>4921.1502345631015</v>
      </c>
      <c r="AA13" s="139">
        <v>2436.1476208127342</v>
      </c>
      <c r="AB13" s="142">
        <v>2485.0026137504351</v>
      </c>
    </row>
    <row r="14" spans="1:28">
      <c r="A14" s="171" t="s">
        <v>13</v>
      </c>
      <c r="B14" s="140">
        <v>2722.3740674265864</v>
      </c>
      <c r="C14" s="139">
        <v>1328.4394564156062</v>
      </c>
      <c r="D14" s="139">
        <v>1393.9346110109802</v>
      </c>
      <c r="E14" s="140">
        <v>166.82728057312264</v>
      </c>
      <c r="F14" s="139">
        <v>82.795761469623827</v>
      </c>
      <c r="G14" s="141">
        <v>84.031519103498809</v>
      </c>
      <c r="H14" s="139">
        <v>2555.5467868534638</v>
      </c>
      <c r="I14" s="139">
        <v>1245.6436949459824</v>
      </c>
      <c r="J14" s="142">
        <v>1309.9030919074814</v>
      </c>
      <c r="K14" s="138">
        <v>2814.2045742124342</v>
      </c>
      <c r="L14" s="139">
        <v>1373.2500759321067</v>
      </c>
      <c r="M14" s="139">
        <v>1440.9544982803909</v>
      </c>
      <c r="N14" s="140">
        <v>172.4546606984496</v>
      </c>
      <c r="O14" s="139">
        <v>85.588609383675191</v>
      </c>
      <c r="P14" s="141">
        <v>86.866051314774822</v>
      </c>
      <c r="Q14" s="139">
        <v>2641.7499135140051</v>
      </c>
      <c r="R14" s="139">
        <v>1287.6614665484267</v>
      </c>
      <c r="S14" s="142">
        <v>1354.0884469656112</v>
      </c>
      <c r="T14" s="138">
        <v>2908.8526876153537</v>
      </c>
      <c r="U14" s="139">
        <v>1419.4356056226341</v>
      </c>
      <c r="V14" s="139">
        <v>1489.4170819928663</v>
      </c>
      <c r="W14" s="140">
        <v>178.25470396191099</v>
      </c>
      <c r="X14" s="139">
        <v>88.467149373688883</v>
      </c>
      <c r="Y14" s="141">
        <v>89.787554588221553</v>
      </c>
      <c r="Z14" s="139">
        <v>2730.5979836534721</v>
      </c>
      <c r="AA14" s="139">
        <v>1330.9684562489442</v>
      </c>
      <c r="AB14" s="142">
        <v>1399.6295274046438</v>
      </c>
    </row>
    <row r="15" spans="1:28">
      <c r="A15" s="171" t="s">
        <v>14</v>
      </c>
      <c r="B15" s="140">
        <v>3114.1838123178031</v>
      </c>
      <c r="C15" s="139">
        <v>1285.5133019459909</v>
      </c>
      <c r="D15" s="139">
        <v>1828.6705103717186</v>
      </c>
      <c r="E15" s="140">
        <v>168.26738119793237</v>
      </c>
      <c r="F15" s="139">
        <v>75.472869507896291</v>
      </c>
      <c r="G15" s="141">
        <v>92.794511690036359</v>
      </c>
      <c r="H15" s="139">
        <v>2945.9164311198556</v>
      </c>
      <c r="I15" s="139">
        <v>1210.0404324380879</v>
      </c>
      <c r="J15" s="142">
        <v>1735.875998681674</v>
      </c>
      <c r="K15" s="138">
        <v>3219.2307568691631</v>
      </c>
      <c r="L15" s="139">
        <v>1328.8759461212003</v>
      </c>
      <c r="M15" s="139">
        <v>1890.3548107479633</v>
      </c>
      <c r="N15" s="140">
        <v>173.94333847207272</v>
      </c>
      <c r="O15" s="139">
        <v>78.018703285268103</v>
      </c>
      <c r="P15" s="141">
        <v>95.924635186804963</v>
      </c>
      <c r="Q15" s="139">
        <v>3045.2874183970907</v>
      </c>
      <c r="R15" s="139">
        <v>1250.8572428359325</v>
      </c>
      <c r="S15" s="142">
        <v>1794.4301755611586</v>
      </c>
      <c r="T15" s="138">
        <v>3327.5008238494697</v>
      </c>
      <c r="U15" s="139">
        <v>1373.5690726975479</v>
      </c>
      <c r="V15" s="139">
        <v>1953.9317511520744</v>
      </c>
      <c r="W15" s="140">
        <v>179.79344936175772</v>
      </c>
      <c r="X15" s="139">
        <v>80.642650081376416</v>
      </c>
      <c r="Y15" s="141">
        <v>99.150799280380824</v>
      </c>
      <c r="Z15" s="139">
        <v>3147.7073744877339</v>
      </c>
      <c r="AA15" s="139">
        <v>1292.9264226161672</v>
      </c>
      <c r="AB15" s="142">
        <v>1854.7809518716883</v>
      </c>
    </row>
    <row r="16" spans="1:28">
      <c r="A16" s="171" t="s">
        <v>15</v>
      </c>
      <c r="B16" s="140">
        <v>2642.7876929323766</v>
      </c>
      <c r="C16" s="139">
        <v>1151.8892051123266</v>
      </c>
      <c r="D16" s="139">
        <v>1490.8984878199562</v>
      </c>
      <c r="E16" s="140">
        <v>152.18299917165945</v>
      </c>
      <c r="F16" s="139">
        <v>70.523828884427701</v>
      </c>
      <c r="G16" s="141">
        <v>81.65917028723203</v>
      </c>
      <c r="H16" s="139">
        <v>2490.6046937607034</v>
      </c>
      <c r="I16" s="139">
        <v>1081.3653762278927</v>
      </c>
      <c r="J16" s="142">
        <v>1409.239317532717</v>
      </c>
      <c r="K16" s="138">
        <v>2731.9336101201957</v>
      </c>
      <c r="L16" s="139">
        <v>1190.7444714522017</v>
      </c>
      <c r="M16" s="139">
        <v>1541.1891386679945</v>
      </c>
      <c r="N16" s="140">
        <v>157.31640170635993</v>
      </c>
      <c r="O16" s="139">
        <v>72.902722741971857</v>
      </c>
      <c r="P16" s="141">
        <v>84.41367896438841</v>
      </c>
      <c r="Q16" s="139">
        <v>2574.6172084138361</v>
      </c>
      <c r="R16" s="139">
        <v>1117.8417487102301</v>
      </c>
      <c r="S16" s="142">
        <v>1456.7754597036064</v>
      </c>
      <c r="T16" s="138">
        <v>2823.8147635051951</v>
      </c>
      <c r="U16" s="139">
        <v>1230.7919217337919</v>
      </c>
      <c r="V16" s="139">
        <v>1593.0228417714691</v>
      </c>
      <c r="W16" s="140">
        <v>162.60731081982487</v>
      </c>
      <c r="X16" s="139">
        <v>75.354607453089443</v>
      </c>
      <c r="Y16" s="141">
        <v>87.252703366735133</v>
      </c>
      <c r="Z16" s="139">
        <v>2661.2074526853899</v>
      </c>
      <c r="AA16" s="139">
        <v>1155.4373142806985</v>
      </c>
      <c r="AB16" s="142">
        <v>1505.7701384047293</v>
      </c>
    </row>
    <row r="17" spans="1:28">
      <c r="A17" s="171" t="s">
        <v>16</v>
      </c>
      <c r="B17" s="140">
        <v>2319.8627922510213</v>
      </c>
      <c r="C17" s="139">
        <v>951.45305986183689</v>
      </c>
      <c r="D17" s="139">
        <v>1368.4097323890974</v>
      </c>
      <c r="E17" s="140">
        <v>106.40437340457498</v>
      </c>
      <c r="F17" s="139">
        <v>53.20218670228757</v>
      </c>
      <c r="G17" s="141">
        <v>53.20218670228757</v>
      </c>
      <c r="H17" s="139">
        <v>2213.4584188464369</v>
      </c>
      <c r="I17" s="139">
        <v>898.25087315954954</v>
      </c>
      <c r="J17" s="142">
        <v>1315.2075456868051</v>
      </c>
      <c r="K17" s="138">
        <v>2398.1158796701156</v>
      </c>
      <c r="L17" s="139">
        <v>983.5472594487037</v>
      </c>
      <c r="M17" s="139">
        <v>1414.5686202214124</v>
      </c>
      <c r="N17" s="140">
        <v>109.99358168086964</v>
      </c>
      <c r="O17" s="139">
        <v>54.99679084043494</v>
      </c>
      <c r="P17" s="141">
        <v>54.99679084043494</v>
      </c>
      <c r="Q17" s="139">
        <v>2288.1222979892464</v>
      </c>
      <c r="R17" s="139">
        <v>928.55046860826906</v>
      </c>
      <c r="S17" s="142">
        <v>1359.5718293809778</v>
      </c>
      <c r="T17" s="138">
        <v>2478.7699820095108</v>
      </c>
      <c r="U17" s="139">
        <v>1016.6261952881586</v>
      </c>
      <c r="V17" s="139">
        <v>1462.1437867213594</v>
      </c>
      <c r="W17" s="140">
        <v>113.69291650817</v>
      </c>
      <c r="X17" s="139">
        <v>56.846458254085036</v>
      </c>
      <c r="Y17" s="141">
        <v>56.846458254085036</v>
      </c>
      <c r="Z17" s="139">
        <v>2365.0770655013544</v>
      </c>
      <c r="AA17" s="139">
        <v>959.77973703407542</v>
      </c>
      <c r="AB17" s="142">
        <v>1405.2973284672714</v>
      </c>
    </row>
    <row r="18" spans="1:28">
      <c r="A18" s="171" t="s">
        <v>17</v>
      </c>
      <c r="B18" s="140">
        <v>1925.176802529365</v>
      </c>
      <c r="C18" s="139">
        <v>868.556629418738</v>
      </c>
      <c r="D18" s="139">
        <v>1056.6201731105475</v>
      </c>
      <c r="E18" s="140">
        <v>74.235609352029144</v>
      </c>
      <c r="F18" s="139">
        <v>30.931503896678787</v>
      </c>
      <c r="G18" s="141">
        <v>43.304105455350332</v>
      </c>
      <c r="H18" s="139">
        <v>1850.9411931773293</v>
      </c>
      <c r="I18" s="139">
        <v>837.62512552205931</v>
      </c>
      <c r="J18" s="142">
        <v>1013.3160676551943</v>
      </c>
      <c r="K18" s="138">
        <v>1990.11643134224</v>
      </c>
      <c r="L18" s="139">
        <v>897.85458534849158</v>
      </c>
      <c r="M18" s="139">
        <v>1092.2618459937489</v>
      </c>
      <c r="N18" s="140">
        <v>76.739708149444041</v>
      </c>
      <c r="O18" s="139">
        <v>31.974878395601706</v>
      </c>
      <c r="P18" s="141">
        <v>44.764829753842392</v>
      </c>
      <c r="Q18" s="139">
        <v>1913.3767231927964</v>
      </c>
      <c r="R18" s="139">
        <v>865.87970695289005</v>
      </c>
      <c r="S18" s="142">
        <v>1047.4970162399068</v>
      </c>
      <c r="T18" s="138">
        <v>2057.0485824036746</v>
      </c>
      <c r="U18" s="139">
        <v>928.05148126435461</v>
      </c>
      <c r="V18" s="139">
        <v>1128.9971011392622</v>
      </c>
      <c r="W18" s="140">
        <v>79.320639424304673</v>
      </c>
      <c r="X18" s="139">
        <v>33.050266426793655</v>
      </c>
      <c r="Y18" s="141">
        <v>46.270372997511089</v>
      </c>
      <c r="Z18" s="139">
        <v>1977.7279429793671</v>
      </c>
      <c r="AA18" s="139">
        <v>895.00121483756209</v>
      </c>
      <c r="AB18" s="142">
        <v>1082.7267281417487</v>
      </c>
    </row>
    <row r="19" spans="1:28">
      <c r="A19" s="171" t="s">
        <v>18</v>
      </c>
      <c r="B19" s="140">
        <v>1234.0994055265285</v>
      </c>
      <c r="C19" s="139">
        <v>490.86366947834375</v>
      </c>
      <c r="D19" s="139">
        <v>743.2357360481858</v>
      </c>
      <c r="E19" s="140">
        <v>58.045575311063992</v>
      </c>
      <c r="F19" s="139">
        <v>25.237206656984345</v>
      </c>
      <c r="G19" s="141">
        <v>32.808368654079651</v>
      </c>
      <c r="H19" s="139">
        <v>1176.0538302154648</v>
      </c>
      <c r="I19" s="139">
        <v>465.62646282135955</v>
      </c>
      <c r="J19" s="142">
        <v>710.42736739410634</v>
      </c>
      <c r="K19" s="138">
        <v>1275.7277677672917</v>
      </c>
      <c r="L19" s="139">
        <v>507.4213718420005</v>
      </c>
      <c r="M19" s="139">
        <v>768.30639592529121</v>
      </c>
      <c r="N19" s="140">
        <v>60.003555539156856</v>
      </c>
      <c r="O19" s="139">
        <v>26.088502408329056</v>
      </c>
      <c r="P19" s="141">
        <v>33.915053130827779</v>
      </c>
      <c r="Q19" s="139">
        <v>1215.7242122281348</v>
      </c>
      <c r="R19" s="139">
        <v>481.33286943367142</v>
      </c>
      <c r="S19" s="142">
        <v>734.39134279446341</v>
      </c>
      <c r="T19" s="138">
        <v>1318.6333999808894</v>
      </c>
      <c r="U19" s="139">
        <v>524.48710899035086</v>
      </c>
      <c r="V19" s="139">
        <v>794.14629099054218</v>
      </c>
      <c r="W19" s="140">
        <v>62.021611860041716</v>
      </c>
      <c r="X19" s="139">
        <v>26.965918200018137</v>
      </c>
      <c r="Y19" s="141">
        <v>35.055693660023579</v>
      </c>
      <c r="Z19" s="139">
        <v>1256.6117881208506</v>
      </c>
      <c r="AA19" s="139">
        <v>497.52119079033235</v>
      </c>
      <c r="AB19" s="142">
        <v>759.09059733051731</v>
      </c>
    </row>
    <row r="20" spans="1:28">
      <c r="A20" s="171" t="s">
        <v>19</v>
      </c>
      <c r="B20" s="140">
        <v>929.99106530986887</v>
      </c>
      <c r="C20" s="139">
        <v>393.70042384895459</v>
      </c>
      <c r="D20" s="139">
        <v>536.29064146091537</v>
      </c>
      <c r="E20" s="140">
        <v>51.736273646817907</v>
      </c>
      <c r="F20" s="139">
        <v>22.713485991285911</v>
      </c>
      <c r="G20" s="141">
        <v>29.022787655531996</v>
      </c>
      <c r="H20" s="139">
        <v>878.25479166305126</v>
      </c>
      <c r="I20" s="139">
        <v>370.98693785766881</v>
      </c>
      <c r="J20" s="142">
        <v>507.26785380538348</v>
      </c>
      <c r="K20" s="138">
        <v>961.36131374692638</v>
      </c>
      <c r="L20" s="139">
        <v>406.98063756993355</v>
      </c>
      <c r="M20" s="139">
        <v>554.38067617699278</v>
      </c>
      <c r="N20" s="140">
        <v>53.481429937074587</v>
      </c>
      <c r="O20" s="139">
        <v>23.479652167496148</v>
      </c>
      <c r="P20" s="141">
        <v>30.001777769578418</v>
      </c>
      <c r="Q20" s="139">
        <v>907.87988380985178</v>
      </c>
      <c r="R20" s="139">
        <v>383.50098540243738</v>
      </c>
      <c r="S20" s="142">
        <v>524.37889840741434</v>
      </c>
      <c r="T20" s="138">
        <v>993.69408567068376</v>
      </c>
      <c r="U20" s="139">
        <v>420.66832392028107</v>
      </c>
      <c r="V20" s="139">
        <v>573.0257617503853</v>
      </c>
      <c r="W20" s="140">
        <v>55.280132310037182</v>
      </c>
      <c r="X20" s="139">
        <v>24.269326380016324</v>
      </c>
      <c r="Y20" s="141">
        <v>31.010805930020858</v>
      </c>
      <c r="Z20" s="139">
        <v>938.41395336064454</v>
      </c>
      <c r="AA20" s="139">
        <v>396.39899754026487</v>
      </c>
      <c r="AB20" s="142">
        <v>542.0149558203633</v>
      </c>
    </row>
    <row r="21" spans="1:28">
      <c r="A21" s="171" t="s">
        <v>20</v>
      </c>
      <c r="B21" s="140">
        <v>514.8390158024788</v>
      </c>
      <c r="C21" s="139">
        <v>191.80277059308099</v>
      </c>
      <c r="D21" s="139">
        <v>323.03624520939883</v>
      </c>
      <c r="E21" s="140">
        <v>27.760927322682779</v>
      </c>
      <c r="F21" s="139">
        <v>8.8330223299445212</v>
      </c>
      <c r="G21" s="141">
        <v>18.927904992738259</v>
      </c>
      <c r="H21" s="139">
        <v>487.07808847979612</v>
      </c>
      <c r="I21" s="139">
        <v>182.96974826313652</v>
      </c>
      <c r="J21" s="142">
        <v>304.10834021666068</v>
      </c>
      <c r="K21" s="138">
        <v>532.20544912991306</v>
      </c>
      <c r="L21" s="139">
        <v>198.27261830330096</v>
      </c>
      <c r="M21" s="139">
        <v>333.93283082661213</v>
      </c>
      <c r="N21" s="140">
        <v>28.697352649161964</v>
      </c>
      <c r="O21" s="139">
        <v>9.1309758429151646</v>
      </c>
      <c r="P21" s="141">
        <v>19.566376806246787</v>
      </c>
      <c r="Q21" s="139">
        <v>503.50809648075114</v>
      </c>
      <c r="R21" s="139">
        <v>189.14164246038578</v>
      </c>
      <c r="S21" s="142">
        <v>314.36645402036532</v>
      </c>
      <c r="T21" s="138">
        <v>550.10473128036904</v>
      </c>
      <c r="U21" s="139">
        <v>204.94097832013711</v>
      </c>
      <c r="V21" s="139">
        <v>345.16375296023068</v>
      </c>
      <c r="W21" s="140">
        <v>29.662510020019951</v>
      </c>
      <c r="X21" s="139">
        <v>9.4380713700063481</v>
      </c>
      <c r="Y21" s="141">
        <v>20.224438650013603</v>
      </c>
      <c r="Z21" s="139">
        <v>520.44222126034799</v>
      </c>
      <c r="AA21" s="139">
        <v>195.50290695013081</v>
      </c>
      <c r="AB21" s="142">
        <v>324.93931431021718</v>
      </c>
    </row>
    <row r="22" spans="1:28">
      <c r="A22" s="29" t="s">
        <v>29</v>
      </c>
      <c r="B22" s="140">
        <v>398.74786518035143</v>
      </c>
      <c r="C22" s="139">
        <v>166.56556393609679</v>
      </c>
      <c r="D22" s="139">
        <v>232.18230124425571</v>
      </c>
      <c r="E22" s="140">
        <v>23.975346324135128</v>
      </c>
      <c r="F22" s="139">
        <v>12.618603328492172</v>
      </c>
      <c r="G22" s="141">
        <v>11.356742995642955</v>
      </c>
      <c r="H22" s="139">
        <v>374.77251885621644</v>
      </c>
      <c r="I22" s="139">
        <v>153.94696060760469</v>
      </c>
      <c r="J22" s="142">
        <v>220.82555824861282</v>
      </c>
      <c r="K22" s="138">
        <v>412.19833805159936</v>
      </c>
      <c r="L22" s="139">
        <v>172.18411589497188</v>
      </c>
      <c r="M22" s="139">
        <v>240.01422215662748</v>
      </c>
      <c r="N22" s="140">
        <v>24.784077287912602</v>
      </c>
      <c r="O22" s="139">
        <v>13.044251204164521</v>
      </c>
      <c r="P22" s="141">
        <v>11.739826083748069</v>
      </c>
      <c r="Q22" s="139">
        <v>387.41426076368674</v>
      </c>
      <c r="R22" s="139">
        <v>159.13986469080734</v>
      </c>
      <c r="S22" s="142">
        <v>228.2743960728794</v>
      </c>
      <c r="T22" s="138">
        <v>426.06150756028467</v>
      </c>
      <c r="U22" s="139">
        <v>177.97506012011911</v>
      </c>
      <c r="V22" s="139">
        <v>248.0864474401659</v>
      </c>
      <c r="W22" s="140">
        <v>25.617622290017231</v>
      </c>
      <c r="X22" s="139">
        <v>13.482959100009069</v>
      </c>
      <c r="Y22" s="141">
        <v>12.134663190008162</v>
      </c>
      <c r="Z22" s="139">
        <v>400.44388527026757</v>
      </c>
      <c r="AA22" s="139">
        <v>164.49210102011011</v>
      </c>
      <c r="AB22" s="142">
        <v>235.9517842501578</v>
      </c>
    </row>
    <row r="23" spans="1:28">
      <c r="A23" s="29" t="s">
        <v>30</v>
      </c>
      <c r="B23" s="140">
        <v>98.42510596223913</v>
      </c>
      <c r="C23" s="139">
        <v>26.499066989833562</v>
      </c>
      <c r="D23" s="139">
        <v>71.926038972405422</v>
      </c>
      <c r="E23" s="140">
        <v>12.618603328492172</v>
      </c>
      <c r="F23" s="139">
        <v>3.7855809985476525</v>
      </c>
      <c r="G23" s="141">
        <v>8.8330223299445212</v>
      </c>
      <c r="H23" s="139">
        <v>85.806502633746888</v>
      </c>
      <c r="I23" s="139">
        <v>22.713485991285911</v>
      </c>
      <c r="J23" s="142">
        <v>63.09301664246086</v>
      </c>
      <c r="K23" s="138">
        <v>101.74515939248337</v>
      </c>
      <c r="L23" s="139">
        <v>27.39292752874551</v>
      </c>
      <c r="M23" s="139">
        <v>74.352231863737842</v>
      </c>
      <c r="N23" s="140">
        <v>13.044251204164521</v>
      </c>
      <c r="O23" s="139">
        <v>3.9132753612493563</v>
      </c>
      <c r="P23" s="141">
        <v>9.1309758429151646</v>
      </c>
      <c r="Q23" s="139">
        <v>88.700908188318834</v>
      </c>
      <c r="R23" s="139">
        <v>23.479652167496148</v>
      </c>
      <c r="S23" s="142">
        <v>65.221256020822665</v>
      </c>
      <c r="T23" s="138">
        <v>105.16708098007052</v>
      </c>
      <c r="U23" s="139">
        <v>28.314214110019044</v>
      </c>
      <c r="V23" s="139">
        <v>76.852866870051628</v>
      </c>
      <c r="W23" s="140">
        <v>13.482959100009069</v>
      </c>
      <c r="X23" s="139">
        <v>4.0448877300027206</v>
      </c>
      <c r="Y23" s="141">
        <v>9.4380713700063481</v>
      </c>
      <c r="Z23" s="139">
        <v>91.684121880061525</v>
      </c>
      <c r="AA23" s="139">
        <v>24.269326380016324</v>
      </c>
      <c r="AB23" s="142">
        <v>67.414795500045329</v>
      </c>
    </row>
    <row r="24" spans="1:28">
      <c r="A24" s="29" t="s">
        <v>32</v>
      </c>
      <c r="B24" s="140">
        <v>59.307435643913209</v>
      </c>
      <c r="C24" s="139">
        <v>26.499066989833562</v>
      </c>
      <c r="D24" s="139">
        <v>32.808368654079651</v>
      </c>
      <c r="E24" s="140">
        <v>6.3093016642460871</v>
      </c>
      <c r="F24" s="139">
        <v>3.7855809985476525</v>
      </c>
      <c r="G24" s="141">
        <v>2.523720665698435</v>
      </c>
      <c r="H24" s="139">
        <v>52.998133979667124</v>
      </c>
      <c r="I24" s="139">
        <v>22.713485991285911</v>
      </c>
      <c r="J24" s="142">
        <v>30.284647988381213</v>
      </c>
      <c r="K24" s="138">
        <v>61.30798065957331</v>
      </c>
      <c r="L24" s="139">
        <v>27.39292752874551</v>
      </c>
      <c r="M24" s="139">
        <v>33.915053130827779</v>
      </c>
      <c r="N24" s="140">
        <v>6.5221256020822604</v>
      </c>
      <c r="O24" s="139">
        <v>3.9132753612493563</v>
      </c>
      <c r="P24" s="141">
        <v>2.6088502408329042</v>
      </c>
      <c r="Q24" s="139">
        <v>54.785855057491041</v>
      </c>
      <c r="R24" s="139">
        <v>23.479652167496148</v>
      </c>
      <c r="S24" s="142">
        <v>31.306202889994871</v>
      </c>
      <c r="T24" s="138">
        <v>63.369907770042623</v>
      </c>
      <c r="U24" s="139">
        <v>28.314214110019044</v>
      </c>
      <c r="V24" s="139">
        <v>35.055693660023579</v>
      </c>
      <c r="W24" s="140">
        <v>6.7414795500045344</v>
      </c>
      <c r="X24" s="139">
        <v>4.0448877300027206</v>
      </c>
      <c r="Y24" s="141">
        <v>2.6965918200018137</v>
      </c>
      <c r="Z24" s="139">
        <v>56.628428220038089</v>
      </c>
      <c r="AA24" s="139">
        <v>24.269326380016324</v>
      </c>
      <c r="AB24" s="142">
        <v>32.359101840021765</v>
      </c>
    </row>
    <row r="25" spans="1:28" ht="12.75" thickBot="1">
      <c r="A25" s="34" t="s">
        <v>31</v>
      </c>
      <c r="B25" s="145">
        <v>17.666044659889042</v>
      </c>
      <c r="C25" s="144">
        <v>5.04744133139687</v>
      </c>
      <c r="D25" s="144">
        <v>12.618603328492172</v>
      </c>
      <c r="E25" s="177">
        <v>0</v>
      </c>
      <c r="F25" s="178">
        <v>0</v>
      </c>
      <c r="G25" s="179">
        <v>0</v>
      </c>
      <c r="H25" s="144">
        <v>17.666044659889042</v>
      </c>
      <c r="I25" s="144">
        <v>5.04744133139687</v>
      </c>
      <c r="J25" s="147">
        <v>12.618603328492172</v>
      </c>
      <c r="K25" s="143">
        <v>18.261951685830333</v>
      </c>
      <c r="L25" s="144">
        <v>5.2177004816658084</v>
      </c>
      <c r="M25" s="144">
        <v>13.044251204164521</v>
      </c>
      <c r="N25" s="177">
        <v>0</v>
      </c>
      <c r="O25" s="178">
        <v>0</v>
      </c>
      <c r="P25" s="179">
        <v>0</v>
      </c>
      <c r="Q25" s="144">
        <v>18.261951685830333</v>
      </c>
      <c r="R25" s="144">
        <v>5.2177004816658084</v>
      </c>
      <c r="S25" s="147">
        <v>13.044251204164521</v>
      </c>
      <c r="T25" s="143">
        <v>18.876142740012696</v>
      </c>
      <c r="U25" s="144">
        <v>5.3931836400036275</v>
      </c>
      <c r="V25" s="144">
        <v>13.482959100009069</v>
      </c>
      <c r="W25" s="177">
        <v>0</v>
      </c>
      <c r="X25" s="178">
        <v>0</v>
      </c>
      <c r="Y25" s="179">
        <v>0</v>
      </c>
      <c r="Z25" s="144">
        <v>18.876142740012696</v>
      </c>
      <c r="AA25" s="144">
        <v>5.3931836400036275</v>
      </c>
      <c r="AB25" s="147">
        <v>13.482959100009069</v>
      </c>
    </row>
    <row r="26" spans="1:28">
      <c r="A26" s="172" t="s">
        <v>72</v>
      </c>
      <c r="B26" s="176">
        <v>59682.952868176471</v>
      </c>
      <c r="C26" s="168">
        <v>29614.898848504305</v>
      </c>
      <c r="D26" s="184">
        <v>30068.054019650113</v>
      </c>
      <c r="E26" s="168">
        <v>3360.9206497399232</v>
      </c>
      <c r="F26" s="168">
        <v>1699.1668199138517</v>
      </c>
      <c r="G26" s="184">
        <v>1661.7538298259678</v>
      </c>
      <c r="H26" s="168">
        <v>56322.032218433247</v>
      </c>
      <c r="I26" s="168">
        <v>27915.732028589344</v>
      </c>
      <c r="J26" s="181">
        <v>28406.300189823076</v>
      </c>
      <c r="K26" s="168">
        <v>61696.164745889735</v>
      </c>
      <c r="L26" s="168">
        <v>30613.861923495198</v>
      </c>
      <c r="M26" s="184">
        <v>31082.302822461683</v>
      </c>
      <c r="N26" s="168">
        <v>3474.2904655288794</v>
      </c>
      <c r="O26" s="168">
        <v>1756.4827310715143</v>
      </c>
      <c r="P26" s="184">
        <v>1717.8077344573178</v>
      </c>
      <c r="Q26" s="168">
        <v>58221.874280368451</v>
      </c>
      <c r="R26" s="168">
        <v>28857.379192422777</v>
      </c>
      <c r="S26" s="181">
        <v>29364.495088003456</v>
      </c>
      <c r="T26" s="168">
        <v>63771.147371884195</v>
      </c>
      <c r="U26" s="168">
        <v>31643.475868958441</v>
      </c>
      <c r="V26" s="168">
        <v>32127.671502933306</v>
      </c>
      <c r="W26" s="183">
        <v>3591.138771792499</v>
      </c>
      <c r="X26" s="168">
        <v>1815.5572483415974</v>
      </c>
      <c r="Y26" s="168">
        <v>1775.5815234509475</v>
      </c>
      <c r="Z26" s="183">
        <v>60180.008600093686</v>
      </c>
      <c r="AA26" s="168">
        <v>29827.91862061778</v>
      </c>
      <c r="AB26" s="181">
        <v>30352.089979483379</v>
      </c>
    </row>
    <row r="27" spans="1:28">
      <c r="A27" s="172" t="s">
        <v>22</v>
      </c>
      <c r="B27" s="176">
        <v>2323.8594529703951</v>
      </c>
      <c r="C27" s="168">
        <v>1047.0512832862428</v>
      </c>
      <c r="D27" s="185">
        <v>1276.8081696842066</v>
      </c>
      <c r="E27" s="168">
        <v>140.59749764651482</v>
      </c>
      <c r="F27" s="168">
        <v>67.441076106864642</v>
      </c>
      <c r="G27" s="185">
        <v>73.156421539649813</v>
      </c>
      <c r="H27" s="168">
        <v>2183.2619553239078</v>
      </c>
      <c r="I27" s="168">
        <v>979.61020717937777</v>
      </c>
      <c r="J27" s="182">
        <v>1203.6517481445564</v>
      </c>
      <c r="K27" s="168">
        <v>2402.2473548457169</v>
      </c>
      <c r="L27" s="168">
        <v>1082.3701805404721</v>
      </c>
      <c r="M27" s="185">
        <v>1319.8771743053371</v>
      </c>
      <c r="N27" s="168">
        <v>145.34010066209208</v>
      </c>
      <c r="O27" s="168">
        <v>69.715983244418169</v>
      </c>
      <c r="P27" s="185">
        <v>75.624117417673943</v>
      </c>
      <c r="Q27" s="168">
        <v>2256.9072541836354</v>
      </c>
      <c r="R27" s="168">
        <v>1012.654197296058</v>
      </c>
      <c r="S27" s="182">
        <v>1244.2530568876687</v>
      </c>
      <c r="T27" s="168">
        <v>2483.040408111035</v>
      </c>
      <c r="U27" s="168">
        <v>1118.7727564336822</v>
      </c>
      <c r="V27" s="168">
        <v>1364.2676516773386</v>
      </c>
      <c r="W27" s="176">
        <v>150.22821947744751</v>
      </c>
      <c r="X27" s="168">
        <v>72.060690643653729</v>
      </c>
      <c r="Y27" s="168">
        <v>78.167528833793867</v>
      </c>
      <c r="Z27" s="176">
        <v>2332.8121886336016</v>
      </c>
      <c r="AA27" s="168">
        <v>1046.7120657900218</v>
      </c>
      <c r="AB27" s="182">
        <v>1286.1001228435375</v>
      </c>
    </row>
    <row r="28" spans="1:28" ht="12.75" thickBot="1">
      <c r="A28" s="180" t="s">
        <v>21</v>
      </c>
      <c r="B28" s="157">
        <v>48772.435552235809</v>
      </c>
      <c r="C28" s="128">
        <v>22761.739925529469</v>
      </c>
      <c r="D28" s="154">
        <v>26010.695626679531</v>
      </c>
      <c r="E28" s="128">
        <v>2751.0172329505508</v>
      </c>
      <c r="F28" s="128">
        <v>1282.5610051598028</v>
      </c>
      <c r="G28" s="154">
        <v>1468.4562277907089</v>
      </c>
      <c r="H28" s="128">
        <v>46021.418319280958</v>
      </c>
      <c r="I28" s="128">
        <v>21479.178920369548</v>
      </c>
      <c r="J28" s="130">
        <v>24542.239398888782</v>
      </c>
      <c r="K28" s="128">
        <v>50417.616325705298</v>
      </c>
      <c r="L28" s="128">
        <v>23529.533792542876</v>
      </c>
      <c r="M28" s="154">
        <v>26888.082533139517</v>
      </c>
      <c r="N28" s="128">
        <v>2843.8139245224552</v>
      </c>
      <c r="O28" s="128">
        <v>1325.8240631270776</v>
      </c>
      <c r="P28" s="154">
        <v>1517.9898613954529</v>
      </c>
      <c r="Q28" s="128">
        <v>47573.802401179106</v>
      </c>
      <c r="R28" s="128">
        <v>22203.709729416129</v>
      </c>
      <c r="S28" s="130">
        <v>25370.092671744449</v>
      </c>
      <c r="T28" s="128">
        <v>52113.275664453788</v>
      </c>
      <c r="U28" s="128">
        <v>24320.885637796844</v>
      </c>
      <c r="V28" s="154">
        <v>27792.390026673016</v>
      </c>
      <c r="W28" s="128">
        <v>2939.4578678560742</v>
      </c>
      <c r="X28" s="128">
        <v>1370.4145479230888</v>
      </c>
      <c r="Y28" s="154">
        <v>1569.0433199330791</v>
      </c>
      <c r="Z28" s="128">
        <v>49173.817796600291</v>
      </c>
      <c r="AA28" s="128">
        <v>22950.471089873779</v>
      </c>
      <c r="AB28" s="130">
        <v>26223.346706739962</v>
      </c>
    </row>
    <row r="29" spans="1:28">
      <c r="A29" s="260" t="s">
        <v>118</v>
      </c>
      <c r="B29" s="186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6E092-E617-49B6-B998-7130A87C78A1}">
  <dimension ref="A1:AC29"/>
  <sheetViews>
    <sheetView workbookViewId="0">
      <selection activeCell="A29" sqref="A29"/>
    </sheetView>
  </sheetViews>
  <sheetFormatPr defaultColWidth="9.125" defaultRowHeight="12"/>
  <cols>
    <col min="1" max="1" width="17" style="72" customWidth="1"/>
    <col min="2" max="16384" width="9.125" style="1"/>
  </cols>
  <sheetData>
    <row r="1" spans="1:28" ht="12.75" thickBot="1">
      <c r="A1" s="69" t="s">
        <v>112</v>
      </c>
      <c r="B1" s="53"/>
      <c r="C1" s="53"/>
      <c r="D1" s="53"/>
      <c r="E1" s="53"/>
      <c r="F1" s="53"/>
      <c r="G1" s="53"/>
      <c r="H1" s="53"/>
      <c r="I1" s="53"/>
      <c r="J1" s="5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>
      <c r="A2" s="257" t="s">
        <v>55</v>
      </c>
      <c r="B2" s="233" t="s">
        <v>79</v>
      </c>
      <c r="C2" s="233"/>
      <c r="D2" s="233"/>
      <c r="E2" s="233"/>
      <c r="F2" s="233"/>
      <c r="G2" s="233"/>
      <c r="H2" s="233"/>
      <c r="I2" s="233"/>
      <c r="J2" s="234"/>
      <c r="K2" s="233" t="s">
        <v>80</v>
      </c>
      <c r="L2" s="233"/>
      <c r="M2" s="233"/>
      <c r="N2" s="233"/>
      <c r="O2" s="233"/>
      <c r="P2" s="233"/>
      <c r="Q2" s="233"/>
      <c r="R2" s="233"/>
      <c r="S2" s="234"/>
      <c r="T2" s="233" t="s">
        <v>81</v>
      </c>
      <c r="U2" s="233"/>
      <c r="V2" s="233"/>
      <c r="W2" s="233"/>
      <c r="X2" s="233"/>
      <c r="Y2" s="233"/>
      <c r="Z2" s="233"/>
      <c r="AA2" s="233"/>
      <c r="AB2" s="234"/>
    </row>
    <row r="3" spans="1:28" ht="12.75" thickBot="1">
      <c r="A3" s="258"/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5"/>
      <c r="K3" s="11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5"/>
    </row>
    <row r="4" spans="1:28" ht="12.75" thickBot="1">
      <c r="A4" s="259"/>
      <c r="B4" s="83" t="s">
        <v>0</v>
      </c>
      <c r="C4" s="84" t="s">
        <v>3</v>
      </c>
      <c r="D4" s="85" t="s">
        <v>4</v>
      </c>
      <c r="E4" s="86" t="s">
        <v>0</v>
      </c>
      <c r="F4" s="84" t="s">
        <v>3</v>
      </c>
      <c r="G4" s="85" t="s">
        <v>4</v>
      </c>
      <c r="H4" s="86" t="s">
        <v>0</v>
      </c>
      <c r="I4" s="84" t="s">
        <v>3</v>
      </c>
      <c r="J4" s="198" t="s">
        <v>4</v>
      </c>
      <c r="K4" s="83" t="s">
        <v>0</v>
      </c>
      <c r="L4" s="84" t="s">
        <v>3</v>
      </c>
      <c r="M4" s="84" t="s">
        <v>4</v>
      </c>
      <c r="N4" s="88" t="s">
        <v>0</v>
      </c>
      <c r="O4" s="89" t="s">
        <v>3</v>
      </c>
      <c r="P4" s="90" t="s">
        <v>4</v>
      </c>
      <c r="Q4" s="86" t="s">
        <v>0</v>
      </c>
      <c r="R4" s="84" t="s">
        <v>3</v>
      </c>
      <c r="S4" s="87" t="s">
        <v>4</v>
      </c>
      <c r="T4" s="83" t="s">
        <v>0</v>
      </c>
      <c r="U4" s="84" t="s">
        <v>3</v>
      </c>
      <c r="V4" s="84" t="s">
        <v>4</v>
      </c>
      <c r="W4" s="88" t="s">
        <v>0</v>
      </c>
      <c r="X4" s="89" t="s">
        <v>3</v>
      </c>
      <c r="Y4" s="90" t="s">
        <v>4</v>
      </c>
      <c r="Z4" s="86" t="s">
        <v>0</v>
      </c>
      <c r="AA4" s="84" t="s">
        <v>3</v>
      </c>
      <c r="AB4" s="87" t="s">
        <v>4</v>
      </c>
    </row>
    <row r="5" spans="1:28" ht="12.75" thickBot="1">
      <c r="A5" s="93" t="s">
        <v>78</v>
      </c>
      <c r="B5" s="100">
        <f>+B6+B7+B8+B9+B10+B11+B12+B13+B14+B15+B16+B17+B18+B19+B20+B21+B22+B23+B24+B25</f>
        <v>105799.03768989295</v>
      </c>
      <c r="C5" s="63">
        <f t="shared" ref="C5:AB5" si="0">+C6+C7+C8+C9+C10+C11+C12+C13+C14+C15+C16+C17+C18+C19+C20+C21+C22+C23+C24+C25</f>
        <v>51599.363444779279</v>
      </c>
      <c r="D5" s="63">
        <f t="shared" si="0"/>
        <v>54199.674245117298</v>
      </c>
      <c r="E5" s="100">
        <f t="shared" si="0"/>
        <v>18097.159523763261</v>
      </c>
      <c r="F5" s="63">
        <f t="shared" si="0"/>
        <v>8921.1582580695704</v>
      </c>
      <c r="G5" s="101">
        <f t="shared" si="0"/>
        <v>9176.0012656935887</v>
      </c>
      <c r="H5" s="63">
        <f t="shared" si="0"/>
        <v>87701.878166132039</v>
      </c>
      <c r="I5" s="63">
        <f t="shared" si="0"/>
        <v>42678.205186709856</v>
      </c>
      <c r="J5" s="97">
        <f t="shared" si="0"/>
        <v>45023.672979423762</v>
      </c>
      <c r="K5" s="63">
        <f t="shared" si="0"/>
        <v>109367.82691867229</v>
      </c>
      <c r="L5" s="63">
        <f t="shared" si="0"/>
        <v>53339.901511041942</v>
      </c>
      <c r="M5" s="101">
        <f t="shared" si="0"/>
        <v>56027.925407626353</v>
      </c>
      <c r="N5" s="63">
        <f t="shared" si="0"/>
        <v>18707.608818860928</v>
      </c>
      <c r="O5" s="63">
        <f t="shared" si="0"/>
        <v>9222.0847522490567</v>
      </c>
      <c r="P5" s="63">
        <f t="shared" si="0"/>
        <v>9485.524066611737</v>
      </c>
      <c r="Q5" s="100">
        <f t="shared" si="0"/>
        <v>90660.21809980963</v>
      </c>
      <c r="R5" s="63">
        <f t="shared" si="0"/>
        <v>44117.816758793371</v>
      </c>
      <c r="S5" s="97">
        <f t="shared" si="0"/>
        <v>46542.401341015095</v>
      </c>
      <c r="T5" s="63">
        <f t="shared" si="0"/>
        <v>113046.11618722641</v>
      </c>
      <c r="U5" s="63">
        <f t="shared" si="0"/>
        <v>55133.84396049576</v>
      </c>
      <c r="V5" s="101">
        <f t="shared" si="0"/>
        <v>57912.272226728812</v>
      </c>
      <c r="W5" s="63">
        <f t="shared" si="0"/>
        <v>19336.78833807967</v>
      </c>
      <c r="X5" s="63">
        <f t="shared" si="0"/>
        <v>9532.2444795983592</v>
      </c>
      <c r="Y5" s="63">
        <f t="shared" si="0"/>
        <v>9804.5438584812673</v>
      </c>
      <c r="Z5" s="100">
        <f t="shared" si="0"/>
        <v>93709.327849144538</v>
      </c>
      <c r="AA5" s="63">
        <f t="shared" si="0"/>
        <v>45601.599480897443</v>
      </c>
      <c r="AB5" s="63">
        <f t="shared" si="0"/>
        <v>48107.728368247583</v>
      </c>
    </row>
    <row r="6" spans="1:28">
      <c r="A6" s="193" t="s">
        <v>5</v>
      </c>
      <c r="B6" s="195">
        <v>16588.903060882796</v>
      </c>
      <c r="C6" s="139">
        <v>8330.6402369441585</v>
      </c>
      <c r="D6" s="139">
        <v>8258.2628239385613</v>
      </c>
      <c r="E6" s="140">
        <v>2864.9392648048106</v>
      </c>
      <c r="F6" s="139">
        <v>1452.3734209789056</v>
      </c>
      <c r="G6" s="141">
        <v>1412.5658438258272</v>
      </c>
      <c r="H6" s="139">
        <v>13723.963796077909</v>
      </c>
      <c r="I6" s="139">
        <v>6878.2668159651748</v>
      </c>
      <c r="J6" s="142">
        <v>6845.6969801126561</v>
      </c>
      <c r="K6" s="138">
        <v>17148.476189836922</v>
      </c>
      <c r="L6" s="139">
        <v>8611.6475106904945</v>
      </c>
      <c r="M6" s="139">
        <v>8536.8286791467144</v>
      </c>
      <c r="N6" s="140">
        <v>2961.5787486089534</v>
      </c>
      <c r="O6" s="139">
        <v>1501.3645529789794</v>
      </c>
      <c r="P6" s="141">
        <v>1460.2141956298854</v>
      </c>
      <c r="Q6" s="139">
        <v>14186.897441227842</v>
      </c>
      <c r="R6" s="139">
        <v>7110.2829577119737</v>
      </c>
      <c r="S6" s="142">
        <v>7076.6144835172727</v>
      </c>
      <c r="T6" s="138">
        <v>17725.218525479035</v>
      </c>
      <c r="U6" s="139">
        <v>8901.2768424212336</v>
      </c>
      <c r="V6" s="139">
        <v>8823.9416830605333</v>
      </c>
      <c r="W6" s="140">
        <v>3061.1833913624241</v>
      </c>
      <c r="X6" s="139">
        <v>1551.8588645054692</v>
      </c>
      <c r="Y6" s="141">
        <v>1509.3245268570615</v>
      </c>
      <c r="Z6" s="139">
        <v>14664.035134116088</v>
      </c>
      <c r="AA6" s="139">
        <v>7349.4179779159194</v>
      </c>
      <c r="AB6" s="142">
        <v>7314.6171562035797</v>
      </c>
    </row>
    <row r="7" spans="1:28">
      <c r="A7" s="193" t="s">
        <v>6</v>
      </c>
      <c r="B7" s="140">
        <v>15838.319409714219</v>
      </c>
      <c r="C7" s="139">
        <v>7980.1825987742131</v>
      </c>
      <c r="D7" s="139">
        <v>7858.1368109412988</v>
      </c>
      <c r="E7" s="140">
        <v>2724.1540944599537</v>
      </c>
      <c r="F7" s="139">
        <v>1387.4073050820698</v>
      </c>
      <c r="G7" s="141">
        <v>1336.7467893778312</v>
      </c>
      <c r="H7" s="139">
        <v>13114.165315255017</v>
      </c>
      <c r="I7" s="139">
        <v>6592.7752936924981</v>
      </c>
      <c r="J7" s="142">
        <v>6521.3900215638123</v>
      </c>
      <c r="K7" s="138">
        <v>16372.574020586266</v>
      </c>
      <c r="L7" s="139">
        <v>8249.3683146759886</v>
      </c>
      <c r="M7" s="139">
        <v>8123.2057059102026</v>
      </c>
      <c r="N7" s="140">
        <v>2816.0446447154882</v>
      </c>
      <c r="O7" s="139">
        <v>1434.2070147430586</v>
      </c>
      <c r="P7" s="141">
        <v>1381.837629972355</v>
      </c>
      <c r="Q7" s="139">
        <v>13556.529375870703</v>
      </c>
      <c r="R7" s="139">
        <v>6815.1612999328554</v>
      </c>
      <c r="S7" s="142">
        <v>6741.368075937773</v>
      </c>
      <c r="T7" s="138">
        <v>16923.220997994031</v>
      </c>
      <c r="U7" s="139">
        <v>8526.8133714089581</v>
      </c>
      <c r="V7" s="139">
        <v>8396.407626585793</v>
      </c>
      <c r="W7" s="140">
        <v>2910.7546438830259</v>
      </c>
      <c r="X7" s="139">
        <v>1482.4426652066604</v>
      </c>
      <c r="Y7" s="141">
        <v>1428.31197867629</v>
      </c>
      <c r="Z7" s="139">
        <v>14012.466354111726</v>
      </c>
      <c r="AA7" s="139">
        <v>7044.3707062022231</v>
      </c>
      <c r="AB7" s="142">
        <v>6968.0956479094284</v>
      </c>
    </row>
    <row r="8" spans="1:28" ht="17.25" customHeight="1">
      <c r="A8" s="193" t="s">
        <v>7</v>
      </c>
      <c r="B8" s="140">
        <v>15336.31975409959</v>
      </c>
      <c r="C8" s="139">
        <v>7778.691911314213</v>
      </c>
      <c r="D8" s="139">
        <v>7557.62784278667</v>
      </c>
      <c r="E8" s="140">
        <v>2749.484352312078</v>
      </c>
      <c r="F8" s="139">
        <v>1380.4990529405827</v>
      </c>
      <c r="G8" s="141">
        <v>1368.9852993714376</v>
      </c>
      <c r="H8" s="139">
        <v>12586.835401788274</v>
      </c>
      <c r="I8" s="139">
        <v>6398.1928583739837</v>
      </c>
      <c r="J8" s="142">
        <v>6188.6425434155835</v>
      </c>
      <c r="K8" s="138">
        <v>15853.641026040203</v>
      </c>
      <c r="L8" s="139">
        <v>8041.0809888834174</v>
      </c>
      <c r="M8" s="139">
        <v>7812.5600371567107</v>
      </c>
      <c r="N8" s="140">
        <v>2842.22933710084</v>
      </c>
      <c r="O8" s="139">
        <v>1427.065735001599</v>
      </c>
      <c r="P8" s="141">
        <v>1415.1636020991664</v>
      </c>
      <c r="Q8" s="139">
        <v>13011.411688939288</v>
      </c>
      <c r="R8" s="139">
        <v>6614.0152538817438</v>
      </c>
      <c r="S8" s="142">
        <v>6397.3964350574697</v>
      </c>
      <c r="T8" s="138">
        <v>16386.83510419388</v>
      </c>
      <c r="U8" s="139">
        <v>8311.5208681631666</v>
      </c>
      <c r="V8" s="139">
        <v>8075.314236030642</v>
      </c>
      <c r="W8" s="140">
        <v>2937.8199871482111</v>
      </c>
      <c r="X8" s="139">
        <v>1475.061207952519</v>
      </c>
      <c r="Y8" s="141">
        <v>1462.7587791956166</v>
      </c>
      <c r="Z8" s="139">
        <v>13449.015117045597</v>
      </c>
      <c r="AA8" s="139">
        <v>6836.459660210573</v>
      </c>
      <c r="AB8" s="142">
        <v>6612.5554568349498</v>
      </c>
    </row>
    <row r="9" spans="1:28">
      <c r="A9" s="193" t="s">
        <v>8</v>
      </c>
      <c r="B9" s="140">
        <v>12432.019385392179</v>
      </c>
      <c r="C9" s="139">
        <v>6068.5537805312788</v>
      </c>
      <c r="D9" s="139">
        <v>6363.4656048630522</v>
      </c>
      <c r="E9" s="140">
        <v>2215.2678897474984</v>
      </c>
      <c r="F9" s="139">
        <v>1075.6280104501686</v>
      </c>
      <c r="G9" s="141">
        <v>1139.6398792973625</v>
      </c>
      <c r="H9" s="139">
        <v>10216.751495645969</v>
      </c>
      <c r="I9" s="139">
        <v>4992.9257700808957</v>
      </c>
      <c r="J9" s="142">
        <v>5223.8257255654626</v>
      </c>
      <c r="K9" s="138">
        <v>12851.373453668713</v>
      </c>
      <c r="L9" s="139">
        <v>6273.2568651626216</v>
      </c>
      <c r="M9" s="139">
        <v>6578.1165885025976</v>
      </c>
      <c r="N9" s="140">
        <v>2289.9928055538653</v>
      </c>
      <c r="O9" s="139">
        <v>1111.9108514067489</v>
      </c>
      <c r="P9" s="141">
        <v>1178.0819541472088</v>
      </c>
      <c r="Q9" s="139">
        <v>10561.380648113178</v>
      </c>
      <c r="R9" s="139">
        <v>5161.346013755965</v>
      </c>
      <c r="S9" s="142">
        <v>5400.0346343554811</v>
      </c>
      <c r="T9" s="138">
        <v>13283.59443119567</v>
      </c>
      <c r="U9" s="139">
        <v>6484.2407902904815</v>
      </c>
      <c r="V9" s="139">
        <v>6799.3536409016833</v>
      </c>
      <c r="W9" s="140">
        <v>2367.0104824983832</v>
      </c>
      <c r="X9" s="139">
        <v>1149.3069473843857</v>
      </c>
      <c r="Y9" s="141">
        <v>1217.7035351139616</v>
      </c>
      <c r="Z9" s="139">
        <v>10916.58394869581</v>
      </c>
      <c r="AA9" s="139">
        <v>5334.9338429062145</v>
      </c>
      <c r="AB9" s="142">
        <v>5581.6501057878531</v>
      </c>
    </row>
    <row r="10" spans="1:28">
      <c r="A10" s="193" t="s">
        <v>9</v>
      </c>
      <c r="B10" s="140">
        <v>9199.9203929259438</v>
      </c>
      <c r="C10" s="139">
        <v>4421.4753790053119</v>
      </c>
      <c r="D10" s="139">
        <v>4778.4450139210385</v>
      </c>
      <c r="E10" s="140">
        <v>1578.6775933563988</v>
      </c>
      <c r="F10" s="139">
        <v>731.61103393607561</v>
      </c>
      <c r="G10" s="141">
        <v>847.06655942034774</v>
      </c>
      <c r="H10" s="139">
        <v>7621.2427995700427</v>
      </c>
      <c r="I10" s="139">
        <v>3689.8643450691202</v>
      </c>
      <c r="J10" s="142">
        <v>3931.3784545005524</v>
      </c>
      <c r="K10" s="138">
        <v>9510.2500284377093</v>
      </c>
      <c r="L10" s="139">
        <v>4570.6195872359767</v>
      </c>
      <c r="M10" s="139">
        <v>4939.6304412015643</v>
      </c>
      <c r="N10" s="140">
        <v>1631.929189154434</v>
      </c>
      <c r="O10" s="139">
        <v>756.28957198873138</v>
      </c>
      <c r="P10" s="141">
        <v>875.63961716569781</v>
      </c>
      <c r="Q10" s="139">
        <v>7878.3208392839497</v>
      </c>
      <c r="R10" s="139">
        <v>3814.3300152472048</v>
      </c>
      <c r="S10" s="142">
        <v>4063.9908240357104</v>
      </c>
      <c r="T10" s="138">
        <v>9830.1014107557385</v>
      </c>
      <c r="U10" s="139">
        <v>4724.3399403970507</v>
      </c>
      <c r="V10" s="139">
        <v>5105.7614703572781</v>
      </c>
      <c r="W10" s="140">
        <v>1686.8146869522814</v>
      </c>
      <c r="X10" s="139">
        <v>781.7253138786474</v>
      </c>
      <c r="Y10" s="141">
        <v>905.08937307367103</v>
      </c>
      <c r="Z10" s="139">
        <v>8143.2867238029175</v>
      </c>
      <c r="AA10" s="139">
        <v>3942.6146265182242</v>
      </c>
      <c r="AB10" s="142">
        <v>4200.6720972833391</v>
      </c>
    </row>
    <row r="11" spans="1:28">
      <c r="A11" s="194" t="s">
        <v>10</v>
      </c>
      <c r="B11" s="140">
        <v>6360.656960098665</v>
      </c>
      <c r="C11" s="139">
        <v>3144.3958930361782</v>
      </c>
      <c r="D11" s="139">
        <v>3216.2610670621166</v>
      </c>
      <c r="E11" s="140">
        <v>1171.0489013404992</v>
      </c>
      <c r="F11" s="139">
        <v>538.39974639096715</v>
      </c>
      <c r="G11" s="141">
        <v>632.64915494955665</v>
      </c>
      <c r="H11" s="139">
        <v>5189.6080587579645</v>
      </c>
      <c r="I11" s="139">
        <v>2605.9961466451318</v>
      </c>
      <c r="J11" s="142">
        <v>2583.6119121124625</v>
      </c>
      <c r="K11" s="138">
        <v>6575.2132031678484</v>
      </c>
      <c r="L11" s="139">
        <v>3250.461944666336</v>
      </c>
      <c r="M11" s="139">
        <v>3324.7512585009645</v>
      </c>
      <c r="N11" s="140">
        <v>1210.5504582235117</v>
      </c>
      <c r="O11" s="139">
        <v>556.5609249578896</v>
      </c>
      <c r="P11" s="141">
        <v>653.9895332656173</v>
      </c>
      <c r="Q11" s="139">
        <v>5364.6627449441057</v>
      </c>
      <c r="R11" s="139">
        <v>2693.9010197085454</v>
      </c>
      <c r="S11" s="142">
        <v>2670.7617252354644</v>
      </c>
      <c r="T11" s="138">
        <v>6796.3526081017844</v>
      </c>
      <c r="U11" s="139">
        <v>3359.7823876683183</v>
      </c>
      <c r="V11" s="139">
        <v>3436.5702204325607</v>
      </c>
      <c r="W11" s="140">
        <v>1251.2640289780536</v>
      </c>
      <c r="X11" s="139">
        <v>575.27933726656704</v>
      </c>
      <c r="Y11" s="141">
        <v>675.98469171148429</v>
      </c>
      <c r="Z11" s="139">
        <v>5545.0885791233486</v>
      </c>
      <c r="AA11" s="139">
        <v>2784.5030504017805</v>
      </c>
      <c r="AB11" s="142">
        <v>2760.5855287211148</v>
      </c>
    </row>
    <row r="12" spans="1:28">
      <c r="A12" s="194" t="s">
        <v>11</v>
      </c>
      <c r="B12" s="140">
        <v>5620.2257188639805</v>
      </c>
      <c r="C12" s="139">
        <v>2684.065580776462</v>
      </c>
      <c r="D12" s="139">
        <v>2936.1601380869583</v>
      </c>
      <c r="E12" s="140">
        <v>1026.9145937501105</v>
      </c>
      <c r="F12" s="139">
        <v>478.2382043096182</v>
      </c>
      <c r="G12" s="141">
        <v>548.67638944049224</v>
      </c>
      <c r="H12" s="139">
        <v>4593.3111251134924</v>
      </c>
      <c r="I12" s="139">
        <v>2205.8273764668438</v>
      </c>
      <c r="J12" s="142">
        <v>2387.4837486464662</v>
      </c>
      <c r="K12" s="138">
        <v>5809.8059026413121</v>
      </c>
      <c r="L12" s="139">
        <v>2774.6038743483505</v>
      </c>
      <c r="M12" s="139">
        <v>3035.2020282926433</v>
      </c>
      <c r="N12" s="140">
        <v>1061.5542447437795</v>
      </c>
      <c r="O12" s="139">
        <v>494.37002733555829</v>
      </c>
      <c r="P12" s="141">
        <v>567.18421740823555</v>
      </c>
      <c r="Q12" s="139">
        <v>4748.2516578972709</v>
      </c>
      <c r="R12" s="139">
        <v>2280.2338470128539</v>
      </c>
      <c r="S12" s="142">
        <v>2468.0178108844766</v>
      </c>
      <c r="T12" s="138">
        <v>6005.2029156946219</v>
      </c>
      <c r="U12" s="139">
        <v>2867.9201259648476</v>
      </c>
      <c r="V12" s="139">
        <v>3137.2827897294687</v>
      </c>
      <c r="W12" s="140">
        <v>1097.2567332766591</v>
      </c>
      <c r="X12" s="139">
        <v>510.99681802414739</v>
      </c>
      <c r="Y12" s="141">
        <v>586.25991525251038</v>
      </c>
      <c r="Z12" s="139">
        <v>4907.9461824177724</v>
      </c>
      <c r="AA12" s="139">
        <v>2356.9233079407868</v>
      </c>
      <c r="AB12" s="142">
        <v>2551.0228744770579</v>
      </c>
    </row>
    <row r="13" spans="1:28">
      <c r="A13" s="194" t="s">
        <v>12</v>
      </c>
      <c r="B13" s="140">
        <v>4500.6293025728346</v>
      </c>
      <c r="C13" s="139">
        <v>2032.8213077243461</v>
      </c>
      <c r="D13" s="139">
        <v>2467.8079948483401</v>
      </c>
      <c r="E13" s="140">
        <v>865.03034371248771</v>
      </c>
      <c r="F13" s="139">
        <v>407.80001917874421</v>
      </c>
      <c r="G13" s="141">
        <v>457.2303245337435</v>
      </c>
      <c r="H13" s="139">
        <v>3635.5989588601983</v>
      </c>
      <c r="I13" s="139">
        <v>1625.0212885456019</v>
      </c>
      <c r="J13" s="142">
        <v>2010.5776703145964</v>
      </c>
      <c r="K13" s="138">
        <v>4652.4435130647762</v>
      </c>
      <c r="L13" s="139">
        <v>2101.3919766589274</v>
      </c>
      <c r="M13" s="139">
        <v>2551.0515364059424</v>
      </c>
      <c r="N13" s="140">
        <v>894.20935176973012</v>
      </c>
      <c r="O13" s="139">
        <v>421.55583726287853</v>
      </c>
      <c r="P13" s="141">
        <v>472.65351450686433</v>
      </c>
      <c r="Q13" s="139">
        <v>3758.2341612949458</v>
      </c>
      <c r="R13" s="139">
        <v>1679.8361393960352</v>
      </c>
      <c r="S13" s="142">
        <v>2078.3980218991369</v>
      </c>
      <c r="T13" s="138">
        <v>4808.9157913278041</v>
      </c>
      <c r="U13" s="139">
        <v>2172.0665779062429</v>
      </c>
      <c r="V13" s="139">
        <v>2636.8492134216676</v>
      </c>
      <c r="W13" s="140">
        <v>924.28365017287751</v>
      </c>
      <c r="X13" s="139">
        <v>435.73372079578439</v>
      </c>
      <c r="Y13" s="141">
        <v>488.54992937709176</v>
      </c>
      <c r="Z13" s="139">
        <v>3884.6321411548392</v>
      </c>
      <c r="AA13" s="139">
        <v>1736.3328571104782</v>
      </c>
      <c r="AB13" s="142">
        <v>2148.2992840446586</v>
      </c>
    </row>
    <row r="14" spans="1:28">
      <c r="A14" s="194" t="s">
        <v>13</v>
      </c>
      <c r="B14" s="140">
        <v>3933.416548624069</v>
      </c>
      <c r="C14" s="139">
        <v>1862.2867542495985</v>
      </c>
      <c r="D14" s="139">
        <v>2071.1297943744707</v>
      </c>
      <c r="E14" s="140">
        <v>648.77275778436581</v>
      </c>
      <c r="F14" s="139">
        <v>339.83334931562018</v>
      </c>
      <c r="G14" s="141">
        <v>308.93940846874563</v>
      </c>
      <c r="H14" s="139">
        <v>3284.6437908397033</v>
      </c>
      <c r="I14" s="139">
        <v>1522.4534049339784</v>
      </c>
      <c r="J14" s="142">
        <v>1762.190385905725</v>
      </c>
      <c r="K14" s="138">
        <v>4066.0976666899192</v>
      </c>
      <c r="L14" s="139">
        <v>1925.1049901671779</v>
      </c>
      <c r="M14" s="139">
        <v>2140.9926765230111</v>
      </c>
      <c r="N14" s="140">
        <v>670.65701382730219</v>
      </c>
      <c r="O14" s="139">
        <v>351.29653105239805</v>
      </c>
      <c r="P14" s="141">
        <v>319.36048277490693</v>
      </c>
      <c r="Q14" s="139">
        <v>3395.4406528626951</v>
      </c>
      <c r="R14" s="139">
        <v>1573.8084591147599</v>
      </c>
      <c r="S14" s="142">
        <v>1821.6321937481021</v>
      </c>
      <c r="T14" s="138">
        <v>4202.8497978571977</v>
      </c>
      <c r="U14" s="139">
        <v>1989.8506583007536</v>
      </c>
      <c r="V14" s="139">
        <v>2212.999139556749</v>
      </c>
      <c r="W14" s="140">
        <v>693.21273762965779</v>
      </c>
      <c r="X14" s="139">
        <v>363.11143399648677</v>
      </c>
      <c r="Y14" s="141">
        <v>330.10130363316966</v>
      </c>
      <c r="Z14" s="139">
        <v>3509.6370602276215</v>
      </c>
      <c r="AA14" s="139">
        <v>1626.7392243042655</v>
      </c>
      <c r="AB14" s="142">
        <v>1882.8978359236062</v>
      </c>
    </row>
    <row r="15" spans="1:28">
      <c r="A15" s="194" t="s">
        <v>14</v>
      </c>
      <c r="B15" s="140">
        <v>3825.6084019414784</v>
      </c>
      <c r="C15" s="139">
        <v>1740.825039305143</v>
      </c>
      <c r="D15" s="139">
        <v>2084.7833626362417</v>
      </c>
      <c r="E15" s="140">
        <v>670.59500447999437</v>
      </c>
      <c r="F15" s="139">
        <v>363.7544858249417</v>
      </c>
      <c r="G15" s="141">
        <v>306.8405186550529</v>
      </c>
      <c r="H15" s="139">
        <v>3155.0133974614228</v>
      </c>
      <c r="I15" s="139">
        <v>1377.0705534801682</v>
      </c>
      <c r="J15" s="142">
        <v>1777.9428439811609</v>
      </c>
      <c r="K15" s="138">
        <v>3954.6529599679984</v>
      </c>
      <c r="L15" s="139">
        <v>1799.5461561044549</v>
      </c>
      <c r="M15" s="139">
        <v>2155.106803863544</v>
      </c>
      <c r="N15" s="140">
        <v>693.21536361664175</v>
      </c>
      <c r="O15" s="139">
        <v>376.02456993227446</v>
      </c>
      <c r="P15" s="141">
        <v>317.19079368436763</v>
      </c>
      <c r="Q15" s="139">
        <v>3261.4375963513571</v>
      </c>
      <c r="R15" s="139">
        <v>1423.5215861721808</v>
      </c>
      <c r="S15" s="142">
        <v>1837.9160101791767</v>
      </c>
      <c r="T15" s="138">
        <v>4087.6569516656323</v>
      </c>
      <c r="U15" s="139">
        <v>1860.0689944999756</v>
      </c>
      <c r="V15" s="139">
        <v>2227.5879571659093</v>
      </c>
      <c r="W15" s="140">
        <v>716.52977613288249</v>
      </c>
      <c r="X15" s="139">
        <v>388.67113317909542</v>
      </c>
      <c r="Y15" s="141">
        <v>327.85864295379457</v>
      </c>
      <c r="Z15" s="139">
        <v>3371.1271755328321</v>
      </c>
      <c r="AA15" s="139">
        <v>1471.3978613208621</v>
      </c>
      <c r="AB15" s="142">
        <v>1899.72931421213</v>
      </c>
    </row>
    <row r="16" spans="1:28">
      <c r="A16" s="194" t="s">
        <v>15</v>
      </c>
      <c r="B16" s="140">
        <v>3025.1010810953603</v>
      </c>
      <c r="C16" s="139">
        <v>1415.4256183120533</v>
      </c>
      <c r="D16" s="139">
        <v>1609.6754627832133</v>
      </c>
      <c r="E16" s="140">
        <v>472.63337954125069</v>
      </c>
      <c r="F16" s="139">
        <v>232.60490930302404</v>
      </c>
      <c r="G16" s="141">
        <v>240.02847023822693</v>
      </c>
      <c r="H16" s="139">
        <v>2552.4677015540665</v>
      </c>
      <c r="I16" s="139">
        <v>1182.8207090090082</v>
      </c>
      <c r="J16" s="142">
        <v>1369.6469925449646</v>
      </c>
      <c r="K16" s="138">
        <v>3127.1431070898307</v>
      </c>
      <c r="L16" s="139">
        <v>1463.1704353827267</v>
      </c>
      <c r="M16" s="139">
        <v>1663.9726717071044</v>
      </c>
      <c r="N16" s="140">
        <v>488.57614188479187</v>
      </c>
      <c r="O16" s="139">
        <v>240.45108553492392</v>
      </c>
      <c r="P16" s="141">
        <v>248.12505634986829</v>
      </c>
      <c r="Q16" s="139">
        <v>2638.5669652050392</v>
      </c>
      <c r="R16" s="139">
        <v>1222.7193498478032</v>
      </c>
      <c r="S16" s="142">
        <v>1415.8476153572365</v>
      </c>
      <c r="T16" s="138">
        <v>3232.3160565403155</v>
      </c>
      <c r="U16" s="139">
        <v>1512.3801916900884</v>
      </c>
      <c r="V16" s="139">
        <v>1719.9358648503633</v>
      </c>
      <c r="W16" s="140">
        <v>505.00807100141009</v>
      </c>
      <c r="X16" s="139">
        <v>248.53800352948912</v>
      </c>
      <c r="Y16" s="141">
        <v>256.47006747191966</v>
      </c>
      <c r="Z16" s="139">
        <v>2727.3079855389692</v>
      </c>
      <c r="AA16" s="139">
        <v>1263.8421881605873</v>
      </c>
      <c r="AB16" s="142">
        <v>1463.4657973784313</v>
      </c>
    </row>
    <row r="17" spans="1:29">
      <c r="A17" s="194" t="s">
        <v>16</v>
      </c>
      <c r="B17" s="140">
        <v>2605.6698882563587</v>
      </c>
      <c r="C17" s="139">
        <v>1193.9560504118135</v>
      </c>
      <c r="D17" s="139">
        <v>1411.7138378444515</v>
      </c>
      <c r="E17" s="140">
        <v>331.58572177239586</v>
      </c>
      <c r="F17" s="139">
        <v>165.79286088619807</v>
      </c>
      <c r="G17" s="141">
        <v>165.79286088619807</v>
      </c>
      <c r="H17" s="139">
        <v>2274.0841664839327</v>
      </c>
      <c r="I17" s="139">
        <v>1028.1631895256005</v>
      </c>
      <c r="J17" s="142">
        <v>1245.9209769582385</v>
      </c>
      <c r="K17" s="138">
        <v>2693.5637560454738</v>
      </c>
      <c r="L17" s="139">
        <v>1234.2303060702197</v>
      </c>
      <c r="M17" s="139">
        <v>1459.3334499752546</v>
      </c>
      <c r="N17" s="140">
        <v>342.77069640084886</v>
      </c>
      <c r="O17" s="139">
        <v>171.3853482004246</v>
      </c>
      <c r="P17" s="141">
        <v>171.3853482004246</v>
      </c>
      <c r="Q17" s="139">
        <v>2350.7930596446254</v>
      </c>
      <c r="R17" s="139">
        <v>1062.8449578697955</v>
      </c>
      <c r="S17" s="142">
        <v>1287.9481017748303</v>
      </c>
      <c r="T17" s="138">
        <v>2784.1544437930474</v>
      </c>
      <c r="U17" s="139">
        <v>1275.7402840742336</v>
      </c>
      <c r="V17" s="139">
        <v>1508.414159718873</v>
      </c>
      <c r="W17" s="140">
        <v>354.29885609522972</v>
      </c>
      <c r="X17" s="139">
        <v>177.14942804761421</v>
      </c>
      <c r="Y17" s="141">
        <v>177.14942804761421</v>
      </c>
      <c r="Z17" s="139">
        <v>2429.8555876978621</v>
      </c>
      <c r="AA17" s="139">
        <v>1098.5908560266105</v>
      </c>
      <c r="AB17" s="142">
        <v>1331.2647316712498</v>
      </c>
    </row>
    <row r="18" spans="1:29">
      <c r="A18" s="194" t="s">
        <v>17</v>
      </c>
      <c r="B18" s="140">
        <v>2305.0156703806142</v>
      </c>
      <c r="C18" s="139">
        <v>1035.5867504608041</v>
      </c>
      <c r="D18" s="139">
        <v>1269.4289199197165</v>
      </c>
      <c r="E18" s="140">
        <v>279.62079522597566</v>
      </c>
      <c r="F18" s="139">
        <v>126.20053589844935</v>
      </c>
      <c r="G18" s="141">
        <v>153.42025932752659</v>
      </c>
      <c r="H18" s="139">
        <v>2025.3948751546131</v>
      </c>
      <c r="I18" s="139">
        <v>909.38621456235387</v>
      </c>
      <c r="J18" s="142">
        <v>1116.0086605921761</v>
      </c>
      <c r="K18" s="138">
        <v>2382.7679380402269</v>
      </c>
      <c r="L18" s="139">
        <v>1070.5189286847399</v>
      </c>
      <c r="M18" s="139">
        <v>1312.2490093554875</v>
      </c>
      <c r="N18" s="140">
        <v>289.05290069623828</v>
      </c>
      <c r="O18" s="139">
        <v>130.45750385405464</v>
      </c>
      <c r="P18" s="141">
        <v>158.59539684218399</v>
      </c>
      <c r="Q18" s="139">
        <v>2093.715037343989</v>
      </c>
      <c r="R18" s="139">
        <v>940.06142483068561</v>
      </c>
      <c r="S18" s="142">
        <v>1153.6536125133039</v>
      </c>
      <c r="T18" s="138">
        <v>2462.9058541246518</v>
      </c>
      <c r="U18" s="139">
        <v>1106.5229199690414</v>
      </c>
      <c r="V18" s="139">
        <v>1356.3829341556143</v>
      </c>
      <c r="W18" s="140">
        <v>298.77440849821591</v>
      </c>
      <c r="X18" s="139">
        <v>134.84508702131797</v>
      </c>
      <c r="Y18" s="141">
        <v>163.92932147689663</v>
      </c>
      <c r="Z18" s="139">
        <v>2164.1314456264731</v>
      </c>
      <c r="AA18" s="139">
        <v>971.67783294772073</v>
      </c>
      <c r="AB18" s="142">
        <v>1192.4536126787093</v>
      </c>
    </row>
    <row r="19" spans="1:29">
      <c r="A19" s="194" t="s">
        <v>18</v>
      </c>
      <c r="B19" s="140">
        <v>1559.6593714016246</v>
      </c>
      <c r="C19" s="139">
        <v>692.7613227342174</v>
      </c>
      <c r="D19" s="139">
        <v>866.89804866740837</v>
      </c>
      <c r="E19" s="140">
        <v>200.63579292302546</v>
      </c>
      <c r="F19" s="139">
        <v>107.2581282921837</v>
      </c>
      <c r="G19" s="141">
        <v>93.377664630842233</v>
      </c>
      <c r="H19" s="139">
        <v>1359.0235784786003</v>
      </c>
      <c r="I19" s="139">
        <v>585.50319444203456</v>
      </c>
      <c r="J19" s="142">
        <v>773.52038403656684</v>
      </c>
      <c r="K19" s="138">
        <v>1612.2694488347367</v>
      </c>
      <c r="L19" s="139">
        <v>716.12939110863306</v>
      </c>
      <c r="M19" s="139">
        <v>896.14005772610369</v>
      </c>
      <c r="N19" s="140">
        <v>207.40359414621614</v>
      </c>
      <c r="O19" s="139">
        <v>110.87613523539855</v>
      </c>
      <c r="P19" s="141">
        <v>96.527458910817558</v>
      </c>
      <c r="Q19" s="139">
        <v>1404.8658546885206</v>
      </c>
      <c r="R19" s="139">
        <v>605.25325587323448</v>
      </c>
      <c r="S19" s="142">
        <v>799.61259881528611</v>
      </c>
      <c r="T19" s="138">
        <v>1666.4937447611069</v>
      </c>
      <c r="U19" s="139">
        <v>740.21445459050392</v>
      </c>
      <c r="V19" s="139">
        <v>926.27929017063593</v>
      </c>
      <c r="W19" s="140">
        <v>214.3790496901434</v>
      </c>
      <c r="X19" s="139">
        <v>114.60515235007682</v>
      </c>
      <c r="Y19" s="141">
        <v>99.773897340066924</v>
      </c>
      <c r="Z19" s="139">
        <v>1452.1146950709729</v>
      </c>
      <c r="AA19" s="139">
        <v>625.60930224042261</v>
      </c>
      <c r="AB19" s="142">
        <v>826.50539283056514</v>
      </c>
    </row>
    <row r="20" spans="1:29">
      <c r="A20" s="194" t="s">
        <v>19</v>
      </c>
      <c r="B20" s="140">
        <v>1203.8147575381474</v>
      </c>
      <c r="C20" s="139">
        <v>550.17110512225668</v>
      </c>
      <c r="D20" s="139">
        <v>653.64365241589189</v>
      </c>
      <c r="E20" s="140">
        <v>141.32835727911259</v>
      </c>
      <c r="F20" s="139">
        <v>65.616737308159301</v>
      </c>
      <c r="G20" s="141">
        <v>75.711619970953095</v>
      </c>
      <c r="H20" s="139">
        <v>1062.4864002590359</v>
      </c>
      <c r="I20" s="139">
        <v>484.5543678140977</v>
      </c>
      <c r="J20" s="142">
        <v>577.9320324449393</v>
      </c>
      <c r="K20" s="138">
        <v>1244.4215648772968</v>
      </c>
      <c r="L20" s="139">
        <v>568.72935250157377</v>
      </c>
      <c r="M20" s="139">
        <v>675.69221237572299</v>
      </c>
      <c r="N20" s="140">
        <v>146.0956134866428</v>
      </c>
      <c r="O20" s="139">
        <v>67.830106261655573</v>
      </c>
      <c r="P20" s="141">
        <v>78.265507224987203</v>
      </c>
      <c r="Q20" s="139">
        <v>1098.3259513906539</v>
      </c>
      <c r="R20" s="139">
        <v>500.89924623991823</v>
      </c>
      <c r="S20" s="142">
        <v>597.42670515073576</v>
      </c>
      <c r="T20" s="138">
        <v>1286.2742981408692</v>
      </c>
      <c r="U20" s="139">
        <v>587.85701676039582</v>
      </c>
      <c r="V20" s="139">
        <v>698.41728138047426</v>
      </c>
      <c r="W20" s="140">
        <v>151.00914192010111</v>
      </c>
      <c r="X20" s="139">
        <v>70.111387320047129</v>
      </c>
      <c r="Y20" s="141">
        <v>80.897754600054327</v>
      </c>
      <c r="Z20" s="139">
        <v>1135.2651562207748</v>
      </c>
      <c r="AA20" s="139">
        <v>517.74562944034608</v>
      </c>
      <c r="AB20" s="142">
        <v>617.51952678041687</v>
      </c>
    </row>
    <row r="21" spans="1:29">
      <c r="A21" s="194" t="s">
        <v>20</v>
      </c>
      <c r="B21" s="140">
        <v>716.73666905835239</v>
      </c>
      <c r="C21" s="139">
        <v>330.60740720649409</v>
      </c>
      <c r="D21" s="139">
        <v>386.12926185185933</v>
      </c>
      <c r="E21" s="140">
        <v>65.616737308159301</v>
      </c>
      <c r="F21" s="139">
        <v>32.808368654079651</v>
      </c>
      <c r="G21" s="141">
        <v>32.808368654079651</v>
      </c>
      <c r="H21" s="139">
        <v>651.11993175019347</v>
      </c>
      <c r="I21" s="139">
        <v>297.79903855241463</v>
      </c>
      <c r="J21" s="142">
        <v>353.32089319777987</v>
      </c>
      <c r="K21" s="138">
        <v>740.91346839654568</v>
      </c>
      <c r="L21" s="139">
        <v>341.75938154911086</v>
      </c>
      <c r="M21" s="139">
        <v>399.15408684743483</v>
      </c>
      <c r="N21" s="140">
        <v>67.830106261655573</v>
      </c>
      <c r="O21" s="139">
        <v>33.915053130827779</v>
      </c>
      <c r="P21" s="141">
        <v>33.915053130827779</v>
      </c>
      <c r="Q21" s="139">
        <v>673.08336213489008</v>
      </c>
      <c r="R21" s="139">
        <v>307.84432841828306</v>
      </c>
      <c r="S21" s="142">
        <v>365.23903371660703</v>
      </c>
      <c r="T21" s="138">
        <v>765.8320768805221</v>
      </c>
      <c r="U21" s="139">
        <v>353.25352842023608</v>
      </c>
      <c r="V21" s="139">
        <v>412.57854846027567</v>
      </c>
      <c r="W21" s="140">
        <v>70.111387320047129</v>
      </c>
      <c r="X21" s="139">
        <v>35.055693660023579</v>
      </c>
      <c r="Y21" s="141">
        <v>35.055693660023579</v>
      </c>
      <c r="Z21" s="139">
        <v>695.72068956047235</v>
      </c>
      <c r="AA21" s="139">
        <v>318.19783476021269</v>
      </c>
      <c r="AB21" s="142">
        <v>377.52285480025228</v>
      </c>
    </row>
    <row r="22" spans="1:29">
      <c r="A22" s="189" t="s">
        <v>29</v>
      </c>
      <c r="B22" s="140">
        <v>546.38552412370905</v>
      </c>
      <c r="C22" s="139">
        <v>252.37206656984307</v>
      </c>
      <c r="D22" s="139">
        <v>294.013457553867</v>
      </c>
      <c r="E22" s="140">
        <v>68.14045797385775</v>
      </c>
      <c r="F22" s="139">
        <v>26.499066989833562</v>
      </c>
      <c r="G22" s="141">
        <v>41.64139098402417</v>
      </c>
      <c r="H22" s="139">
        <v>478.24506614985165</v>
      </c>
      <c r="I22" s="139">
        <v>225.87299958000966</v>
      </c>
      <c r="J22" s="142">
        <v>252.37206656984307</v>
      </c>
      <c r="K22" s="138">
        <v>564.81607714032441</v>
      </c>
      <c r="L22" s="139">
        <v>260.88502408329072</v>
      </c>
      <c r="M22" s="139">
        <v>303.93105305703369</v>
      </c>
      <c r="N22" s="140">
        <v>70.43895650248848</v>
      </c>
      <c r="O22" s="139">
        <v>27.39292752874551</v>
      </c>
      <c r="P22" s="141">
        <v>43.046028973742956</v>
      </c>
      <c r="Q22" s="139">
        <v>494.37712063783596</v>
      </c>
      <c r="R22" s="139">
        <v>233.49209655454521</v>
      </c>
      <c r="S22" s="142">
        <v>260.88502408329072</v>
      </c>
      <c r="T22" s="138">
        <v>583.81212903039295</v>
      </c>
      <c r="U22" s="139">
        <v>269.65918200018029</v>
      </c>
      <c r="V22" s="139">
        <v>314.15294703020999</v>
      </c>
      <c r="W22" s="140">
        <v>72.807979140048928</v>
      </c>
      <c r="X22" s="139">
        <v>28.314214110019044</v>
      </c>
      <c r="Y22" s="141">
        <v>44.493765030029927</v>
      </c>
      <c r="Z22" s="139">
        <v>511.00414989034135</v>
      </c>
      <c r="AA22" s="139">
        <v>241.3449678901614</v>
      </c>
      <c r="AB22" s="142">
        <v>269.65918200018029</v>
      </c>
    </row>
    <row r="23" spans="1:29">
      <c r="A23" s="189" t="s">
        <v>30</v>
      </c>
      <c r="B23" s="140">
        <v>105.99626795933447</v>
      </c>
      <c r="C23" s="161">
        <v>51.736273646817907</v>
      </c>
      <c r="D23" s="161">
        <v>54.259994312516341</v>
      </c>
      <c r="E23" s="140">
        <v>3.7855809985476525</v>
      </c>
      <c r="F23" s="161">
        <v>1.2618603328492175</v>
      </c>
      <c r="G23" s="141">
        <v>2.523720665698435</v>
      </c>
      <c r="H23" s="161">
        <v>102.2106869607868</v>
      </c>
      <c r="I23" s="161">
        <v>50.474413313968689</v>
      </c>
      <c r="J23" s="142">
        <v>51.736273646817907</v>
      </c>
      <c r="K23" s="138">
        <v>109.5717101149821</v>
      </c>
      <c r="L23" s="161">
        <v>53.481429937074587</v>
      </c>
      <c r="M23" s="161">
        <v>56.090280177907495</v>
      </c>
      <c r="N23" s="140">
        <v>3.9132753612493563</v>
      </c>
      <c r="O23" s="161">
        <v>1.3044251204164521</v>
      </c>
      <c r="P23" s="141">
        <v>2.6088502408329042</v>
      </c>
      <c r="Q23" s="161">
        <v>105.65843475373273</v>
      </c>
      <c r="R23" s="161">
        <v>52.177004816658133</v>
      </c>
      <c r="S23" s="142">
        <v>53.481429937074587</v>
      </c>
      <c r="T23" s="138">
        <v>113.25685644007592</v>
      </c>
      <c r="U23" s="161">
        <v>55.280132310037182</v>
      </c>
      <c r="V23" s="161">
        <v>57.976724130038995</v>
      </c>
      <c r="W23" s="140">
        <v>4.0448877300027206</v>
      </c>
      <c r="X23" s="139">
        <v>1.3482959100009069</v>
      </c>
      <c r="Y23" s="141">
        <v>2.6965918200018137</v>
      </c>
      <c r="Z23" s="139">
        <v>109.21196871007322</v>
      </c>
      <c r="AA23" s="139">
        <v>53.931836400036275</v>
      </c>
      <c r="AB23" s="142">
        <v>55.280132310037182</v>
      </c>
    </row>
    <row r="24" spans="1:29">
      <c r="A24" s="189" t="s">
        <v>32</v>
      </c>
      <c r="B24" s="140">
        <v>66.878597641008525</v>
      </c>
      <c r="C24" s="161">
        <v>29.022787655531996</v>
      </c>
      <c r="D24" s="161">
        <v>37.855809985476519</v>
      </c>
      <c r="E24" s="140">
        <v>10.094882662793738</v>
      </c>
      <c r="F24" s="161">
        <v>6.3093016642460871</v>
      </c>
      <c r="G24" s="141">
        <v>3.7855809985476525</v>
      </c>
      <c r="H24" s="161">
        <v>56.783714978214775</v>
      </c>
      <c r="I24" s="161">
        <v>22.713485991285911</v>
      </c>
      <c r="J24" s="142">
        <v>34.070228986928868</v>
      </c>
      <c r="K24" s="138">
        <v>69.134531382072026</v>
      </c>
      <c r="L24" s="161">
        <v>30.001777769578418</v>
      </c>
      <c r="M24" s="161">
        <v>39.132753612493595</v>
      </c>
      <c r="N24" s="140">
        <v>10.435400963331617</v>
      </c>
      <c r="O24" s="161">
        <v>6.5221256020822604</v>
      </c>
      <c r="P24" s="141">
        <v>3.9132753612493563</v>
      </c>
      <c r="Q24" s="161">
        <v>58.699130418740403</v>
      </c>
      <c r="R24" s="161">
        <v>23.479652167496148</v>
      </c>
      <c r="S24" s="142">
        <v>35.219478251244233</v>
      </c>
      <c r="T24" s="138">
        <v>71.459683230048029</v>
      </c>
      <c r="U24" s="161">
        <v>31.010805930020858</v>
      </c>
      <c r="V24" s="161">
        <v>40.448877300027206</v>
      </c>
      <c r="W24" s="140">
        <v>10.786367280007255</v>
      </c>
      <c r="X24" s="139">
        <v>6.7414795500045344</v>
      </c>
      <c r="Y24" s="141">
        <v>4.0448877300027206</v>
      </c>
      <c r="Z24" s="139">
        <v>60.673315950040809</v>
      </c>
      <c r="AA24" s="139">
        <v>24.269326380016324</v>
      </c>
      <c r="AB24" s="142">
        <v>36.403989570024486</v>
      </c>
    </row>
    <row r="25" spans="1:29" ht="12.75" thickBot="1">
      <c r="A25" s="190" t="s">
        <v>31</v>
      </c>
      <c r="B25" s="145">
        <v>27.760927322682779</v>
      </c>
      <c r="C25" s="144">
        <v>3.7855809985476525</v>
      </c>
      <c r="D25" s="144">
        <v>23.975346324135128</v>
      </c>
      <c r="E25" s="145">
        <v>8.8330223299445212</v>
      </c>
      <c r="F25" s="144">
        <v>1.2618603328492175</v>
      </c>
      <c r="G25" s="146">
        <v>7.5711619970953041</v>
      </c>
      <c r="H25" s="144">
        <v>18.927904992738259</v>
      </c>
      <c r="I25" s="144">
        <v>2.523720665698435</v>
      </c>
      <c r="J25" s="147">
        <v>16.404184327039825</v>
      </c>
      <c r="K25" s="143">
        <v>28.697352649161964</v>
      </c>
      <c r="L25" s="144">
        <v>3.9132753612493563</v>
      </c>
      <c r="M25" s="144">
        <v>24.784077287912602</v>
      </c>
      <c r="N25" s="145">
        <v>9.1309758429151646</v>
      </c>
      <c r="O25" s="144">
        <v>1.3044251204164521</v>
      </c>
      <c r="P25" s="146">
        <v>7.8265507224987125</v>
      </c>
      <c r="Q25" s="144">
        <v>19.566376806246787</v>
      </c>
      <c r="R25" s="144">
        <v>2.6088502408329042</v>
      </c>
      <c r="S25" s="147">
        <v>16.957526565413879</v>
      </c>
      <c r="T25" s="143">
        <v>29.662510020019951</v>
      </c>
      <c r="U25" s="144">
        <v>4.0448877300027206</v>
      </c>
      <c r="V25" s="144">
        <v>25.617622290017231</v>
      </c>
      <c r="W25" s="145">
        <v>9.4380713700063481</v>
      </c>
      <c r="X25" s="144">
        <v>1.3482959100009069</v>
      </c>
      <c r="Y25" s="146">
        <v>8.0897754600054412</v>
      </c>
      <c r="Z25" s="144">
        <v>20.224438650013603</v>
      </c>
      <c r="AA25" s="144">
        <v>2.6965918200018137</v>
      </c>
      <c r="AB25" s="147">
        <v>17.527846830011789</v>
      </c>
    </row>
    <row r="26" spans="1:29">
      <c r="A26" s="176" t="s">
        <v>72</v>
      </c>
      <c r="B26" s="176">
        <v>55547.842704189337</v>
      </c>
      <c r="C26" s="197">
        <v>27947.37291416954</v>
      </c>
      <c r="D26" s="184">
        <v>27600.469789996365</v>
      </c>
      <c r="E26" s="197">
        <v>9760.5556552529797</v>
      </c>
      <c r="F26" s="197">
        <v>4918.6949908879506</v>
      </c>
      <c r="G26" s="184">
        <v>4841.8606643657349</v>
      </c>
      <c r="H26" s="197">
        <v>45787.287048924751</v>
      </c>
      <c r="I26" s="197">
        <v>23028.677923278294</v>
      </c>
      <c r="J26" s="181">
        <v>22758.609125627376</v>
      </c>
      <c r="K26" s="197">
        <v>57421.569980394517</v>
      </c>
      <c r="L26" s="197">
        <v>28890.087381204026</v>
      </c>
      <c r="M26" s="184">
        <v>28531.482599246679</v>
      </c>
      <c r="N26" s="197">
        <v>10089.796512730934</v>
      </c>
      <c r="O26" s="197">
        <v>5084.6112986955141</v>
      </c>
      <c r="P26" s="184">
        <v>5005.1852140356232</v>
      </c>
      <c r="Q26" s="197">
        <v>47331.773467684732</v>
      </c>
      <c r="R26" s="197">
        <v>23805.476082506128</v>
      </c>
      <c r="S26" s="181">
        <v>23526.297385208822</v>
      </c>
      <c r="T26" s="197">
        <v>59352.788242611532</v>
      </c>
      <c r="U26" s="197">
        <v>29861.72686032837</v>
      </c>
      <c r="V26" s="184">
        <v>29491.061382293832</v>
      </c>
      <c r="W26" s="197">
        <v>10429.139364100718</v>
      </c>
      <c r="X26" s="168">
        <v>5255.6183644998673</v>
      </c>
      <c r="Y26" s="184">
        <v>5173.5209996007952</v>
      </c>
      <c r="Z26" s="168">
        <v>48923.648878517663</v>
      </c>
      <c r="AA26" s="168">
        <v>24606.108495832006</v>
      </c>
      <c r="AB26" s="168">
        <v>24317.540382696698</v>
      </c>
      <c r="AC26" s="149"/>
    </row>
    <row r="27" spans="1:29">
      <c r="A27" s="176" t="s">
        <v>22</v>
      </c>
      <c r="B27" s="176">
        <v>2409.5896344621556</v>
      </c>
      <c r="C27" s="197">
        <v>1152.2136392494899</v>
      </c>
      <c r="D27" s="185">
        <v>1257.3759952127371</v>
      </c>
      <c r="E27" s="197">
        <v>418.36328567987408</v>
      </c>
      <c r="F27" s="197">
        <v>200.0370901474806</v>
      </c>
      <c r="G27" s="185">
        <v>218.32619553239314</v>
      </c>
      <c r="H27" s="197">
        <v>1991.2263487823529</v>
      </c>
      <c r="I27" s="197">
        <v>952.17654910200895</v>
      </c>
      <c r="J27" s="182">
        <v>1039.0497996803435</v>
      </c>
      <c r="K27" s="197">
        <v>2490.8693674445472</v>
      </c>
      <c r="L27" s="197">
        <v>1191.0798493283705</v>
      </c>
      <c r="M27" s="185">
        <v>1299.7895181162689</v>
      </c>
      <c r="N27" s="197">
        <v>432.47542148232696</v>
      </c>
      <c r="O27" s="197">
        <v>206.78469606395214</v>
      </c>
      <c r="P27" s="185">
        <v>225.69072541837062</v>
      </c>
      <c r="Q27" s="197">
        <v>2058.3939459622557</v>
      </c>
      <c r="R27" s="197">
        <v>984.29515326442959</v>
      </c>
      <c r="S27" s="182">
        <v>1074.0987926979146</v>
      </c>
      <c r="T27" s="197">
        <v>2574.6429809631286</v>
      </c>
      <c r="U27" s="197">
        <v>1231.1385791322712</v>
      </c>
      <c r="V27" s="185">
        <v>1343.5044018308602</v>
      </c>
      <c r="W27" s="197">
        <v>447.02055551825822</v>
      </c>
      <c r="X27" s="168">
        <v>213.73933665490495</v>
      </c>
      <c r="Y27" s="185">
        <v>233.28121886335339</v>
      </c>
      <c r="Z27" s="168">
        <v>2127.6224254449121</v>
      </c>
      <c r="AA27" s="168">
        <v>1017.3992424773471</v>
      </c>
      <c r="AB27" s="182">
        <v>1110.2231829674852</v>
      </c>
    </row>
    <row r="28" spans="1:29" ht="12.75" thickBot="1">
      <c r="A28" s="157" t="s">
        <v>21</v>
      </c>
      <c r="B28" s="157">
        <v>50251.194985768256</v>
      </c>
      <c r="C28" s="128">
        <v>23651.990530615069</v>
      </c>
      <c r="D28" s="154">
        <v>26599.204455125924</v>
      </c>
      <c r="E28" s="128">
        <v>8336.6038685104704</v>
      </c>
      <c r="F28" s="128">
        <v>4002.4632671817603</v>
      </c>
      <c r="G28" s="154">
        <v>4334.1406013280593</v>
      </c>
      <c r="H28" s="128">
        <v>41914.591117246397</v>
      </c>
      <c r="I28" s="128">
        <v>19649.527263433167</v>
      </c>
      <c r="J28" s="130">
        <v>22265.063853797739</v>
      </c>
      <c r="K28" s="128">
        <v>51946.25693824864</v>
      </c>
      <c r="L28" s="128">
        <v>24449.814129842183</v>
      </c>
      <c r="M28" s="154">
        <v>27496.442808383337</v>
      </c>
      <c r="N28" s="128">
        <v>8617.8123061302231</v>
      </c>
      <c r="O28" s="128">
        <v>4137.4734535533598</v>
      </c>
      <c r="P28" s="154">
        <v>4480.3388525759938</v>
      </c>
      <c r="Q28" s="128">
        <v>43328.444632109167</v>
      </c>
      <c r="R28" s="128">
        <v>20312.340676289583</v>
      </c>
      <c r="S28" s="130">
        <v>23016.103955808234</v>
      </c>
      <c r="T28" s="128">
        <v>53693.327944569108</v>
      </c>
      <c r="U28" s="128">
        <v>25272.117100158724</v>
      </c>
      <c r="V28" s="154">
        <v>28421.210844426791</v>
      </c>
      <c r="W28" s="128">
        <v>8907.6489739794306</v>
      </c>
      <c r="X28" s="168">
        <v>4276.6261150983837</v>
      </c>
      <c r="Y28" s="185">
        <v>4631.0228588804021</v>
      </c>
      <c r="Z28" s="168">
        <v>44785.678970597408</v>
      </c>
      <c r="AA28" s="168">
        <v>20995.490985059798</v>
      </c>
      <c r="AB28" s="130">
        <v>23790.187985545977</v>
      </c>
      <c r="AC28" s="149"/>
    </row>
    <row r="29" spans="1:29">
      <c r="A29" s="260" t="s">
        <v>118</v>
      </c>
      <c r="B29" s="192"/>
      <c r="X29" s="196"/>
      <c r="Y29" s="196"/>
      <c r="Z29" s="196"/>
      <c r="AA29" s="196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65FC-79B7-4F34-9742-B3F0F030AD1F}">
  <dimension ref="A1:AB29"/>
  <sheetViews>
    <sheetView workbookViewId="0">
      <selection activeCell="A29" sqref="A29"/>
    </sheetView>
  </sheetViews>
  <sheetFormatPr defaultColWidth="9.125" defaultRowHeight="12"/>
  <cols>
    <col min="1" max="1" width="17" style="72" customWidth="1"/>
    <col min="2" max="16384" width="9.125" style="1"/>
  </cols>
  <sheetData>
    <row r="1" spans="1:28" ht="12.75" thickBot="1">
      <c r="A1" s="69" t="s">
        <v>113</v>
      </c>
      <c r="B1" s="53"/>
      <c r="C1" s="53"/>
      <c r="D1" s="53"/>
      <c r="E1" s="53"/>
      <c r="F1" s="53"/>
      <c r="G1" s="53"/>
      <c r="H1" s="53"/>
      <c r="I1" s="53"/>
      <c r="J1" s="5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>
      <c r="A2" s="257" t="s">
        <v>55</v>
      </c>
      <c r="B2" s="233" t="s">
        <v>85</v>
      </c>
      <c r="C2" s="233"/>
      <c r="D2" s="233"/>
      <c r="E2" s="233"/>
      <c r="F2" s="233"/>
      <c r="G2" s="233"/>
      <c r="H2" s="233"/>
      <c r="I2" s="233"/>
      <c r="J2" s="234"/>
      <c r="K2" s="233" t="s">
        <v>83</v>
      </c>
      <c r="L2" s="233"/>
      <c r="M2" s="233"/>
      <c r="N2" s="233"/>
      <c r="O2" s="233"/>
      <c r="P2" s="233"/>
      <c r="Q2" s="233"/>
      <c r="R2" s="233"/>
      <c r="S2" s="234"/>
      <c r="T2" s="233" t="s">
        <v>84</v>
      </c>
      <c r="U2" s="233"/>
      <c r="V2" s="233"/>
      <c r="W2" s="233"/>
      <c r="X2" s="233"/>
      <c r="Y2" s="233"/>
      <c r="Z2" s="233"/>
      <c r="AA2" s="233"/>
      <c r="AB2" s="234"/>
    </row>
    <row r="3" spans="1:28" ht="12.75" thickBot="1">
      <c r="A3" s="258"/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5"/>
      <c r="K3" s="11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5"/>
    </row>
    <row r="4" spans="1:28" ht="12.75" thickBot="1">
      <c r="A4" s="259"/>
      <c r="B4" s="83" t="s">
        <v>0</v>
      </c>
      <c r="C4" s="84" t="s">
        <v>3</v>
      </c>
      <c r="D4" s="85" t="s">
        <v>4</v>
      </c>
      <c r="E4" s="86" t="s">
        <v>0</v>
      </c>
      <c r="F4" s="84" t="s">
        <v>3</v>
      </c>
      <c r="G4" s="85" t="s">
        <v>4</v>
      </c>
      <c r="H4" s="86" t="s">
        <v>0</v>
      </c>
      <c r="I4" s="84" t="s">
        <v>3</v>
      </c>
      <c r="J4" s="87" t="s">
        <v>4</v>
      </c>
      <c r="K4" s="83" t="s">
        <v>0</v>
      </c>
      <c r="L4" s="84" t="s">
        <v>3</v>
      </c>
      <c r="M4" s="84" t="s">
        <v>4</v>
      </c>
      <c r="N4" s="88" t="s">
        <v>0</v>
      </c>
      <c r="O4" s="89" t="s">
        <v>3</v>
      </c>
      <c r="P4" s="90" t="s">
        <v>4</v>
      </c>
      <c r="Q4" s="86" t="s">
        <v>0</v>
      </c>
      <c r="R4" s="84" t="s">
        <v>3</v>
      </c>
      <c r="S4" s="87" t="s">
        <v>4</v>
      </c>
      <c r="T4" s="83" t="s">
        <v>0</v>
      </c>
      <c r="U4" s="84" t="s">
        <v>3</v>
      </c>
      <c r="V4" s="84" t="s">
        <v>4</v>
      </c>
      <c r="W4" s="88" t="s">
        <v>0</v>
      </c>
      <c r="X4" s="89" t="s">
        <v>3</v>
      </c>
      <c r="Y4" s="90" t="s">
        <v>4</v>
      </c>
      <c r="Z4" s="86" t="s">
        <v>0</v>
      </c>
      <c r="AA4" s="84" t="s">
        <v>3</v>
      </c>
      <c r="AB4" s="87" t="s">
        <v>4</v>
      </c>
    </row>
    <row r="5" spans="1:28" ht="12.75" thickBot="1">
      <c r="A5" s="93" t="s">
        <v>82</v>
      </c>
      <c r="B5" s="100">
        <f>+B6+B7+B8+B9+B10+B11+B12+B13+B14+B15+B16+B17+B18+B19+B20+B21+B22+B23+B24+B25</f>
        <v>80649.426285513968</v>
      </c>
      <c r="C5" s="63">
        <f t="shared" ref="C5:J5" si="0">+C6+C7+C8+C9+C10+C11+C12+C13+C14+C15+C16+C17+C18+C19+C20+C21+C22+C23+C24+C25</f>
        <v>39039.212352298768</v>
      </c>
      <c r="D5" s="101">
        <f t="shared" si="0"/>
        <v>41610.213933216168</v>
      </c>
      <c r="E5" s="63">
        <f t="shared" si="0"/>
        <v>1874.9832068084631</v>
      </c>
      <c r="F5" s="63">
        <f t="shared" si="0"/>
        <v>880.15206911126211</v>
      </c>
      <c r="G5" s="101">
        <f t="shared" si="0"/>
        <v>994.83113769719819</v>
      </c>
      <c r="H5" s="63">
        <f t="shared" si="0"/>
        <v>78774.443078705634</v>
      </c>
      <c r="I5" s="63">
        <f t="shared" si="0"/>
        <v>38159.060283187522</v>
      </c>
      <c r="J5" s="97">
        <f t="shared" si="0"/>
        <v>40615.38279551897</v>
      </c>
      <c r="K5" s="63">
        <f>+K6+K7+K8+K9+K10+K11+K12+K13+K14+K15+K16+K17+K18+K19+K20+K21+K22+K23+K24+K25</f>
        <v>83369.874506206674</v>
      </c>
      <c r="L5" s="63">
        <f t="shared" ref="L5:S5" si="1">+L6+L7+L8+L9+L10+L11+L12+L13+L14+L15+L16+L17+L18+L19+L20+L21+L22+L23+L24+L25</f>
        <v>40356.074240503847</v>
      </c>
      <c r="M5" s="101">
        <f t="shared" si="1"/>
        <v>43013.800265702113</v>
      </c>
      <c r="N5" s="63">
        <f t="shared" si="1"/>
        <v>1938.229716594321</v>
      </c>
      <c r="O5" s="63">
        <f t="shared" si="1"/>
        <v>909.84115979215494</v>
      </c>
      <c r="P5" s="63">
        <f t="shared" si="1"/>
        <v>1028.3885568021626</v>
      </c>
      <c r="Q5" s="100">
        <f t="shared" si="1"/>
        <v>81431.644789612197</v>
      </c>
      <c r="R5" s="63">
        <f t="shared" si="1"/>
        <v>39446.233080711747</v>
      </c>
      <c r="S5" s="63">
        <f t="shared" si="1"/>
        <v>41985.411708900021</v>
      </c>
      <c r="T5" s="148">
        <f>+T6+T7+T8+T9+T10+T11+T12+T13+T14+T15+T16+T17+T18+T19+T20+T21+T22+T23+T24+T25</f>
        <v>86173.793385795914</v>
      </c>
      <c r="U5" s="63">
        <f t="shared" ref="U5:AB5" si="2">+U6+U7+U8+U9+U10+U11+U12+U13+U14+U15+U16+U17+U18+U19+U20+U21+U22+U23+U24+U25</f>
        <v>41713.340988706674</v>
      </c>
      <c r="V5" s="101">
        <f t="shared" si="2"/>
        <v>44460.452397090092</v>
      </c>
      <c r="W5" s="63">
        <f t="shared" si="2"/>
        <v>2003.4167991889055</v>
      </c>
      <c r="X5" s="63">
        <f t="shared" si="2"/>
        <v>940.44119152396866</v>
      </c>
      <c r="Y5" s="63">
        <f t="shared" si="2"/>
        <v>1062.9756076649403</v>
      </c>
      <c r="Z5" s="100">
        <f t="shared" si="2"/>
        <v>84170.376586606915</v>
      </c>
      <c r="AA5" s="63">
        <f t="shared" si="2"/>
        <v>40772.899797182683</v>
      </c>
      <c r="AB5" s="97">
        <f t="shared" si="2"/>
        <v>43397.476789425098</v>
      </c>
    </row>
    <row r="6" spans="1:28">
      <c r="A6" s="193" t="s">
        <v>5</v>
      </c>
      <c r="B6" s="195">
        <v>13805.991530817586</v>
      </c>
      <c r="C6" s="139">
        <v>6887.9171376992545</v>
      </c>
      <c r="D6" s="139">
        <v>6918.0743931182533</v>
      </c>
      <c r="E6" s="140">
        <v>269.00271833745114</v>
      </c>
      <c r="F6" s="139">
        <v>137.51708471062526</v>
      </c>
      <c r="G6" s="141">
        <v>131.48563362682592</v>
      </c>
      <c r="H6" s="139">
        <v>13536.988812480116</v>
      </c>
      <c r="I6" s="139">
        <v>6750.4000529886198</v>
      </c>
      <c r="J6" s="142">
        <v>6786.5887594914184</v>
      </c>
      <c r="K6" s="138">
        <v>14271.69211697746</v>
      </c>
      <c r="L6" s="139">
        <v>7120.2588019178111</v>
      </c>
      <c r="M6" s="139">
        <v>7151.4333150610528</v>
      </c>
      <c r="N6" s="140">
        <v>278.07665723779661</v>
      </c>
      <c r="O6" s="139">
        <v>142.15577993322296</v>
      </c>
      <c r="P6" s="141">
        <v>135.92087730457277</v>
      </c>
      <c r="Q6" s="139">
        <v>13993.615459739744</v>
      </c>
      <c r="R6" s="139">
        <v>6978.1030219846289</v>
      </c>
      <c r="S6" s="142">
        <v>7015.5124377565189</v>
      </c>
      <c r="T6" s="138">
        <v>14751.681648058215</v>
      </c>
      <c r="U6" s="139">
        <v>7359.7293324973534</v>
      </c>
      <c r="V6" s="139">
        <v>7391.9523155643346</v>
      </c>
      <c r="W6" s="140">
        <v>287.42900895740456</v>
      </c>
      <c r="X6" s="139">
        <v>146.93680278539983</v>
      </c>
      <c r="Y6" s="141">
        <v>140.49220617200515</v>
      </c>
      <c r="Z6" s="139">
        <v>14464.252639100945</v>
      </c>
      <c r="AA6" s="139">
        <v>7212.7925297119191</v>
      </c>
      <c r="AB6" s="142">
        <v>7251.4601093922965</v>
      </c>
    </row>
    <row r="7" spans="1:28">
      <c r="A7" s="193" t="s">
        <v>6</v>
      </c>
      <c r="B7" s="140">
        <v>11679.551620539816</v>
      </c>
      <c r="C7" s="139">
        <v>5870.8629449072405</v>
      </c>
      <c r="D7" s="139">
        <v>5808.688675633869</v>
      </c>
      <c r="E7" s="140">
        <v>255.60532923503942</v>
      </c>
      <c r="F7" s="139">
        <v>132.40816604517732</v>
      </c>
      <c r="G7" s="141">
        <v>123.19716318986059</v>
      </c>
      <c r="H7" s="139">
        <v>11423.946291304845</v>
      </c>
      <c r="I7" s="139">
        <v>5738.4547788620976</v>
      </c>
      <c r="J7" s="142">
        <v>5685.4915124440404</v>
      </c>
      <c r="K7" s="138">
        <v>12073.523616227596</v>
      </c>
      <c r="L7" s="139">
        <v>6068.8975669503288</v>
      </c>
      <c r="M7" s="139">
        <v>6004.6260492771926</v>
      </c>
      <c r="N7" s="140">
        <v>264.22735043399075</v>
      </c>
      <c r="O7" s="139">
        <v>136.87452837796761</v>
      </c>
      <c r="P7" s="141">
        <v>127.35282205602195</v>
      </c>
      <c r="Q7" s="139">
        <v>11809.296265793591</v>
      </c>
      <c r="R7" s="139">
        <v>5932.0230385723535</v>
      </c>
      <c r="S7" s="142">
        <v>5877.2732272211633</v>
      </c>
      <c r="T7" s="138">
        <v>12479.58373100169</v>
      </c>
      <c r="U7" s="139">
        <v>6273.0084231444444</v>
      </c>
      <c r="V7" s="139">
        <v>6206.5753078571715</v>
      </c>
      <c r="W7" s="140">
        <v>273.11391840321556</v>
      </c>
      <c r="X7" s="139">
        <v>141.47793070436893</v>
      </c>
      <c r="Y7" s="141">
        <v>131.63598769884771</v>
      </c>
      <c r="Z7" s="139">
        <v>12206.469812598458</v>
      </c>
      <c r="AA7" s="139">
        <v>6131.5304924400671</v>
      </c>
      <c r="AB7" s="142">
        <v>6074.9393201583161</v>
      </c>
    </row>
    <row r="8" spans="1:28" ht="17.25" customHeight="1">
      <c r="A8" s="193" t="s">
        <v>7</v>
      </c>
      <c r="B8" s="140">
        <v>10763.056836436044</v>
      </c>
      <c r="C8" s="139">
        <v>5393.0421717878116</v>
      </c>
      <c r="D8" s="139">
        <v>5370.0146646495259</v>
      </c>
      <c r="E8" s="140">
        <v>237.18332352440584</v>
      </c>
      <c r="F8" s="139">
        <v>130.10541533134813</v>
      </c>
      <c r="G8" s="141">
        <v>107.0779081930564</v>
      </c>
      <c r="H8" s="139">
        <v>10525.873512911701</v>
      </c>
      <c r="I8" s="139">
        <v>5262.9367564564973</v>
      </c>
      <c r="J8" s="142">
        <v>5262.9367564564973</v>
      </c>
      <c r="K8" s="138">
        <v>11126.113837193958</v>
      </c>
      <c r="L8" s="139">
        <v>5574.9590514993743</v>
      </c>
      <c r="M8" s="139">
        <v>5551.154785694509</v>
      </c>
      <c r="N8" s="140">
        <v>245.18393779009946</v>
      </c>
      <c r="O8" s="139">
        <v>134.49410179748119</v>
      </c>
      <c r="P8" s="141">
        <v>110.68983599261725</v>
      </c>
      <c r="Q8" s="139">
        <v>10880.929899403845</v>
      </c>
      <c r="R8" s="139">
        <v>5440.4649497018854</v>
      </c>
      <c r="S8" s="142">
        <v>5440.4649497018854</v>
      </c>
      <c r="T8" s="138">
        <v>11500.310401952262</v>
      </c>
      <c r="U8" s="139">
        <v>5762.4576297329959</v>
      </c>
      <c r="V8" s="139">
        <v>5737.8527722191911</v>
      </c>
      <c r="W8" s="140">
        <v>253.43003239217276</v>
      </c>
      <c r="X8" s="139">
        <v>139.01744495298863</v>
      </c>
      <c r="Y8" s="141">
        <v>114.41258743918543</v>
      </c>
      <c r="Z8" s="139">
        <v>11246.880369560073</v>
      </c>
      <c r="AA8" s="139">
        <v>5623.4401847799991</v>
      </c>
      <c r="AB8" s="142">
        <v>5623.4401847799991</v>
      </c>
    </row>
    <row r="9" spans="1:28">
      <c r="A9" s="193" t="s">
        <v>8</v>
      </c>
      <c r="B9" s="140">
        <v>9295.4378118815494</v>
      </c>
      <c r="C9" s="139">
        <v>4497.9768556016015</v>
      </c>
      <c r="D9" s="139">
        <v>4797.460956279604</v>
      </c>
      <c r="E9" s="140">
        <v>193.17867562813839</v>
      </c>
      <c r="F9" s="139">
        <v>80.014836058992017</v>
      </c>
      <c r="G9" s="141">
        <v>113.16383956914601</v>
      </c>
      <c r="H9" s="139">
        <v>9102.2591362535259</v>
      </c>
      <c r="I9" s="139">
        <v>4417.9620195425932</v>
      </c>
      <c r="J9" s="142">
        <v>4684.2971167104351</v>
      </c>
      <c r="K9" s="138">
        <v>9608.9894193836826</v>
      </c>
      <c r="L9" s="139">
        <v>4649.7015943520519</v>
      </c>
      <c r="M9" s="139">
        <v>4959.2878250306321</v>
      </c>
      <c r="N9" s="140">
        <v>199.69493505604521</v>
      </c>
      <c r="O9" s="139">
        <v>82.713878425580873</v>
      </c>
      <c r="P9" s="141">
        <v>116.98105663046437</v>
      </c>
      <c r="Q9" s="139">
        <v>9409.2944843274981</v>
      </c>
      <c r="R9" s="139">
        <v>4566.987715926477</v>
      </c>
      <c r="S9" s="142">
        <v>4842.3067684001762</v>
      </c>
      <c r="T9" s="138">
        <v>9932.1616324445786</v>
      </c>
      <c r="U9" s="139">
        <v>4806.0816556401278</v>
      </c>
      <c r="V9" s="139">
        <v>5126.0799768034412</v>
      </c>
      <c r="W9" s="140">
        <v>206.41113082673678</v>
      </c>
      <c r="X9" s="139">
        <v>85.495734661962032</v>
      </c>
      <c r="Y9" s="141">
        <v>120.91539616477483</v>
      </c>
      <c r="Z9" s="139">
        <v>9725.7505016177074</v>
      </c>
      <c r="AA9" s="139">
        <v>4720.5859209781738</v>
      </c>
      <c r="AB9" s="142">
        <v>5005.1645806386778</v>
      </c>
    </row>
    <row r="10" spans="1:28">
      <c r="A10" s="193" t="s">
        <v>9</v>
      </c>
      <c r="B10" s="140">
        <v>7326.7133978243937</v>
      </c>
      <c r="C10" s="139">
        <v>3481.3375286332007</v>
      </c>
      <c r="D10" s="139">
        <v>3845.3758691908229</v>
      </c>
      <c r="E10" s="140">
        <v>150.79905369375044</v>
      </c>
      <c r="F10" s="139">
        <v>73.043291632910353</v>
      </c>
      <c r="G10" s="141">
        <v>77.755762060840055</v>
      </c>
      <c r="H10" s="139">
        <v>7175.9143441306214</v>
      </c>
      <c r="I10" s="139">
        <v>3408.2942370002797</v>
      </c>
      <c r="J10" s="142">
        <v>3767.6201071299715</v>
      </c>
      <c r="K10" s="138">
        <v>7573.8564383222438</v>
      </c>
      <c r="L10" s="139">
        <v>3598.7692193663975</v>
      </c>
      <c r="M10" s="139">
        <v>3975.0872189549254</v>
      </c>
      <c r="N10" s="140">
        <v>155.88577329236182</v>
      </c>
      <c r="O10" s="139">
        <v>75.507171438487717</v>
      </c>
      <c r="P10" s="141">
        <v>80.378601853874045</v>
      </c>
      <c r="Q10" s="139">
        <v>7417.9706650298504</v>
      </c>
      <c r="R10" s="139">
        <v>3523.2620479279226</v>
      </c>
      <c r="S10" s="142">
        <v>3894.7086171010651</v>
      </c>
      <c r="T10" s="138">
        <v>7828.5824911624659</v>
      </c>
      <c r="U10" s="139">
        <v>3719.8040298088649</v>
      </c>
      <c r="V10" s="139">
        <v>4108.7784613523272</v>
      </c>
      <c r="W10" s="140">
        <v>161.12856711186069</v>
      </c>
      <c r="X10" s="139">
        <v>78.046649694807698</v>
      </c>
      <c r="Y10" s="141">
        <v>83.081917417053333</v>
      </c>
      <c r="Z10" s="139">
        <v>7667.4539240505546</v>
      </c>
      <c r="AA10" s="139">
        <v>3641.7573801140611</v>
      </c>
      <c r="AB10" s="142">
        <v>4025.6965439352734</v>
      </c>
    </row>
    <row r="11" spans="1:28">
      <c r="A11" s="194" t="s">
        <v>10</v>
      </c>
      <c r="B11" s="140">
        <v>5547.7558112806737</v>
      </c>
      <c r="C11" s="139">
        <v>2831.0166095788077</v>
      </c>
      <c r="D11" s="139">
        <v>2716.7392017014959</v>
      </c>
      <c r="E11" s="140">
        <v>139.01787762392618</v>
      </c>
      <c r="F11" s="139">
        <v>54.193409921191545</v>
      </c>
      <c r="G11" s="141">
        <v>84.824467702734609</v>
      </c>
      <c r="H11" s="139">
        <v>5408.7379336567274</v>
      </c>
      <c r="I11" s="139">
        <v>2776.8231996576083</v>
      </c>
      <c r="J11" s="142">
        <v>2631.9147339987489</v>
      </c>
      <c r="K11" s="138">
        <v>5734.8914565135401</v>
      </c>
      <c r="L11" s="139">
        <v>2926.5118220432018</v>
      </c>
      <c r="M11" s="139">
        <v>2808.3796344701041</v>
      </c>
      <c r="N11" s="140">
        <v>143.70719725389614</v>
      </c>
      <c r="O11" s="139">
        <v>56.021449776942454</v>
      </c>
      <c r="P11" s="141">
        <v>87.685747476953537</v>
      </c>
      <c r="Q11" s="139">
        <v>5591.1842592596149</v>
      </c>
      <c r="R11" s="139">
        <v>2870.4903722662689</v>
      </c>
      <c r="S11" s="142">
        <v>2720.6938869931655</v>
      </c>
      <c r="T11" s="138">
        <v>5927.7689260141378</v>
      </c>
      <c r="U11" s="139">
        <v>3024.9370841389987</v>
      </c>
      <c r="V11" s="139">
        <v>2902.8318418745475</v>
      </c>
      <c r="W11" s="140">
        <v>148.5403978062466</v>
      </c>
      <c r="X11" s="139">
        <v>57.905578805825122</v>
      </c>
      <c r="Y11" s="141">
        <v>90.634819000421786</v>
      </c>
      <c r="Z11" s="139">
        <v>5779.2285282078446</v>
      </c>
      <c r="AA11" s="139">
        <v>2967.0315053331765</v>
      </c>
      <c r="AB11" s="142">
        <v>2812.1970228741302</v>
      </c>
    </row>
    <row r="12" spans="1:28">
      <c r="A12" s="194" t="s">
        <v>11</v>
      </c>
      <c r="B12" s="140">
        <v>4349.8668712400313</v>
      </c>
      <c r="C12" s="139">
        <v>2156.3970711118445</v>
      </c>
      <c r="D12" s="139">
        <v>2193.469800128094</v>
      </c>
      <c r="E12" s="140">
        <v>135.93333972624808</v>
      </c>
      <c r="F12" s="139">
        <v>60.552124059874139</v>
      </c>
      <c r="G12" s="141">
        <v>75.381215666373933</v>
      </c>
      <c r="H12" s="139">
        <v>4213.9335315137332</v>
      </c>
      <c r="I12" s="139">
        <v>2095.8449470519704</v>
      </c>
      <c r="J12" s="142">
        <v>2118.0885844617201</v>
      </c>
      <c r="K12" s="138">
        <v>4496.5955974705848</v>
      </c>
      <c r="L12" s="139">
        <v>2229.1361697688749</v>
      </c>
      <c r="M12" s="139">
        <v>2267.4594277018591</v>
      </c>
      <c r="N12" s="140">
        <v>140.51861242095919</v>
      </c>
      <c r="O12" s="139">
        <v>62.594654623881837</v>
      </c>
      <c r="P12" s="141">
        <v>77.923957797077406</v>
      </c>
      <c r="Q12" s="139">
        <v>4356.0769850495926</v>
      </c>
      <c r="R12" s="139">
        <v>2166.5415151450006</v>
      </c>
      <c r="S12" s="142">
        <v>2189.5354699047912</v>
      </c>
      <c r="T12" s="138">
        <v>4647.8263551547889</v>
      </c>
      <c r="U12" s="139">
        <v>2304.1070993594885</v>
      </c>
      <c r="V12" s="139">
        <v>2343.7192557954622</v>
      </c>
      <c r="W12" s="140">
        <v>145.24457359859389</v>
      </c>
      <c r="X12" s="139">
        <v>64.699855512100825</v>
      </c>
      <c r="Y12" s="141">
        <v>80.544718086492864</v>
      </c>
      <c r="Z12" s="139">
        <v>4502.5817815561686</v>
      </c>
      <c r="AA12" s="139">
        <v>2239.4072438473981</v>
      </c>
      <c r="AB12" s="142">
        <v>2263.1745377089824</v>
      </c>
    </row>
    <row r="13" spans="1:28">
      <c r="A13" s="194" t="s">
        <v>12</v>
      </c>
      <c r="B13" s="140">
        <v>2755.7395235412109</v>
      </c>
      <c r="C13" s="139">
        <v>1306.1958190058565</v>
      </c>
      <c r="D13" s="139">
        <v>1449.5437045353544</v>
      </c>
      <c r="E13" s="140">
        <v>79.08848856799888</v>
      </c>
      <c r="F13" s="139">
        <v>43.251517185624387</v>
      </c>
      <c r="G13" s="141">
        <v>35.836971382374493</v>
      </c>
      <c r="H13" s="139">
        <v>2676.6510349732121</v>
      </c>
      <c r="I13" s="139">
        <v>1262.9443018202321</v>
      </c>
      <c r="J13" s="142">
        <v>1413.70673315298</v>
      </c>
      <c r="K13" s="138">
        <v>2848.69550635212</v>
      </c>
      <c r="L13" s="139">
        <v>1350.2561211723121</v>
      </c>
      <c r="M13" s="139">
        <v>1498.4393851798775</v>
      </c>
      <c r="N13" s="140">
        <v>81.756283590376299</v>
      </c>
      <c r="O13" s="139">
        <v>44.710467588487006</v>
      </c>
      <c r="P13" s="141">
        <v>37.045816001889222</v>
      </c>
      <c r="Q13" s="139">
        <v>2766.9392227617536</v>
      </c>
      <c r="R13" s="139">
        <v>1305.5456535838225</v>
      </c>
      <c r="S13" s="142">
        <v>1461.3935691779861</v>
      </c>
      <c r="T13" s="138">
        <v>2944.50362840773</v>
      </c>
      <c r="U13" s="139">
        <v>1395.6683117610457</v>
      </c>
      <c r="V13" s="139">
        <v>1548.8353166468371</v>
      </c>
      <c r="W13" s="140">
        <v>84.505933730090874</v>
      </c>
      <c r="X13" s="139">
        <v>46.214182508643447</v>
      </c>
      <c r="Y13" s="141">
        <v>38.291751221447427</v>
      </c>
      <c r="Z13" s="139">
        <v>2859.9976946776528</v>
      </c>
      <c r="AA13" s="139">
        <v>1349.4541292524018</v>
      </c>
      <c r="AB13" s="142">
        <v>1510.5435654253893</v>
      </c>
    </row>
    <row r="14" spans="1:28">
      <c r="A14" s="194" t="s">
        <v>13</v>
      </c>
      <c r="B14" s="140">
        <v>2142.8037371392197</v>
      </c>
      <c r="C14" s="139">
        <v>935.4685288433617</v>
      </c>
      <c r="D14" s="139">
        <v>1207.3352082958579</v>
      </c>
      <c r="E14" s="140">
        <v>51.901820622749263</v>
      </c>
      <c r="F14" s="139">
        <v>30.89394084687456</v>
      </c>
      <c r="G14" s="141">
        <v>21.007879775874702</v>
      </c>
      <c r="H14" s="139">
        <v>2090.9019165164705</v>
      </c>
      <c r="I14" s="139">
        <v>904.57458799648714</v>
      </c>
      <c r="J14" s="142">
        <v>1186.3273285199832</v>
      </c>
      <c r="K14" s="138">
        <v>2215.0843085267807</v>
      </c>
      <c r="L14" s="139">
        <v>967.02354184240664</v>
      </c>
      <c r="M14" s="139">
        <v>1248.0607666843359</v>
      </c>
      <c r="N14" s="140">
        <v>53.652561106184422</v>
      </c>
      <c r="O14" s="139">
        <v>31.936048277490698</v>
      </c>
      <c r="P14" s="141">
        <v>21.716512828693681</v>
      </c>
      <c r="Q14" s="139">
        <v>2161.4317474206027</v>
      </c>
      <c r="R14" s="139">
        <v>935.08749356491694</v>
      </c>
      <c r="S14" s="142">
        <v>1226.344253855641</v>
      </c>
      <c r="T14" s="138">
        <v>2289.5826419996315</v>
      </c>
      <c r="U14" s="139">
        <v>999.54674740124051</v>
      </c>
      <c r="V14" s="139">
        <v>1290.035894598431</v>
      </c>
      <c r="W14" s="140">
        <v>55.457019010372136</v>
      </c>
      <c r="X14" s="139">
        <v>33.010130363316748</v>
      </c>
      <c r="Y14" s="141">
        <v>22.446888647055388</v>
      </c>
      <c r="Z14" s="139">
        <v>2234.1256229892683</v>
      </c>
      <c r="AA14" s="139">
        <v>966.53661703792341</v>
      </c>
      <c r="AB14" s="142">
        <v>1267.5890059513754</v>
      </c>
    </row>
    <row r="15" spans="1:28">
      <c r="A15" s="194" t="s">
        <v>14</v>
      </c>
      <c r="B15" s="140">
        <v>2761.5646678956336</v>
      </c>
      <c r="C15" s="139">
        <v>1156.8382457357957</v>
      </c>
      <c r="D15" s="139">
        <v>1604.7264221597443</v>
      </c>
      <c r="E15" s="140">
        <v>53.20218670228757</v>
      </c>
      <c r="F15" s="139">
        <v>18.558902338007275</v>
      </c>
      <c r="G15" s="141">
        <v>34.643284364280248</v>
      </c>
      <c r="H15" s="139">
        <v>2708.3624811933414</v>
      </c>
      <c r="I15" s="139">
        <v>1138.2793433977868</v>
      </c>
      <c r="J15" s="142">
        <v>1570.083137795461</v>
      </c>
      <c r="K15" s="138">
        <v>2854.7171431593056</v>
      </c>
      <c r="L15" s="139">
        <v>1195.8604519954979</v>
      </c>
      <c r="M15" s="139">
        <v>1658.8566911638081</v>
      </c>
      <c r="N15" s="140">
        <v>54.99679084043494</v>
      </c>
      <c r="O15" s="139">
        <v>19.184927037361021</v>
      </c>
      <c r="P15" s="141">
        <v>35.811863803073912</v>
      </c>
      <c r="Q15" s="139">
        <v>2799.7203523188709</v>
      </c>
      <c r="R15" s="139">
        <v>1176.675524958137</v>
      </c>
      <c r="S15" s="142">
        <v>1623.0448273607344</v>
      </c>
      <c r="T15" s="138">
        <v>2950.7277865840674</v>
      </c>
      <c r="U15" s="139">
        <v>1236.0799643620792</v>
      </c>
      <c r="V15" s="139">
        <v>1714.647822222076</v>
      </c>
      <c r="W15" s="140">
        <v>56.846458254085036</v>
      </c>
      <c r="X15" s="139">
        <v>19.830159856076186</v>
      </c>
      <c r="Y15" s="141">
        <v>37.016298398008885</v>
      </c>
      <c r="Z15" s="139">
        <v>2893.8813283299892</v>
      </c>
      <c r="AA15" s="139">
        <v>1216.249804506002</v>
      </c>
      <c r="AB15" s="142">
        <v>1677.6315238240652</v>
      </c>
    </row>
    <row r="16" spans="1:28">
      <c r="A16" s="194" t="s">
        <v>15</v>
      </c>
      <c r="B16" s="140">
        <v>2458.4359297081546</v>
      </c>
      <c r="C16" s="139">
        <v>1098.6870184100344</v>
      </c>
      <c r="D16" s="139">
        <v>1359.7489112980265</v>
      </c>
      <c r="E16" s="140">
        <v>77.947389819630587</v>
      </c>
      <c r="F16" s="139">
        <v>28.456983584944485</v>
      </c>
      <c r="G16" s="141">
        <v>49.490406234686105</v>
      </c>
      <c r="H16" s="139">
        <v>2380.4885398885172</v>
      </c>
      <c r="I16" s="139">
        <v>1070.2300348250874</v>
      </c>
      <c r="J16" s="142">
        <v>1310.2585050633361</v>
      </c>
      <c r="K16" s="138">
        <v>2541.3633348824105</v>
      </c>
      <c r="L16" s="139">
        <v>1135.747680611767</v>
      </c>
      <c r="M16" s="139">
        <v>1405.615654270644</v>
      </c>
      <c r="N16" s="140">
        <v>80.576693556916226</v>
      </c>
      <c r="O16" s="139">
        <v>29.416888123953569</v>
      </c>
      <c r="P16" s="141">
        <v>51.159805432962735</v>
      </c>
      <c r="Q16" s="139">
        <v>2460.7866413254947</v>
      </c>
      <c r="R16" s="139">
        <v>1106.3307924878136</v>
      </c>
      <c r="S16" s="142">
        <v>1354.4558488376815</v>
      </c>
      <c r="T16" s="138">
        <v>2626.8351756015286</v>
      </c>
      <c r="U16" s="139">
        <v>1173.9454634797039</v>
      </c>
      <c r="V16" s="139">
        <v>1452.8897121218567</v>
      </c>
      <c r="W16" s="140">
        <v>83.286671395519903</v>
      </c>
      <c r="X16" s="139">
        <v>30.406245112650161</v>
      </c>
      <c r="Y16" s="141">
        <v>52.880426282869806</v>
      </c>
      <c r="Z16" s="139">
        <v>2543.5485042060186</v>
      </c>
      <c r="AA16" s="139">
        <v>1143.5392183670522</v>
      </c>
      <c r="AB16" s="142">
        <v>1400.0092858389842</v>
      </c>
    </row>
    <row r="17" spans="1:28">
      <c r="A17" s="194" t="s">
        <v>16</v>
      </c>
      <c r="B17" s="140">
        <v>2215.9329391581714</v>
      </c>
      <c r="C17" s="139">
        <v>983.62182391438273</v>
      </c>
      <c r="D17" s="139">
        <v>1232.3111152436986</v>
      </c>
      <c r="E17" s="140">
        <v>60.625747637490498</v>
      </c>
      <c r="F17" s="139">
        <v>18.558902338007275</v>
      </c>
      <c r="G17" s="141">
        <v>42.066845299483177</v>
      </c>
      <c r="H17" s="139">
        <v>2155.3071915206756</v>
      </c>
      <c r="I17" s="139">
        <v>965.06292157637552</v>
      </c>
      <c r="J17" s="142">
        <v>1190.2442699442117</v>
      </c>
      <c r="K17" s="138">
        <v>2290.6802882608945</v>
      </c>
      <c r="L17" s="139">
        <v>1016.8011329801293</v>
      </c>
      <c r="M17" s="139">
        <v>1273.8791552807656</v>
      </c>
      <c r="N17" s="140">
        <v>62.670761655379351</v>
      </c>
      <c r="O17" s="139">
        <v>19.184927037361021</v>
      </c>
      <c r="P17" s="141">
        <v>43.485834618018323</v>
      </c>
      <c r="Q17" s="139">
        <v>2228.0095266055155</v>
      </c>
      <c r="R17" s="139">
        <v>997.61620594276837</v>
      </c>
      <c r="S17" s="142">
        <v>1230.3933206627476</v>
      </c>
      <c r="T17" s="138">
        <v>2367.7210868154975</v>
      </c>
      <c r="U17" s="139">
        <v>1050.9984723720252</v>
      </c>
      <c r="V17" s="139">
        <v>1316.7226144434599</v>
      </c>
      <c r="W17" s="140">
        <v>64.778522196515496</v>
      </c>
      <c r="X17" s="139">
        <v>19.830159856076186</v>
      </c>
      <c r="Y17" s="141">
        <v>44.948362340439346</v>
      </c>
      <c r="Z17" s="139">
        <v>2302.9425646189898</v>
      </c>
      <c r="AA17" s="139">
        <v>1031.1683125159479</v>
      </c>
      <c r="AB17" s="142">
        <v>1271.7742521030182</v>
      </c>
    </row>
    <row r="18" spans="1:28">
      <c r="A18" s="194" t="s">
        <v>17</v>
      </c>
      <c r="B18" s="140">
        <v>1995.7006314137989</v>
      </c>
      <c r="C18" s="139">
        <v>918.0470356534239</v>
      </c>
      <c r="D18" s="139">
        <v>1077.653595760291</v>
      </c>
      <c r="E18" s="140">
        <v>69.286568728560553</v>
      </c>
      <c r="F18" s="139">
        <v>29.694243740811636</v>
      </c>
      <c r="G18" s="141">
        <v>39.592324987748867</v>
      </c>
      <c r="H18" s="139">
        <v>1926.4140626852322</v>
      </c>
      <c r="I18" s="139">
        <v>888.35279191261236</v>
      </c>
      <c r="J18" s="142">
        <v>1038.0612707725386</v>
      </c>
      <c r="K18" s="138">
        <v>2063.0191540842116</v>
      </c>
      <c r="L18" s="139">
        <v>949.01439078145404</v>
      </c>
      <c r="M18" s="139">
        <v>1114.004763302758</v>
      </c>
      <c r="N18" s="140">
        <v>71.623727606147796</v>
      </c>
      <c r="O18" s="139">
        <v>30.695883259777638</v>
      </c>
      <c r="P18" s="141">
        <v>40.927844346370186</v>
      </c>
      <c r="Q18" s="139">
        <v>1991.3954264780641</v>
      </c>
      <c r="R18" s="139">
        <v>918.31850752167657</v>
      </c>
      <c r="S18" s="142">
        <v>1073.076918956388</v>
      </c>
      <c r="T18" s="138">
        <v>2132.403189856755</v>
      </c>
      <c r="U18" s="139">
        <v>980.93190754722264</v>
      </c>
      <c r="V18" s="139">
        <v>1151.4712823094831</v>
      </c>
      <c r="W18" s="140">
        <v>74.0325967960177</v>
      </c>
      <c r="X18" s="139">
        <v>31.728255769721908</v>
      </c>
      <c r="Y18" s="141">
        <v>42.304341026295859</v>
      </c>
      <c r="Z18" s="139">
        <v>2058.3705930607462</v>
      </c>
      <c r="AA18" s="139">
        <v>949.20365177750182</v>
      </c>
      <c r="AB18" s="142">
        <v>1109.166941283185</v>
      </c>
    </row>
    <row r="19" spans="1:28">
      <c r="A19" s="194" t="s">
        <v>18</v>
      </c>
      <c r="B19" s="140">
        <v>1352.7142768143542</v>
      </c>
      <c r="C19" s="139">
        <v>569.09901011499483</v>
      </c>
      <c r="D19" s="139">
        <v>783.61526669936052</v>
      </c>
      <c r="E19" s="140">
        <v>34.070228986928868</v>
      </c>
      <c r="F19" s="139">
        <v>13.880463661341389</v>
      </c>
      <c r="G19" s="141">
        <v>20.189765325587476</v>
      </c>
      <c r="H19" s="139">
        <v>1318.6440478274255</v>
      </c>
      <c r="I19" s="139">
        <v>555.21854645365352</v>
      </c>
      <c r="J19" s="142">
        <v>763.42550137377316</v>
      </c>
      <c r="K19" s="138">
        <v>1398.3437290864383</v>
      </c>
      <c r="L19" s="139">
        <v>588.29572930782058</v>
      </c>
      <c r="M19" s="139">
        <v>810.04799977861774</v>
      </c>
      <c r="N19" s="140">
        <v>35.219478251244233</v>
      </c>
      <c r="O19" s="139">
        <v>14.348676324580973</v>
      </c>
      <c r="P19" s="141">
        <v>20.870801926663241</v>
      </c>
      <c r="Q19" s="139">
        <v>1363.1242508351941</v>
      </c>
      <c r="R19" s="139">
        <v>573.94705298323959</v>
      </c>
      <c r="S19" s="142">
        <v>789.17719785195447</v>
      </c>
      <c r="T19" s="138">
        <v>1445.3732155209686</v>
      </c>
      <c r="U19" s="139">
        <v>608.08145541041017</v>
      </c>
      <c r="V19" s="139">
        <v>837.2917601105728</v>
      </c>
      <c r="W19" s="140">
        <v>36.403989570024486</v>
      </c>
      <c r="X19" s="139">
        <v>14.831255010009976</v>
      </c>
      <c r="Y19" s="141">
        <v>21.57273456001451</v>
      </c>
      <c r="Z19" s="139">
        <v>1408.9692259509459</v>
      </c>
      <c r="AA19" s="139">
        <v>593.25020040039965</v>
      </c>
      <c r="AB19" s="142">
        <v>815.71902555055749</v>
      </c>
    </row>
    <row r="20" spans="1:28">
      <c r="A20" s="194" t="s">
        <v>19</v>
      </c>
      <c r="B20" s="140">
        <v>1000.6552439494246</v>
      </c>
      <c r="C20" s="139">
        <v>426.50879250303404</v>
      </c>
      <c r="D20" s="139">
        <v>574.14645144639167</v>
      </c>
      <c r="E20" s="140">
        <v>35.332089319778085</v>
      </c>
      <c r="F20" s="139">
        <v>15.142323994190606</v>
      </c>
      <c r="G20" s="141">
        <v>20.189765325587476</v>
      </c>
      <c r="H20" s="139">
        <v>965.32315462964675</v>
      </c>
      <c r="I20" s="139">
        <v>411.36646850884352</v>
      </c>
      <c r="J20" s="142">
        <v>553.95668612080431</v>
      </c>
      <c r="K20" s="138">
        <v>1034.4091204902477</v>
      </c>
      <c r="L20" s="139">
        <v>440.89569070076135</v>
      </c>
      <c r="M20" s="139">
        <v>593.51342978948639</v>
      </c>
      <c r="N20" s="140">
        <v>36.523903371660687</v>
      </c>
      <c r="O20" s="139">
        <v>15.653101444997425</v>
      </c>
      <c r="P20" s="141">
        <v>20.870801926663241</v>
      </c>
      <c r="Q20" s="139">
        <v>997.88521711858709</v>
      </c>
      <c r="R20" s="139">
        <v>425.2425892557639</v>
      </c>
      <c r="S20" s="142">
        <v>572.64262786282313</v>
      </c>
      <c r="T20" s="138">
        <v>1069.1986566307335</v>
      </c>
      <c r="U20" s="139">
        <v>455.72401758030446</v>
      </c>
      <c r="V20" s="139">
        <v>613.474639050414</v>
      </c>
      <c r="W20" s="140">
        <v>37.752285480025392</v>
      </c>
      <c r="X20" s="139">
        <v>16.179550920010882</v>
      </c>
      <c r="Y20" s="141">
        <v>21.57273456001451</v>
      </c>
      <c r="Z20" s="139">
        <v>1031.4463711507099</v>
      </c>
      <c r="AA20" s="139">
        <v>439.54446666029366</v>
      </c>
      <c r="AB20" s="142">
        <v>591.90190449039869</v>
      </c>
    </row>
    <row r="21" spans="1:28">
      <c r="A21" s="194" t="s">
        <v>20</v>
      </c>
      <c r="B21" s="140">
        <v>538.81436212661379</v>
      </c>
      <c r="C21" s="139">
        <v>243.5390442398986</v>
      </c>
      <c r="D21" s="139">
        <v>295.27531788671621</v>
      </c>
      <c r="E21" s="140">
        <v>18.927904992738259</v>
      </c>
      <c r="F21" s="139">
        <v>10.094882662793738</v>
      </c>
      <c r="G21" s="141">
        <v>8.8330223299445212</v>
      </c>
      <c r="H21" s="139">
        <v>519.88645713387564</v>
      </c>
      <c r="I21" s="139">
        <v>233.44416157710492</v>
      </c>
      <c r="J21" s="142">
        <v>286.44229555677174</v>
      </c>
      <c r="K21" s="138">
        <v>556.98952641782569</v>
      </c>
      <c r="L21" s="139">
        <v>251.75404824037557</v>
      </c>
      <c r="M21" s="139">
        <v>305.23547817745015</v>
      </c>
      <c r="N21" s="140">
        <v>19.566376806246787</v>
      </c>
      <c r="O21" s="139">
        <v>10.435400963331617</v>
      </c>
      <c r="P21" s="141">
        <v>9.1309758429151646</v>
      </c>
      <c r="Q21" s="139">
        <v>537.42314961157888</v>
      </c>
      <c r="R21" s="139">
        <v>241.31864727704394</v>
      </c>
      <c r="S21" s="142">
        <v>296.10450233453497</v>
      </c>
      <c r="T21" s="138">
        <v>575.72235357038721</v>
      </c>
      <c r="U21" s="139">
        <v>260.221110630174</v>
      </c>
      <c r="V21" s="139">
        <v>315.50124294021089</v>
      </c>
      <c r="W21" s="140">
        <v>20.224438650013603</v>
      </c>
      <c r="X21" s="139">
        <v>10.786367280007255</v>
      </c>
      <c r="Y21" s="141">
        <v>9.4380713700063481</v>
      </c>
      <c r="Z21" s="139">
        <v>555.49791492037286</v>
      </c>
      <c r="AA21" s="139">
        <v>249.4347433501668</v>
      </c>
      <c r="AB21" s="142">
        <v>306.06317157020459</v>
      </c>
    </row>
    <row r="22" spans="1:28">
      <c r="A22" s="189" t="s">
        <v>29</v>
      </c>
      <c r="B22" s="140">
        <v>422.72321150448641</v>
      </c>
      <c r="C22" s="139">
        <v>190.54091026023178</v>
      </c>
      <c r="D22" s="139">
        <v>232.18230124425571</v>
      </c>
      <c r="E22" s="140">
        <v>10.094882662793738</v>
      </c>
      <c r="F22" s="139">
        <v>3.7855809985476525</v>
      </c>
      <c r="G22" s="141">
        <v>6.3093016642460871</v>
      </c>
      <c r="H22" s="139">
        <v>412.62832884169273</v>
      </c>
      <c r="I22" s="139">
        <v>186.75532926168415</v>
      </c>
      <c r="J22" s="142">
        <v>225.87299958000966</v>
      </c>
      <c r="K22" s="138">
        <v>436.98241533951199</v>
      </c>
      <c r="L22" s="139">
        <v>196.96819318288451</v>
      </c>
      <c r="M22" s="139">
        <v>240.01422215662748</v>
      </c>
      <c r="N22" s="140">
        <v>10.435400963331617</v>
      </c>
      <c r="O22" s="139">
        <v>3.9132753612493563</v>
      </c>
      <c r="P22" s="141">
        <v>6.5221256020822604</v>
      </c>
      <c r="Q22" s="139">
        <v>426.54701437618036</v>
      </c>
      <c r="R22" s="139">
        <v>193.05491782163514</v>
      </c>
      <c r="S22" s="142">
        <v>233.49209655454521</v>
      </c>
      <c r="T22" s="138">
        <v>451.67912985030176</v>
      </c>
      <c r="U22" s="139">
        <v>203.59268241013621</v>
      </c>
      <c r="V22" s="139">
        <v>248.0864474401659</v>
      </c>
      <c r="W22" s="140">
        <v>10.786367280007255</v>
      </c>
      <c r="X22" s="139">
        <v>4.0448877300027206</v>
      </c>
      <c r="Y22" s="141">
        <v>6.7414795500045344</v>
      </c>
      <c r="Z22" s="139">
        <v>440.89276257029456</v>
      </c>
      <c r="AA22" s="139">
        <v>199.54779468013351</v>
      </c>
      <c r="AB22" s="142">
        <v>241.3449678901614</v>
      </c>
    </row>
    <row r="23" spans="1:28">
      <c r="A23" s="189" t="s">
        <v>30</v>
      </c>
      <c r="B23" s="140">
        <v>117.35301095497749</v>
      </c>
      <c r="C23" s="139">
        <v>50.474413313968689</v>
      </c>
      <c r="D23" s="139">
        <v>66.878597641008525</v>
      </c>
      <c r="E23" s="140">
        <v>1.2618603328492175</v>
      </c>
      <c r="F23" s="199">
        <v>0</v>
      </c>
      <c r="G23" s="141">
        <v>1.2618603328492175</v>
      </c>
      <c r="H23" s="139">
        <v>116.09115062212827</v>
      </c>
      <c r="I23" s="139">
        <v>50.474413313968689</v>
      </c>
      <c r="J23" s="142">
        <v>65.616737308159301</v>
      </c>
      <c r="K23" s="138">
        <v>121.31153619873018</v>
      </c>
      <c r="L23" s="139">
        <v>52.177004816658133</v>
      </c>
      <c r="M23" s="139">
        <v>69.134531382072026</v>
      </c>
      <c r="N23" s="140">
        <v>1.3044251204164521</v>
      </c>
      <c r="O23" s="199">
        <v>0</v>
      </c>
      <c r="P23" s="141">
        <v>1.3044251204164521</v>
      </c>
      <c r="Q23" s="139">
        <v>120.00711107831373</v>
      </c>
      <c r="R23" s="139">
        <v>52.177004816658133</v>
      </c>
      <c r="S23" s="142">
        <v>67.830106261655573</v>
      </c>
      <c r="T23" s="138">
        <v>125.39151963008402</v>
      </c>
      <c r="U23" s="139">
        <v>53.931836400036275</v>
      </c>
      <c r="V23" s="139">
        <v>71.459683230048029</v>
      </c>
      <c r="W23" s="140">
        <v>1.3482959100009069</v>
      </c>
      <c r="X23" s="199">
        <v>0</v>
      </c>
      <c r="Y23" s="141">
        <v>1.3482959100009069</v>
      </c>
      <c r="Z23" s="139">
        <v>124.04322372008312</v>
      </c>
      <c r="AA23" s="139">
        <v>53.931836400036275</v>
      </c>
      <c r="AB23" s="142">
        <v>70.111387320047129</v>
      </c>
    </row>
    <row r="24" spans="1:28">
      <c r="A24" s="189" t="s">
        <v>32</v>
      </c>
      <c r="B24" s="140">
        <v>73.187899305254646</v>
      </c>
      <c r="C24" s="139">
        <v>29.022787655531996</v>
      </c>
      <c r="D24" s="139">
        <v>44.165111649722604</v>
      </c>
      <c r="E24" s="140">
        <v>2.523720665698435</v>
      </c>
      <c r="F24" s="199">
        <v>0</v>
      </c>
      <c r="G24" s="141">
        <v>2.523720665698435</v>
      </c>
      <c r="H24" s="139">
        <v>70.664178639556198</v>
      </c>
      <c r="I24" s="139">
        <v>29.022787655531996</v>
      </c>
      <c r="J24" s="142">
        <v>41.64139098402417</v>
      </c>
      <c r="K24" s="138">
        <v>75.656656984154296</v>
      </c>
      <c r="L24" s="139">
        <v>30.001777769578418</v>
      </c>
      <c r="M24" s="139">
        <v>45.654879214575864</v>
      </c>
      <c r="N24" s="140">
        <v>2.6088502408329042</v>
      </c>
      <c r="O24" s="199">
        <v>0</v>
      </c>
      <c r="P24" s="141">
        <v>2.6088502408329042</v>
      </c>
      <c r="Q24" s="139">
        <v>73.047806743321388</v>
      </c>
      <c r="R24" s="139">
        <v>30.001777769578418</v>
      </c>
      <c r="S24" s="142">
        <v>43.046028973742956</v>
      </c>
      <c r="T24" s="138">
        <v>78.201162780052528</v>
      </c>
      <c r="U24" s="139">
        <v>31.010805930020858</v>
      </c>
      <c r="V24" s="139">
        <v>47.190356850031741</v>
      </c>
      <c r="W24" s="140">
        <v>2.6965918200018137</v>
      </c>
      <c r="X24" s="199">
        <v>0</v>
      </c>
      <c r="Y24" s="141">
        <v>2.6965918200018137</v>
      </c>
      <c r="Z24" s="139">
        <v>75.504570960050728</v>
      </c>
      <c r="AA24" s="139">
        <v>31.010805930020858</v>
      </c>
      <c r="AB24" s="142">
        <v>44.493765030029927</v>
      </c>
    </row>
    <row r="25" spans="1:28" ht="12.75" thickBot="1">
      <c r="A25" s="190" t="s">
        <v>31</v>
      </c>
      <c r="B25" s="145">
        <v>45.426971982571821</v>
      </c>
      <c r="C25" s="144">
        <v>12.618603328492172</v>
      </c>
      <c r="D25" s="144">
        <v>32.808368654079651</v>
      </c>
      <c r="E25" s="177">
        <v>0</v>
      </c>
      <c r="F25" s="178">
        <v>0</v>
      </c>
      <c r="G25" s="179">
        <v>0</v>
      </c>
      <c r="H25" s="144">
        <v>45.426971982571821</v>
      </c>
      <c r="I25" s="144">
        <v>12.618603328492172</v>
      </c>
      <c r="J25" s="147">
        <v>32.808368654079651</v>
      </c>
      <c r="K25" s="143">
        <v>46.959304334992318</v>
      </c>
      <c r="L25" s="144">
        <v>13.044251204164521</v>
      </c>
      <c r="M25" s="144">
        <v>33.915053130827779</v>
      </c>
      <c r="N25" s="177">
        <v>0</v>
      </c>
      <c r="O25" s="178">
        <v>0</v>
      </c>
      <c r="P25" s="179">
        <v>0</v>
      </c>
      <c r="Q25" s="144">
        <v>46.959304334992318</v>
      </c>
      <c r="R25" s="144">
        <v>13.044251204164521</v>
      </c>
      <c r="S25" s="147">
        <v>33.915053130827779</v>
      </c>
      <c r="T25" s="143">
        <v>48.538652760032647</v>
      </c>
      <c r="U25" s="144">
        <v>13.482959100009069</v>
      </c>
      <c r="V25" s="144">
        <v>35.055693660023579</v>
      </c>
      <c r="W25" s="177">
        <v>0</v>
      </c>
      <c r="X25" s="178">
        <v>0</v>
      </c>
      <c r="Y25" s="179">
        <v>0</v>
      </c>
      <c r="Z25" s="144">
        <v>48.538652760032647</v>
      </c>
      <c r="AA25" s="144">
        <v>13.482959100009069</v>
      </c>
      <c r="AB25" s="147">
        <v>35.055693660023579</v>
      </c>
    </row>
    <row r="26" spans="1:28">
      <c r="A26" s="176" t="s">
        <v>72</v>
      </c>
      <c r="B26" s="176">
        <v>41917.07958805091</v>
      </c>
      <c r="C26" s="168">
        <v>20959.199930979405</v>
      </c>
      <c r="D26" s="185">
        <v>20957.879657054935</v>
      </c>
      <c r="E26" s="168">
        <v>877.24134883915838</v>
      </c>
      <c r="F26" s="168">
        <v>451.46877498221812</v>
      </c>
      <c r="G26" s="185">
        <v>425.77257385693775</v>
      </c>
      <c r="H26" s="168">
        <v>41039.838239210781</v>
      </c>
      <c r="I26" s="168">
        <v>20507.731155996855</v>
      </c>
      <c r="J26" s="181">
        <v>20532.107083197723</v>
      </c>
      <c r="K26" s="168">
        <v>43331.017043422078</v>
      </c>
      <c r="L26" s="168">
        <v>21666.190926273619</v>
      </c>
      <c r="M26" s="185">
        <v>21664.826117167489</v>
      </c>
      <c r="N26" s="168">
        <v>906.83225576164375</v>
      </c>
      <c r="O26" s="168">
        <v>466.69761766797524</v>
      </c>
      <c r="P26" s="185">
        <v>440.13463809367812</v>
      </c>
      <c r="Q26" s="168">
        <v>42424.184787662285</v>
      </c>
      <c r="R26" s="168">
        <v>21199.49330860543</v>
      </c>
      <c r="S26" s="181">
        <v>21224.691479073605</v>
      </c>
      <c r="T26" s="168">
        <v>44788.337897978316</v>
      </c>
      <c r="U26" s="168">
        <v>22394.8743043672</v>
      </c>
      <c r="V26" s="185">
        <v>22393.463593620461</v>
      </c>
      <c r="W26" s="168">
        <v>937.33109119361609</v>
      </c>
      <c r="X26" s="168">
        <v>482.3937221540204</v>
      </c>
      <c r="Y26" s="184">
        <v>454.93736903960917</v>
      </c>
      <c r="Z26" s="168">
        <v>43851.006806785328</v>
      </c>
      <c r="AA26" s="168">
        <v>21912.480582213491</v>
      </c>
      <c r="AB26" s="181">
        <v>21938.526224581128</v>
      </c>
    </row>
    <row r="27" spans="1:28">
      <c r="A27" s="176" t="s">
        <v>22</v>
      </c>
      <c r="B27" s="176">
        <v>1856.3441965686229</v>
      </c>
      <c r="C27" s="168">
        <v>882.44933482202987</v>
      </c>
      <c r="D27" s="185">
        <v>973.8948617465926</v>
      </c>
      <c r="E27" s="168">
        <v>32.005934423596777</v>
      </c>
      <c r="F27" s="168">
        <v>10.287621779013257</v>
      </c>
      <c r="G27" s="185">
        <v>21.718312644583534</v>
      </c>
      <c r="H27" s="168">
        <v>1824.338262145026</v>
      </c>
      <c r="I27" s="168">
        <v>872.16171304301656</v>
      </c>
      <c r="J27" s="182">
        <v>952.17654910200895</v>
      </c>
      <c r="K27" s="168">
        <v>1918.9619794734294</v>
      </c>
      <c r="L27" s="168">
        <v>912.2159163507074</v>
      </c>
      <c r="M27" s="185">
        <v>1006.7460631228021</v>
      </c>
      <c r="N27" s="168">
        <v>33.085551370232359</v>
      </c>
      <c r="O27" s="168">
        <v>10.634641511860409</v>
      </c>
      <c r="P27" s="185">
        <v>22.450909858371965</v>
      </c>
      <c r="Q27" s="168">
        <v>1885.8764281031995</v>
      </c>
      <c r="R27" s="168">
        <v>901.58127483884675</v>
      </c>
      <c r="S27" s="182">
        <v>984.29515326442959</v>
      </c>
      <c r="T27" s="168">
        <v>1983.5010441576062</v>
      </c>
      <c r="U27" s="168">
        <v>942.89581655763743</v>
      </c>
      <c r="V27" s="185">
        <v>1040.6052275998811</v>
      </c>
      <c r="W27" s="168">
        <v>34.198293864784873</v>
      </c>
      <c r="X27" s="168">
        <v>10.99230874225228</v>
      </c>
      <c r="Y27" s="185">
        <v>23.205985122532592</v>
      </c>
      <c r="Z27" s="168">
        <v>1949.3027502928182</v>
      </c>
      <c r="AA27" s="168">
        <v>931.90350781538518</v>
      </c>
      <c r="AB27" s="182">
        <v>1017.3992424773471</v>
      </c>
    </row>
    <row r="28" spans="1:28" ht="12.75" thickBot="1">
      <c r="A28" s="200" t="s">
        <v>21</v>
      </c>
      <c r="B28" s="128">
        <v>38732.346697489957</v>
      </c>
      <c r="C28" s="128">
        <v>18080.012421318985</v>
      </c>
      <c r="D28" s="154">
        <v>20652.334276160822</v>
      </c>
      <c r="E28" s="128">
        <v>997.74185796929692</v>
      </c>
      <c r="F28" s="128">
        <v>428.6832941290445</v>
      </c>
      <c r="G28" s="154">
        <v>569.05856384025992</v>
      </c>
      <c r="H28" s="128">
        <v>37734.604839519168</v>
      </c>
      <c r="I28" s="128">
        <v>17651.329127189943</v>
      </c>
      <c r="J28" s="130">
        <v>20083.275712320556</v>
      </c>
      <c r="K28" s="128">
        <v>40038.857462775319</v>
      </c>
      <c r="L28" s="128">
        <v>18689.883314231938</v>
      </c>
      <c r="M28" s="154">
        <v>21348.974148536188</v>
      </c>
      <c r="N28" s="128">
        <v>1031.397460832668</v>
      </c>
      <c r="O28" s="128">
        <v>443.1435421241826</v>
      </c>
      <c r="P28" s="154">
        <v>588.25391870848796</v>
      </c>
      <c r="Q28" s="128">
        <v>39007.460001941559</v>
      </c>
      <c r="R28" s="128">
        <v>18246.739772107871</v>
      </c>
      <c r="S28" s="130">
        <v>20760.720229827803</v>
      </c>
      <c r="T28" s="128">
        <v>41385.455487795371</v>
      </c>
      <c r="U28" s="128">
        <v>19318.466684335512</v>
      </c>
      <c r="V28" s="154">
        <v>22066.98880346576</v>
      </c>
      <c r="W28" s="128">
        <v>1066.0857079952896</v>
      </c>
      <c r="X28" s="128">
        <v>458.04746936995065</v>
      </c>
      <c r="Y28" s="154">
        <v>608.03823862533511</v>
      </c>
      <c r="Z28" s="128">
        <v>40319.369779800807</v>
      </c>
      <c r="AA28" s="128">
        <v>18860.419214965532</v>
      </c>
      <c r="AB28" s="130">
        <v>21458.950564840387</v>
      </c>
    </row>
    <row r="29" spans="1:28">
      <c r="A29" s="260" t="s">
        <v>118</v>
      </c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CD41-4171-4130-B1BB-89B9A870BCEA}">
  <dimension ref="A1:AC29"/>
  <sheetViews>
    <sheetView workbookViewId="0">
      <selection activeCell="A29" sqref="A29"/>
    </sheetView>
  </sheetViews>
  <sheetFormatPr defaultColWidth="9.125" defaultRowHeight="12"/>
  <cols>
    <col min="1" max="1" width="17" style="72" customWidth="1"/>
    <col min="2" max="16384" width="9.125" style="1"/>
  </cols>
  <sheetData>
    <row r="1" spans="1:29" ht="12.75" thickBot="1">
      <c r="A1" s="69" t="s">
        <v>114</v>
      </c>
      <c r="B1" s="53"/>
      <c r="C1" s="53"/>
      <c r="D1" s="53"/>
      <c r="E1" s="53"/>
      <c r="F1" s="53"/>
      <c r="G1" s="53"/>
      <c r="H1" s="53"/>
      <c r="I1" s="53"/>
      <c r="J1" s="5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9">
      <c r="A2" s="257" t="s">
        <v>58</v>
      </c>
      <c r="B2" s="233" t="s">
        <v>87</v>
      </c>
      <c r="C2" s="233"/>
      <c r="D2" s="233"/>
      <c r="E2" s="233"/>
      <c r="F2" s="233"/>
      <c r="G2" s="233"/>
      <c r="H2" s="233"/>
      <c r="I2" s="233"/>
      <c r="J2" s="234"/>
      <c r="K2" s="233" t="s">
        <v>88</v>
      </c>
      <c r="L2" s="233"/>
      <c r="M2" s="233"/>
      <c r="N2" s="233"/>
      <c r="O2" s="233"/>
      <c r="P2" s="233"/>
      <c r="Q2" s="233"/>
      <c r="R2" s="233"/>
      <c r="S2" s="234"/>
      <c r="T2" s="233" t="s">
        <v>89</v>
      </c>
      <c r="U2" s="233"/>
      <c r="V2" s="233"/>
      <c r="W2" s="233"/>
      <c r="X2" s="233"/>
      <c r="Y2" s="233"/>
      <c r="Z2" s="233"/>
      <c r="AA2" s="233"/>
      <c r="AB2" s="234"/>
    </row>
    <row r="3" spans="1:29" ht="12.75" thickBot="1">
      <c r="A3" s="258"/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5"/>
      <c r="K3" s="11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5"/>
    </row>
    <row r="4" spans="1:29" ht="12.75" thickBot="1">
      <c r="A4" s="259"/>
      <c r="B4" s="83" t="s">
        <v>0</v>
      </c>
      <c r="C4" s="84" t="s">
        <v>3</v>
      </c>
      <c r="D4" s="85" t="s">
        <v>4</v>
      </c>
      <c r="E4" s="86" t="s">
        <v>0</v>
      </c>
      <c r="F4" s="84" t="s">
        <v>3</v>
      </c>
      <c r="G4" s="85" t="s">
        <v>4</v>
      </c>
      <c r="H4" s="86" t="s">
        <v>0</v>
      </c>
      <c r="I4" s="84" t="s">
        <v>3</v>
      </c>
      <c r="J4" s="87" t="s">
        <v>4</v>
      </c>
      <c r="K4" s="83" t="s">
        <v>0</v>
      </c>
      <c r="L4" s="84" t="s">
        <v>3</v>
      </c>
      <c r="M4" s="84" t="s">
        <v>4</v>
      </c>
      <c r="N4" s="88" t="s">
        <v>0</v>
      </c>
      <c r="O4" s="89" t="s">
        <v>3</v>
      </c>
      <c r="P4" s="90" t="s">
        <v>4</v>
      </c>
      <c r="Q4" s="86" t="s">
        <v>0</v>
      </c>
      <c r="R4" s="84" t="s">
        <v>3</v>
      </c>
      <c r="S4" s="87" t="s">
        <v>4</v>
      </c>
      <c r="T4" s="83" t="s">
        <v>0</v>
      </c>
      <c r="U4" s="84" t="s">
        <v>3</v>
      </c>
      <c r="V4" s="84" t="s">
        <v>4</v>
      </c>
      <c r="W4" s="88" t="s">
        <v>0</v>
      </c>
      <c r="X4" s="89" t="s">
        <v>3</v>
      </c>
      <c r="Y4" s="90" t="s">
        <v>4</v>
      </c>
      <c r="Z4" s="86" t="s">
        <v>0</v>
      </c>
      <c r="AA4" s="84" t="s">
        <v>3</v>
      </c>
      <c r="AB4" s="87" t="s">
        <v>4</v>
      </c>
    </row>
    <row r="5" spans="1:29" ht="12.75" thickBot="1">
      <c r="A5" s="93" t="s">
        <v>86</v>
      </c>
      <c r="B5" s="100">
        <f>+B6+B7+B8+B9+B10+B11+B12+B13+B14+B15+B16+B17+B18+B19+B20+B21+B22+B23+B24+B25</f>
        <v>51821.072934878299</v>
      </c>
      <c r="C5" s="63">
        <f t="shared" ref="C5:AB5" si="0">+C6+C7+C8+C9+C10+C11+C12+C13+C14+C15+C16+C17+C18+C19+C20+C21+C22+C23+C24+C25</f>
        <v>24885.346309167264</v>
      </c>
      <c r="D5" s="63">
        <f t="shared" si="0"/>
        <v>26935.726625712196</v>
      </c>
      <c r="E5" s="100">
        <f t="shared" si="0"/>
        <v>3168.0027960780217</v>
      </c>
      <c r="F5" s="63">
        <f t="shared" si="0"/>
        <v>1510.7881631413929</v>
      </c>
      <c r="G5" s="101">
        <f t="shared" si="0"/>
        <v>1657.2146329366324</v>
      </c>
      <c r="H5" s="63">
        <f t="shared" si="0"/>
        <v>48653.0701388003</v>
      </c>
      <c r="I5" s="63">
        <f t="shared" si="0"/>
        <v>23374.558146025858</v>
      </c>
      <c r="J5" s="97">
        <f t="shared" si="0"/>
        <v>25278.511992775508</v>
      </c>
      <c r="K5" s="63">
        <f t="shared" si="0"/>
        <v>53569.089655554439</v>
      </c>
      <c r="L5" s="63">
        <f t="shared" si="0"/>
        <v>25724.773186779759</v>
      </c>
      <c r="M5" s="63">
        <f t="shared" si="0"/>
        <v>27844.316468776335</v>
      </c>
      <c r="N5" s="100">
        <f t="shared" si="0"/>
        <v>3274.8651504266963</v>
      </c>
      <c r="O5" s="63">
        <f t="shared" si="0"/>
        <v>1561.7497280223533</v>
      </c>
      <c r="P5" s="63">
        <f t="shared" si="0"/>
        <v>1713.1154224043441</v>
      </c>
      <c r="Q5" s="100">
        <f t="shared" si="0"/>
        <v>50294.224505127844</v>
      </c>
      <c r="R5" s="63">
        <f t="shared" si="0"/>
        <v>24163.023458757492</v>
      </c>
      <c r="S5" s="63">
        <f t="shared" si="0"/>
        <v>26131.201046372073</v>
      </c>
      <c r="T5" s="148">
        <f t="shared" si="0"/>
        <v>55370.740224627851</v>
      </c>
      <c r="U5" s="63">
        <f t="shared" si="0"/>
        <v>26589.955935809223</v>
      </c>
      <c r="V5" s="63">
        <f t="shared" si="0"/>
        <v>28780.784288818602</v>
      </c>
      <c r="W5" s="100">
        <f t="shared" si="0"/>
        <v>3385.0063288532206</v>
      </c>
      <c r="X5" s="63">
        <f t="shared" si="0"/>
        <v>1614.2749306033706</v>
      </c>
      <c r="Y5" s="101">
        <f t="shared" si="0"/>
        <v>1770.7313982498426</v>
      </c>
      <c r="Z5" s="63">
        <f t="shared" si="0"/>
        <v>51985.733895774807</v>
      </c>
      <c r="AA5" s="63">
        <f t="shared" si="0"/>
        <v>24975.681005205781</v>
      </c>
      <c r="AB5" s="63">
        <f t="shared" si="0"/>
        <v>27010.052890568688</v>
      </c>
      <c r="AC5" s="149"/>
    </row>
    <row r="6" spans="1:29">
      <c r="A6" s="193" t="s">
        <v>5</v>
      </c>
      <c r="B6" s="195">
        <v>9024.2571115811315</v>
      </c>
      <c r="C6" s="139">
        <v>4408.9907422575507</v>
      </c>
      <c r="D6" s="139">
        <v>4615.2663693235027</v>
      </c>
      <c r="E6" s="140">
        <v>545.24317797546587</v>
      </c>
      <c r="F6" s="139">
        <v>275.03416942125062</v>
      </c>
      <c r="G6" s="141">
        <v>270.20900855421104</v>
      </c>
      <c r="H6" s="139">
        <v>8479.0139336056327</v>
      </c>
      <c r="I6" s="139">
        <v>4133.9565728362813</v>
      </c>
      <c r="J6" s="142">
        <v>4345.0573607692731</v>
      </c>
      <c r="K6" s="138">
        <v>9328.6613129850539</v>
      </c>
      <c r="L6" s="139">
        <v>4557.7138215433424</v>
      </c>
      <c r="M6" s="139">
        <v>4770.9474914431157</v>
      </c>
      <c r="N6" s="140">
        <v>563.63519762996884</v>
      </c>
      <c r="O6" s="139">
        <v>284.31155986644666</v>
      </c>
      <c r="P6" s="141">
        <v>279.32363776352662</v>
      </c>
      <c r="Q6" s="139">
        <v>8765.0261153552437</v>
      </c>
      <c r="R6" s="139">
        <v>4273.402261676978</v>
      </c>
      <c r="S6" s="142">
        <v>4491.62385367967</v>
      </c>
      <c r="T6" s="138">
        <v>9642.4054529612786</v>
      </c>
      <c r="U6" s="139">
        <v>4711.0001243914976</v>
      </c>
      <c r="V6" s="139">
        <v>4931.4053285696491</v>
      </c>
      <c r="W6" s="140">
        <v>582.59153385088428</v>
      </c>
      <c r="X6" s="139">
        <v>293.87360557079938</v>
      </c>
      <c r="Y6" s="141">
        <v>288.71792828008353</v>
      </c>
      <c r="Z6" s="139">
        <v>9059.8139191106693</v>
      </c>
      <c r="AA6" s="139">
        <v>4417.1265188206289</v>
      </c>
      <c r="AB6" s="142">
        <v>4642.6874002894974</v>
      </c>
    </row>
    <row r="7" spans="1:29">
      <c r="A7" s="193" t="s">
        <v>6</v>
      </c>
      <c r="B7" s="140">
        <v>8293.3566958549</v>
      </c>
      <c r="C7" s="139">
        <v>4169.1301673879252</v>
      </c>
      <c r="D7" s="139">
        <v>4124.226528468268</v>
      </c>
      <c r="E7" s="140">
        <v>511.21065847007412</v>
      </c>
      <c r="F7" s="139">
        <v>270.57320887492887</v>
      </c>
      <c r="G7" s="141">
        <v>240.63744959514963</v>
      </c>
      <c r="H7" s="139">
        <v>7782.1460373849559</v>
      </c>
      <c r="I7" s="139">
        <v>3898.5569585129897</v>
      </c>
      <c r="J7" s="142">
        <v>3883.5890788730981</v>
      </c>
      <c r="K7" s="138">
        <v>8573.1063296221564</v>
      </c>
      <c r="L7" s="139">
        <v>4309.7623239707846</v>
      </c>
      <c r="M7" s="139">
        <v>4263.3440056512973</v>
      </c>
      <c r="N7" s="140">
        <v>528.45470086798196</v>
      </c>
      <c r="O7" s="139">
        <v>279.70012320715244</v>
      </c>
      <c r="P7" s="141">
        <v>248.75457766082909</v>
      </c>
      <c r="Q7" s="139">
        <v>8044.6516287541472</v>
      </c>
      <c r="R7" s="139">
        <v>4030.0622007636175</v>
      </c>
      <c r="S7" s="142">
        <v>4014.5894279904551</v>
      </c>
      <c r="T7" s="138">
        <v>8861.4394335967027</v>
      </c>
      <c r="U7" s="139">
        <v>4454.7094528742737</v>
      </c>
      <c r="V7" s="139">
        <v>4406.7299807223544</v>
      </c>
      <c r="W7" s="140">
        <v>546.22783680643408</v>
      </c>
      <c r="X7" s="139">
        <v>289.10707578718791</v>
      </c>
      <c r="Y7" s="141">
        <v>257.12076101924322</v>
      </c>
      <c r="Z7" s="139">
        <v>8315.2115967902373</v>
      </c>
      <c r="AA7" s="139">
        <v>4165.6023770870679</v>
      </c>
      <c r="AB7" s="142">
        <v>4149.6092197030948</v>
      </c>
    </row>
    <row r="8" spans="1:29" ht="17.25" customHeight="1">
      <c r="A8" s="193" t="s">
        <v>7</v>
      </c>
      <c r="B8" s="140">
        <v>7630.1644902722701</v>
      </c>
      <c r="C8" s="139">
        <v>3750.0295374709881</v>
      </c>
      <c r="D8" s="139">
        <v>3880.1349528023538</v>
      </c>
      <c r="E8" s="140">
        <v>457.0960166950893</v>
      </c>
      <c r="F8" s="139">
        <v>199.18793674622407</v>
      </c>
      <c r="G8" s="141">
        <v>257.90807994886859</v>
      </c>
      <c r="H8" s="139">
        <v>7173.0684735772984</v>
      </c>
      <c r="I8" s="139">
        <v>3550.8416007247379</v>
      </c>
      <c r="J8" s="142">
        <v>3622.2268728534518</v>
      </c>
      <c r="K8" s="138">
        <v>7887.5434744420363</v>
      </c>
      <c r="L8" s="139">
        <v>3876.5246863222364</v>
      </c>
      <c r="M8" s="139">
        <v>4011.0187881197253</v>
      </c>
      <c r="N8" s="140">
        <v>472.51467622655201</v>
      </c>
      <c r="O8" s="139">
        <v>205.90689921207363</v>
      </c>
      <c r="P8" s="141">
        <v>266.60777701447716</v>
      </c>
      <c r="Q8" s="139">
        <v>7415.0287982154605</v>
      </c>
      <c r="R8" s="139">
        <v>3670.6177871101518</v>
      </c>
      <c r="S8" s="142">
        <v>3744.4110111052341</v>
      </c>
      <c r="T8" s="138">
        <v>8152.8195371991269</v>
      </c>
      <c r="U8" s="139">
        <v>4006.9010461230273</v>
      </c>
      <c r="V8" s="139">
        <v>4145.9184910760241</v>
      </c>
      <c r="W8" s="140">
        <v>488.40642164899714</v>
      </c>
      <c r="X8" s="139">
        <v>212.83201749439775</v>
      </c>
      <c r="Y8" s="141">
        <v>275.57440415459592</v>
      </c>
      <c r="Z8" s="139">
        <v>7664.4131155501027</v>
      </c>
      <c r="AA8" s="139">
        <v>3794.0690286286163</v>
      </c>
      <c r="AB8" s="142">
        <v>3870.344086921411</v>
      </c>
    </row>
    <row r="9" spans="1:29">
      <c r="A9" s="193" t="s">
        <v>8</v>
      </c>
      <c r="B9" s="140">
        <v>6368.0378812092813</v>
      </c>
      <c r="C9" s="139">
        <v>3050.8513920205241</v>
      </c>
      <c r="D9" s="139">
        <v>3317.1864891882601</v>
      </c>
      <c r="E9" s="140">
        <v>376.06972947726382</v>
      </c>
      <c r="F9" s="139">
        <v>180.60491567601102</v>
      </c>
      <c r="G9" s="141">
        <v>195.46481380125246</v>
      </c>
      <c r="H9" s="139">
        <v>5991.9681517319423</v>
      </c>
      <c r="I9" s="139">
        <v>2870.2464763445487</v>
      </c>
      <c r="J9" s="142">
        <v>3121.7216753870462</v>
      </c>
      <c r="K9" s="138">
        <v>6582.8430958412018</v>
      </c>
      <c r="L9" s="139">
        <v>3153.7620216837972</v>
      </c>
      <c r="M9" s="139">
        <v>3429.0810741574965</v>
      </c>
      <c r="N9" s="140">
        <v>388.75522860023318</v>
      </c>
      <c r="O9" s="139">
        <v>186.69703987488251</v>
      </c>
      <c r="P9" s="141">
        <v>202.05818872534752</v>
      </c>
      <c r="Q9" s="139">
        <v>6194.0878672409999</v>
      </c>
      <c r="R9" s="139">
        <v>2967.0649818089282</v>
      </c>
      <c r="S9" s="142">
        <v>3227.0228854321635</v>
      </c>
      <c r="T9" s="138">
        <v>6804.239111453795</v>
      </c>
      <c r="U9" s="139">
        <v>3259.8302258967883</v>
      </c>
      <c r="V9" s="139">
        <v>3544.4088855572923</v>
      </c>
      <c r="W9" s="140">
        <v>401.8299529112212</v>
      </c>
      <c r="X9" s="139">
        <v>192.97608680842848</v>
      </c>
      <c r="Y9" s="141">
        <v>208.85386610279284</v>
      </c>
      <c r="Z9" s="139">
        <v>6402.4091585426113</v>
      </c>
      <c r="AA9" s="139">
        <v>3066.8541390883779</v>
      </c>
      <c r="AB9" s="142">
        <v>3335.555019454519</v>
      </c>
    </row>
    <row r="10" spans="1:29">
      <c r="A10" s="193" t="s">
        <v>9</v>
      </c>
      <c r="B10" s="140">
        <v>4290.7043246302437</v>
      </c>
      <c r="C10" s="139">
        <v>2105.2961636775285</v>
      </c>
      <c r="D10" s="139">
        <v>2185.408160952345</v>
      </c>
      <c r="E10" s="140">
        <v>267.43269678501053</v>
      </c>
      <c r="F10" s="139">
        <v>141.37411283789103</v>
      </c>
      <c r="G10" s="141">
        <v>126.0585839471195</v>
      </c>
      <c r="H10" s="139">
        <v>4023.2716278451949</v>
      </c>
      <c r="I10" s="139">
        <v>1963.9220508396334</v>
      </c>
      <c r="J10" s="142">
        <v>2059.3495770052073</v>
      </c>
      <c r="K10" s="138">
        <v>4435.4373932089793</v>
      </c>
      <c r="L10" s="139">
        <v>2176.3115380738386</v>
      </c>
      <c r="M10" s="139">
        <v>2259.1258551353917</v>
      </c>
      <c r="N10" s="140">
        <v>276.45367607317252</v>
      </c>
      <c r="O10" s="139">
        <v>146.14291246158928</v>
      </c>
      <c r="P10" s="141">
        <v>130.31076361158389</v>
      </c>
      <c r="Q10" s="139">
        <v>4158.9837171357503</v>
      </c>
      <c r="R10" s="139">
        <v>2030.1686256122709</v>
      </c>
      <c r="S10" s="142">
        <v>2128.8150915238302</v>
      </c>
      <c r="T10" s="138">
        <v>4584.6112611046901</v>
      </c>
      <c r="U10" s="139">
        <v>2249.5058549132059</v>
      </c>
      <c r="V10" s="139">
        <v>2335.1054061913778</v>
      </c>
      <c r="W10" s="140">
        <v>285.75144323744018</v>
      </c>
      <c r="X10" s="139">
        <v>151.05803166736942</v>
      </c>
      <c r="Y10" s="141">
        <v>134.69341157007111</v>
      </c>
      <c r="Z10" s="139">
        <v>4298.85981786716</v>
      </c>
      <c r="AA10" s="139">
        <v>2098.4478232458437</v>
      </c>
      <c r="AB10" s="142">
        <v>2200.4119946213132</v>
      </c>
    </row>
    <row r="11" spans="1:29">
      <c r="A11" s="194" t="s">
        <v>10</v>
      </c>
      <c r="B11" s="140">
        <v>2862.8257849673378</v>
      </c>
      <c r="C11" s="139">
        <v>1411.3848931649025</v>
      </c>
      <c r="D11" s="139">
        <v>1451.440891802303</v>
      </c>
      <c r="E11" s="140">
        <v>159.04587694262742</v>
      </c>
      <c r="F11" s="139">
        <v>67.152703597998226</v>
      </c>
      <c r="G11" s="141">
        <v>91.893173344629162</v>
      </c>
      <c r="H11" s="139">
        <v>2703.7799080246873</v>
      </c>
      <c r="I11" s="139">
        <v>1344.2321895669074</v>
      </c>
      <c r="J11" s="142">
        <v>1359.5477184576782</v>
      </c>
      <c r="K11" s="138">
        <v>2959.3939773470538</v>
      </c>
      <c r="L11" s="139">
        <v>1458.9934094082173</v>
      </c>
      <c r="M11" s="139">
        <v>1500.4005679390016</v>
      </c>
      <c r="N11" s="140">
        <v>164.41077651928779</v>
      </c>
      <c r="O11" s="139">
        <v>69.417883419254807</v>
      </c>
      <c r="P11" s="141">
        <v>94.992893100033029</v>
      </c>
      <c r="Q11" s="139">
        <v>2794.983200827794</v>
      </c>
      <c r="R11" s="139">
        <v>1389.5755259889613</v>
      </c>
      <c r="S11" s="142">
        <v>1405.4076748389671</v>
      </c>
      <c r="T11" s="138">
        <v>3058.9251412641552</v>
      </c>
      <c r="U11" s="139">
        <v>1508.0626828125694</v>
      </c>
      <c r="V11" s="139">
        <v>1550.8624584516554</v>
      </c>
      <c r="W11" s="140">
        <v>169.94028562579055</v>
      </c>
      <c r="X11" s="139">
        <v>71.752565042000654</v>
      </c>
      <c r="Y11" s="141">
        <v>98.187720583790238</v>
      </c>
      <c r="Z11" s="139">
        <v>2888.9848556383727</v>
      </c>
      <c r="AA11" s="139">
        <v>1436.3101177705723</v>
      </c>
      <c r="AB11" s="142">
        <v>1452.6747378678699</v>
      </c>
    </row>
    <row r="12" spans="1:29">
      <c r="A12" s="194" t="s">
        <v>11</v>
      </c>
      <c r="B12" s="140">
        <v>2349.1752619963418</v>
      </c>
      <c r="C12" s="139">
        <v>1110.9461128536093</v>
      </c>
      <c r="D12" s="139">
        <v>1238.2291491427325</v>
      </c>
      <c r="E12" s="140">
        <v>140.87637026174801</v>
      </c>
      <c r="F12" s="139">
        <v>69.202427496999022</v>
      </c>
      <c r="G12" s="141">
        <v>71.673942764748986</v>
      </c>
      <c r="H12" s="139">
        <v>2208.2988917345938</v>
      </c>
      <c r="I12" s="139">
        <v>1041.7436853566103</v>
      </c>
      <c r="J12" s="142">
        <v>1166.5552063779835</v>
      </c>
      <c r="K12" s="138">
        <v>2428.4171110203929</v>
      </c>
      <c r="L12" s="139">
        <v>1148.4202960585592</v>
      </c>
      <c r="M12" s="139">
        <v>1279.9968149618285</v>
      </c>
      <c r="N12" s="140">
        <v>145.62838014535765</v>
      </c>
      <c r="O12" s="139">
        <v>71.536748141579253</v>
      </c>
      <c r="P12" s="141">
        <v>74.091632003778514</v>
      </c>
      <c r="Q12" s="139">
        <v>2282.7887308750528</v>
      </c>
      <c r="R12" s="139">
        <v>1076.8835479169759</v>
      </c>
      <c r="S12" s="142">
        <v>1205.9051829580458</v>
      </c>
      <c r="T12" s="138">
        <v>2510.0903128265518</v>
      </c>
      <c r="U12" s="139">
        <v>1187.0442878648817</v>
      </c>
      <c r="V12" s="139">
        <v>1323.0460249617481</v>
      </c>
      <c r="W12" s="140">
        <v>150.52619445672462</v>
      </c>
      <c r="X12" s="139">
        <v>73.942692013829515</v>
      </c>
      <c r="Y12" s="141">
        <v>76.583502442894854</v>
      </c>
      <c r="Z12" s="139">
        <v>2359.5641183698517</v>
      </c>
      <c r="AA12" s="139">
        <v>1113.1015958510513</v>
      </c>
      <c r="AB12" s="142">
        <v>1246.4625225188524</v>
      </c>
    </row>
    <row r="13" spans="1:29">
      <c r="A13" s="194" t="s">
        <v>12</v>
      </c>
      <c r="B13" s="140">
        <v>1940.1394851837224</v>
      </c>
      <c r="C13" s="139">
        <v>872.4448895157376</v>
      </c>
      <c r="D13" s="139">
        <v>1067.6945956679849</v>
      </c>
      <c r="E13" s="140">
        <v>143.34788552949797</v>
      </c>
      <c r="F13" s="139">
        <v>67.966669863124039</v>
      </c>
      <c r="G13" s="141">
        <v>75.381215666373933</v>
      </c>
      <c r="H13" s="139">
        <v>1796.7915996542245</v>
      </c>
      <c r="I13" s="139">
        <v>804.47821965261357</v>
      </c>
      <c r="J13" s="142">
        <v>992.31338000161088</v>
      </c>
      <c r="K13" s="138">
        <v>2005.5838318264591</v>
      </c>
      <c r="L13" s="139">
        <v>901.87400335632765</v>
      </c>
      <c r="M13" s="139">
        <v>1103.7098284700696</v>
      </c>
      <c r="N13" s="140">
        <v>148.18326400755689</v>
      </c>
      <c r="O13" s="139">
        <v>70.259306210479622</v>
      </c>
      <c r="P13" s="141">
        <v>77.923957797077406</v>
      </c>
      <c r="Q13" s="139">
        <v>1857.4005678188937</v>
      </c>
      <c r="R13" s="139">
        <v>831.6146971458503</v>
      </c>
      <c r="S13" s="142">
        <v>1025.7858706729878</v>
      </c>
      <c r="T13" s="138">
        <v>2073.0361868163086</v>
      </c>
      <c r="U13" s="139">
        <v>932.20608146007362</v>
      </c>
      <c r="V13" s="139">
        <v>1140.8301053562377</v>
      </c>
      <c r="W13" s="140">
        <v>153.16700488578999</v>
      </c>
      <c r="X13" s="139">
        <v>72.622286799296845</v>
      </c>
      <c r="Y13" s="141">
        <v>80.544718086492864</v>
      </c>
      <c r="Z13" s="139">
        <v>1919.8691819305213</v>
      </c>
      <c r="AA13" s="139">
        <v>859.58379466077599</v>
      </c>
      <c r="AB13" s="142">
        <v>1060.285387269744</v>
      </c>
    </row>
    <row r="14" spans="1:29">
      <c r="A14" s="194" t="s">
        <v>13</v>
      </c>
      <c r="B14" s="140">
        <v>1649.7364412231016</v>
      </c>
      <c r="C14" s="139">
        <v>717.97518528136482</v>
      </c>
      <c r="D14" s="139">
        <v>931.76125594173675</v>
      </c>
      <c r="E14" s="140">
        <v>109.98242941487344</v>
      </c>
      <c r="F14" s="139">
        <v>48.194547721124316</v>
      </c>
      <c r="G14" s="141">
        <v>61.787881693749121</v>
      </c>
      <c r="H14" s="139">
        <v>1539.7540118082281</v>
      </c>
      <c r="I14" s="139">
        <v>669.78063756024051</v>
      </c>
      <c r="J14" s="142">
        <v>869.97337424798764</v>
      </c>
      <c r="K14" s="138">
        <v>1705.3849780180292</v>
      </c>
      <c r="L14" s="139">
        <v>742.19376196887913</v>
      </c>
      <c r="M14" s="139">
        <v>963.19121604910788</v>
      </c>
      <c r="N14" s="140">
        <v>113.69233186786707</v>
      </c>
      <c r="O14" s="139">
        <v>49.820235312885529</v>
      </c>
      <c r="P14" s="141">
        <v>63.872096554981468</v>
      </c>
      <c r="Q14" s="139">
        <v>1591.6926461501557</v>
      </c>
      <c r="R14" s="139">
        <v>692.37352665599519</v>
      </c>
      <c r="S14" s="142">
        <v>899.31911949412847</v>
      </c>
      <c r="T14" s="138">
        <v>1762.7409614011319</v>
      </c>
      <c r="U14" s="139">
        <v>767.15542964348811</v>
      </c>
      <c r="V14" s="139">
        <v>995.58553175764246</v>
      </c>
      <c r="W14" s="140">
        <v>117.51606409340762</v>
      </c>
      <c r="X14" s="139">
        <v>51.495803366774126</v>
      </c>
      <c r="Y14" s="141">
        <v>66.020260726633495</v>
      </c>
      <c r="Z14" s="139">
        <v>1645.224897307723</v>
      </c>
      <c r="AA14" s="139">
        <v>715.65962627671342</v>
      </c>
      <c r="AB14" s="142">
        <v>929.56527103100825</v>
      </c>
    </row>
    <row r="15" spans="1:29">
      <c r="A15" s="194" t="s">
        <v>14</v>
      </c>
      <c r="B15" s="140">
        <v>1998.1751517255334</v>
      </c>
      <c r="C15" s="139">
        <v>892.0645723802138</v>
      </c>
      <c r="D15" s="139">
        <v>1106.110579345238</v>
      </c>
      <c r="E15" s="140">
        <v>92.794511690036359</v>
      </c>
      <c r="F15" s="139">
        <v>38.355064831881712</v>
      </c>
      <c r="G15" s="141">
        <v>54.439446858154724</v>
      </c>
      <c r="H15" s="139">
        <v>1905.3806400354888</v>
      </c>
      <c r="I15" s="139">
        <v>853.70950754833223</v>
      </c>
      <c r="J15" s="142">
        <v>1051.6711324870785</v>
      </c>
      <c r="K15" s="138">
        <v>2065.5771443558597</v>
      </c>
      <c r="L15" s="139">
        <v>922.15549292914875</v>
      </c>
      <c r="M15" s="139">
        <v>1143.4216514267114</v>
      </c>
      <c r="N15" s="140">
        <v>95.924635186804963</v>
      </c>
      <c r="O15" s="139">
        <v>39.648849210546118</v>
      </c>
      <c r="P15" s="141">
        <v>56.275785976259009</v>
      </c>
      <c r="Q15" s="139">
        <v>1969.6525091690551</v>
      </c>
      <c r="R15" s="139">
        <v>882.50664371860285</v>
      </c>
      <c r="S15" s="142">
        <v>1087.1458654504527</v>
      </c>
      <c r="T15" s="138">
        <v>2135.0472111708982</v>
      </c>
      <c r="U15" s="139">
        <v>953.16968374871692</v>
      </c>
      <c r="V15" s="139">
        <v>1181.8775274221348</v>
      </c>
      <c r="W15" s="140">
        <v>99.150799280380824</v>
      </c>
      <c r="X15" s="139">
        <v>40.982330369224115</v>
      </c>
      <c r="Y15" s="141">
        <v>58.168468911156779</v>
      </c>
      <c r="Z15" s="139">
        <v>2035.8964118905269</v>
      </c>
      <c r="AA15" s="139">
        <v>912.1873533794942</v>
      </c>
      <c r="AB15" s="142">
        <v>1123.709058510975</v>
      </c>
    </row>
    <row r="16" spans="1:29">
      <c r="A16" s="194" t="s">
        <v>15</v>
      </c>
      <c r="B16" s="140">
        <v>1409.239317532717</v>
      </c>
      <c r="C16" s="161">
        <v>638.42624042744853</v>
      </c>
      <c r="D16" s="161">
        <v>770.81307710523333</v>
      </c>
      <c r="E16" s="140">
        <v>86.60821091070062</v>
      </c>
      <c r="F16" s="139">
        <v>37.117804676014558</v>
      </c>
      <c r="G16" s="141">
        <v>49.490406234686105</v>
      </c>
      <c r="H16" s="139">
        <v>1322.6311066220087</v>
      </c>
      <c r="I16" s="139">
        <v>601.3084357514341</v>
      </c>
      <c r="J16" s="142">
        <v>721.32267087054743</v>
      </c>
      <c r="K16" s="138">
        <v>1456.7754597036064</v>
      </c>
      <c r="L16" s="139">
        <v>659.96149008521616</v>
      </c>
      <c r="M16" s="139">
        <v>796.81396961839073</v>
      </c>
      <c r="N16" s="140">
        <v>89.529659507684656</v>
      </c>
      <c r="O16" s="139">
        <v>38.369854074722049</v>
      </c>
      <c r="P16" s="141">
        <v>51.159805432962735</v>
      </c>
      <c r="Q16" s="139">
        <v>1367.2458001959221</v>
      </c>
      <c r="R16" s="139">
        <v>621.59163601049431</v>
      </c>
      <c r="S16" s="142">
        <v>745.65416418542827</v>
      </c>
      <c r="T16" s="138">
        <v>1505.7701384047293</v>
      </c>
      <c r="U16" s="139">
        <v>682.15749904901827</v>
      </c>
      <c r="V16" s="139">
        <v>823.61263935569025</v>
      </c>
      <c r="W16" s="140">
        <v>92.540745995022107</v>
      </c>
      <c r="X16" s="139">
        <v>39.660319712152372</v>
      </c>
      <c r="Y16" s="141">
        <v>52.880426282869806</v>
      </c>
      <c r="Z16" s="139">
        <v>1413.2293924097023</v>
      </c>
      <c r="AA16" s="139">
        <v>642.49717933686725</v>
      </c>
      <c r="AB16" s="142">
        <v>770.73221307282222</v>
      </c>
    </row>
    <row r="17" spans="1:28">
      <c r="A17" s="194" t="s">
        <v>16</v>
      </c>
      <c r="B17" s="140">
        <v>1098.6870184100344</v>
      </c>
      <c r="C17" s="139">
        <v>494.90406234685935</v>
      </c>
      <c r="D17" s="139">
        <v>603.7829560631684</v>
      </c>
      <c r="E17" s="140">
        <v>98.980812469372097</v>
      </c>
      <c r="F17" s="139">
        <v>37.117804676014558</v>
      </c>
      <c r="G17" s="141">
        <v>61.863007793357653</v>
      </c>
      <c r="H17" s="139">
        <v>999.70620594065565</v>
      </c>
      <c r="I17" s="139">
        <v>457.78625767084492</v>
      </c>
      <c r="J17" s="142">
        <v>541.91994826981102</v>
      </c>
      <c r="K17" s="138">
        <v>1135.747680611767</v>
      </c>
      <c r="L17" s="139">
        <v>511.59805432962497</v>
      </c>
      <c r="M17" s="139">
        <v>624.14962628214244</v>
      </c>
      <c r="N17" s="140">
        <v>102.31961086592527</v>
      </c>
      <c r="O17" s="139">
        <v>38.369854074722049</v>
      </c>
      <c r="P17" s="141">
        <v>63.94975679120342</v>
      </c>
      <c r="Q17" s="139">
        <v>1033.4280697458421</v>
      </c>
      <c r="R17" s="139">
        <v>473.22820025490313</v>
      </c>
      <c r="S17" s="142">
        <v>560.19986949093936</v>
      </c>
      <c r="T17" s="138">
        <v>1173.9454634797039</v>
      </c>
      <c r="U17" s="139">
        <v>528.80426282870098</v>
      </c>
      <c r="V17" s="139">
        <v>645.14120065101065</v>
      </c>
      <c r="W17" s="140">
        <v>105.76085256573954</v>
      </c>
      <c r="X17" s="139">
        <v>39.660319712152372</v>
      </c>
      <c r="Y17" s="141">
        <v>66.100532853587239</v>
      </c>
      <c r="Z17" s="139">
        <v>1068.1846109139587</v>
      </c>
      <c r="AA17" s="139">
        <v>489.143943116549</v>
      </c>
      <c r="AB17" s="142">
        <v>579.04066779742561</v>
      </c>
    </row>
    <row r="18" spans="1:28">
      <c r="A18" s="194" t="s">
        <v>17</v>
      </c>
      <c r="B18" s="140">
        <v>989.80812469371847</v>
      </c>
      <c r="C18" s="139">
        <v>455.31173735911062</v>
      </c>
      <c r="D18" s="139">
        <v>534.49638733460813</v>
      </c>
      <c r="E18" s="140">
        <v>56.913967169889034</v>
      </c>
      <c r="F18" s="139">
        <v>29.694243740811636</v>
      </c>
      <c r="G18" s="141">
        <v>27.219723429077334</v>
      </c>
      <c r="H18" s="139">
        <v>932.89415752382968</v>
      </c>
      <c r="I18" s="139">
        <v>425.61749361829908</v>
      </c>
      <c r="J18" s="142">
        <v>507.27666390553082</v>
      </c>
      <c r="K18" s="138">
        <v>1023.1961086592496</v>
      </c>
      <c r="L18" s="139">
        <v>470.67020998325501</v>
      </c>
      <c r="M18" s="139">
        <v>552.52589867599499</v>
      </c>
      <c r="N18" s="140">
        <v>58.833776247907146</v>
      </c>
      <c r="O18" s="139">
        <v>30.695883259777638</v>
      </c>
      <c r="P18" s="141">
        <v>28.137892988129501</v>
      </c>
      <c r="Q18" s="139">
        <v>964.36233241134278</v>
      </c>
      <c r="R18" s="139">
        <v>439.97432672347753</v>
      </c>
      <c r="S18" s="142">
        <v>524.38800568786564</v>
      </c>
      <c r="T18" s="138">
        <v>1057.6085256573842</v>
      </c>
      <c r="U18" s="139">
        <v>486.49992180240548</v>
      </c>
      <c r="V18" s="139">
        <v>571.10860385499541</v>
      </c>
      <c r="W18" s="140">
        <v>60.812490225300266</v>
      </c>
      <c r="X18" s="139">
        <v>31.728255769721908</v>
      </c>
      <c r="Y18" s="141">
        <v>29.084234455578414</v>
      </c>
      <c r="Z18" s="139">
        <v>996.79603543208304</v>
      </c>
      <c r="AA18" s="139">
        <v>454.7716660326833</v>
      </c>
      <c r="AB18" s="142">
        <v>542.02436939941799</v>
      </c>
    </row>
    <row r="19" spans="1:28">
      <c r="A19" s="194" t="s">
        <v>18</v>
      </c>
      <c r="B19" s="140">
        <v>677.61899874002688</v>
      </c>
      <c r="C19" s="139">
        <v>287.70415588962095</v>
      </c>
      <c r="D19" s="139">
        <v>389.91484285040696</v>
      </c>
      <c r="E19" s="140">
        <v>39.117670318325736</v>
      </c>
      <c r="F19" s="139">
        <v>17.666044659889042</v>
      </c>
      <c r="G19" s="141">
        <v>21.451625658436694</v>
      </c>
      <c r="H19" s="139">
        <v>638.50132842170137</v>
      </c>
      <c r="I19" s="139">
        <v>270.03811122973201</v>
      </c>
      <c r="J19" s="142">
        <v>368.46321719197039</v>
      </c>
      <c r="K19" s="138">
        <v>700.47628966363561</v>
      </c>
      <c r="L19" s="139">
        <v>297.40892745495142</v>
      </c>
      <c r="M19" s="139">
        <v>403.06736220868419</v>
      </c>
      <c r="N19" s="140">
        <v>40.437178732910048</v>
      </c>
      <c r="O19" s="139">
        <v>18.261951685830333</v>
      </c>
      <c r="P19" s="141">
        <v>22.175227047079694</v>
      </c>
      <c r="Q19" s="139">
        <v>660.03911093072554</v>
      </c>
      <c r="R19" s="139">
        <v>279.14697576912107</v>
      </c>
      <c r="S19" s="142">
        <v>380.89213516160447</v>
      </c>
      <c r="T19" s="138">
        <v>724.03490367049244</v>
      </c>
      <c r="U19" s="139">
        <v>307.41146748020549</v>
      </c>
      <c r="V19" s="139">
        <v>416.62343619027837</v>
      </c>
      <c r="W19" s="140">
        <v>41.797173210028113</v>
      </c>
      <c r="X19" s="139">
        <v>18.876142740012696</v>
      </c>
      <c r="Y19" s="141">
        <v>22.921030470015417</v>
      </c>
      <c r="Z19" s="139">
        <v>682.23773046046279</v>
      </c>
      <c r="AA19" s="139">
        <v>288.53532474019289</v>
      </c>
      <c r="AB19" s="142">
        <v>393.70240572026307</v>
      </c>
    </row>
    <row r="20" spans="1:28">
      <c r="A20" s="194" t="s">
        <v>19</v>
      </c>
      <c r="B20" s="140">
        <v>565.3134291164472</v>
      </c>
      <c r="C20" s="139">
        <v>232.18230124425571</v>
      </c>
      <c r="D20" s="139">
        <v>333.13112787219251</v>
      </c>
      <c r="E20" s="140">
        <v>30.284647988381213</v>
      </c>
      <c r="F20" s="139">
        <v>12.618603328492172</v>
      </c>
      <c r="G20" s="141">
        <v>17.666044659889042</v>
      </c>
      <c r="H20" s="139">
        <v>535.02878112806616</v>
      </c>
      <c r="I20" s="139">
        <v>219.56369791576361</v>
      </c>
      <c r="J20" s="142">
        <v>315.46508321230357</v>
      </c>
      <c r="K20" s="138">
        <v>584.38245394657122</v>
      </c>
      <c r="L20" s="139">
        <v>240.01422215662748</v>
      </c>
      <c r="M20" s="139">
        <v>344.36823178994376</v>
      </c>
      <c r="N20" s="140">
        <v>31.306202889994871</v>
      </c>
      <c r="O20" s="139">
        <v>13.044251204164521</v>
      </c>
      <c r="P20" s="141">
        <v>18.261951685830333</v>
      </c>
      <c r="Q20" s="139">
        <v>553.07625105657633</v>
      </c>
      <c r="R20" s="139">
        <v>226.96997095246294</v>
      </c>
      <c r="S20" s="142">
        <v>326.10628010411341</v>
      </c>
      <c r="T20" s="138">
        <v>604.0365676804073</v>
      </c>
      <c r="U20" s="139">
        <v>248.0864474401659</v>
      </c>
      <c r="V20" s="139">
        <v>355.95012024023788</v>
      </c>
      <c r="W20" s="140">
        <v>32.359101840021765</v>
      </c>
      <c r="X20" s="139">
        <v>13.482959100009069</v>
      </c>
      <c r="Y20" s="141">
        <v>18.876142740012696</v>
      </c>
      <c r="Z20" s="139">
        <v>571.67746584038434</v>
      </c>
      <c r="AA20" s="139">
        <v>234.6034883401569</v>
      </c>
      <c r="AB20" s="142">
        <v>337.07397750022528</v>
      </c>
    </row>
    <row r="21" spans="1:28">
      <c r="A21" s="194" t="s">
        <v>20</v>
      </c>
      <c r="B21" s="140">
        <v>341.96415020213698</v>
      </c>
      <c r="C21" s="139">
        <v>152.68510027475548</v>
      </c>
      <c r="D21" s="139">
        <v>189.27904992738257</v>
      </c>
      <c r="E21" s="140">
        <v>23.975346324135128</v>
      </c>
      <c r="F21" s="139">
        <v>8.8330223299445212</v>
      </c>
      <c r="G21" s="141">
        <v>15.142323994190606</v>
      </c>
      <c r="H21" s="139">
        <v>317.98880387800199</v>
      </c>
      <c r="I21" s="139">
        <v>143.85207794481101</v>
      </c>
      <c r="J21" s="142">
        <v>174.13672593319205</v>
      </c>
      <c r="K21" s="138">
        <v>353.49920763285894</v>
      </c>
      <c r="L21" s="139">
        <v>157.83543957039089</v>
      </c>
      <c r="M21" s="139">
        <v>195.66376806246805</v>
      </c>
      <c r="N21" s="140">
        <v>24.784077287912602</v>
      </c>
      <c r="O21" s="139">
        <v>9.1309758429151646</v>
      </c>
      <c r="P21" s="141">
        <v>15.653101444997425</v>
      </c>
      <c r="Q21" s="139">
        <v>328.71513034494632</v>
      </c>
      <c r="R21" s="139">
        <v>148.70446372747571</v>
      </c>
      <c r="S21" s="142">
        <v>180.0106666174706</v>
      </c>
      <c r="T21" s="138">
        <v>365.38819161024418</v>
      </c>
      <c r="U21" s="139">
        <v>163.14380511010921</v>
      </c>
      <c r="V21" s="139">
        <v>202.24438650013531</v>
      </c>
      <c r="W21" s="140">
        <v>25.617622290017231</v>
      </c>
      <c r="X21" s="139">
        <v>9.4380713700063481</v>
      </c>
      <c r="Y21" s="141">
        <v>16.179550920010882</v>
      </c>
      <c r="Z21" s="139">
        <v>339.77056932022708</v>
      </c>
      <c r="AA21" s="139">
        <v>153.70573374010291</v>
      </c>
      <c r="AB21" s="142">
        <v>186.06483558012451</v>
      </c>
    </row>
    <row r="22" spans="1:28">
      <c r="A22" s="189" t="s">
        <v>29</v>
      </c>
      <c r="B22" s="140">
        <v>222.08741858146203</v>
      </c>
      <c r="C22" s="139">
        <v>89.59208363229456</v>
      </c>
      <c r="D22" s="139">
        <v>132.49533494916813</v>
      </c>
      <c r="E22" s="140">
        <v>25.237206656984345</v>
      </c>
      <c r="F22" s="139">
        <v>10.094882662793738</v>
      </c>
      <c r="G22" s="141">
        <v>15.142323994190606</v>
      </c>
      <c r="H22" s="139">
        <v>196.85021192447783</v>
      </c>
      <c r="I22" s="139">
        <v>79.497200969500767</v>
      </c>
      <c r="J22" s="142">
        <v>117.35301095497749</v>
      </c>
      <c r="K22" s="138">
        <v>229.57882119329585</v>
      </c>
      <c r="L22" s="139">
        <v>92.614183549568196</v>
      </c>
      <c r="M22" s="139">
        <v>136.96463764372763</v>
      </c>
      <c r="N22" s="140">
        <v>26.088502408329056</v>
      </c>
      <c r="O22" s="139">
        <v>10.435400963331617</v>
      </c>
      <c r="P22" s="141">
        <v>15.653101444997425</v>
      </c>
      <c r="Q22" s="139">
        <v>203.49031878496677</v>
      </c>
      <c r="R22" s="139">
        <v>82.178782586236565</v>
      </c>
      <c r="S22" s="142">
        <v>121.31153619873018</v>
      </c>
      <c r="T22" s="138">
        <v>237.3000801601587</v>
      </c>
      <c r="U22" s="139">
        <v>95.729009610064224</v>
      </c>
      <c r="V22" s="139">
        <v>141.57107055009482</v>
      </c>
      <c r="W22" s="140">
        <v>26.965918200018137</v>
      </c>
      <c r="X22" s="139">
        <v>10.786367280007255</v>
      </c>
      <c r="Y22" s="141">
        <v>16.179550920010882</v>
      </c>
      <c r="Z22" s="139">
        <v>210.3341619601407</v>
      </c>
      <c r="AA22" s="139">
        <v>84.942642330057026</v>
      </c>
      <c r="AB22" s="142">
        <v>125.39151963008402</v>
      </c>
    </row>
    <row r="23" spans="1:28">
      <c r="A23" s="189" t="s">
        <v>30</v>
      </c>
      <c r="B23" s="140">
        <v>59.307435643913209</v>
      </c>
      <c r="C23" s="139">
        <v>20.189765325587476</v>
      </c>
      <c r="D23" s="139">
        <v>39.117670318325736</v>
      </c>
      <c r="E23" s="201">
        <v>0</v>
      </c>
      <c r="F23" s="199">
        <v>0</v>
      </c>
      <c r="G23" s="202">
        <v>0</v>
      </c>
      <c r="H23" s="139">
        <v>59.307435643913209</v>
      </c>
      <c r="I23" s="139">
        <v>20.189765325587476</v>
      </c>
      <c r="J23" s="142">
        <v>39.117670318325736</v>
      </c>
      <c r="K23" s="138">
        <v>61.30798065957331</v>
      </c>
      <c r="L23" s="139">
        <v>20.870801926663241</v>
      </c>
      <c r="M23" s="139">
        <v>40.437178732910048</v>
      </c>
      <c r="N23" s="201">
        <v>0</v>
      </c>
      <c r="O23" s="199">
        <v>0</v>
      </c>
      <c r="P23" s="202">
        <v>0</v>
      </c>
      <c r="Q23" s="139">
        <v>61.30798065957331</v>
      </c>
      <c r="R23" s="139">
        <v>20.870801926663241</v>
      </c>
      <c r="S23" s="142">
        <v>40.437178732910048</v>
      </c>
      <c r="T23" s="138">
        <v>63.369907770042623</v>
      </c>
      <c r="U23" s="139">
        <v>21.57273456001451</v>
      </c>
      <c r="V23" s="139">
        <v>41.797173210028113</v>
      </c>
      <c r="W23" s="201">
        <v>0</v>
      </c>
      <c r="X23" s="199">
        <v>0</v>
      </c>
      <c r="Y23" s="202">
        <v>0</v>
      </c>
      <c r="Z23" s="139">
        <v>63.369907770042623</v>
      </c>
      <c r="AA23" s="139">
        <v>21.57273456001451</v>
      </c>
      <c r="AB23" s="142">
        <v>41.797173210028113</v>
      </c>
    </row>
    <row r="24" spans="1:28">
      <c r="A24" s="189" t="s">
        <v>32</v>
      </c>
      <c r="B24" s="140">
        <v>34.070228986928868</v>
      </c>
      <c r="C24" s="139">
        <v>15.142323994190606</v>
      </c>
      <c r="D24" s="139">
        <v>18.927904992738259</v>
      </c>
      <c r="E24" s="140">
        <v>3.7855809985476525</v>
      </c>
      <c r="F24" s="199">
        <v>0</v>
      </c>
      <c r="G24" s="141">
        <v>3.7855809985476525</v>
      </c>
      <c r="H24" s="139">
        <v>30.284647988381213</v>
      </c>
      <c r="I24" s="139">
        <v>15.142323994190606</v>
      </c>
      <c r="J24" s="142">
        <v>15.142323994190606</v>
      </c>
      <c r="K24" s="138">
        <v>35.219478251244233</v>
      </c>
      <c r="L24" s="139">
        <v>15.653101444997425</v>
      </c>
      <c r="M24" s="139">
        <v>19.566376806246787</v>
      </c>
      <c r="N24" s="140">
        <v>3.9132753612493563</v>
      </c>
      <c r="O24" s="199">
        <v>0</v>
      </c>
      <c r="P24" s="141">
        <v>3.9132753612493563</v>
      </c>
      <c r="Q24" s="139">
        <v>31.306202889994871</v>
      </c>
      <c r="R24" s="139">
        <v>15.653101444997425</v>
      </c>
      <c r="S24" s="142">
        <v>15.653101444997425</v>
      </c>
      <c r="T24" s="138">
        <v>36.403989570024486</v>
      </c>
      <c r="U24" s="139">
        <v>16.179550920010882</v>
      </c>
      <c r="V24" s="139">
        <v>20.224438650013603</v>
      </c>
      <c r="W24" s="140">
        <v>4.0448877300027206</v>
      </c>
      <c r="X24" s="199">
        <v>0</v>
      </c>
      <c r="Y24" s="141">
        <v>4.0448877300027206</v>
      </c>
      <c r="Z24" s="139">
        <v>32.359101840021765</v>
      </c>
      <c r="AA24" s="139">
        <v>16.179550920010882</v>
      </c>
      <c r="AB24" s="142">
        <v>16.179550920010882</v>
      </c>
    </row>
    <row r="25" spans="1:28" ht="12.75" thickBot="1">
      <c r="A25" s="190" t="s">
        <v>31</v>
      </c>
      <c r="B25" s="145">
        <v>16.404184327039825</v>
      </c>
      <c r="C25" s="144">
        <v>10.094882662793738</v>
      </c>
      <c r="D25" s="144">
        <v>6.3093016642460871</v>
      </c>
      <c r="E25" s="177">
        <v>0</v>
      </c>
      <c r="F25" s="178">
        <v>0</v>
      </c>
      <c r="G25" s="179">
        <v>0</v>
      </c>
      <c r="H25" s="144">
        <v>16.404184327039825</v>
      </c>
      <c r="I25" s="144">
        <v>10.094882662793738</v>
      </c>
      <c r="J25" s="147">
        <v>6.3093016642460871</v>
      </c>
      <c r="K25" s="143">
        <v>16.957526565413879</v>
      </c>
      <c r="L25" s="144">
        <v>10.435400963331617</v>
      </c>
      <c r="M25" s="144">
        <v>6.5221256020822604</v>
      </c>
      <c r="N25" s="177">
        <v>0</v>
      </c>
      <c r="O25" s="178">
        <v>0</v>
      </c>
      <c r="P25" s="179">
        <v>0</v>
      </c>
      <c r="Q25" s="144">
        <v>16.957526565413879</v>
      </c>
      <c r="R25" s="144">
        <v>10.435400963331617</v>
      </c>
      <c r="S25" s="147">
        <v>6.5221256020822604</v>
      </c>
      <c r="T25" s="143">
        <v>17.527846830011789</v>
      </c>
      <c r="U25" s="144">
        <v>10.786367280007255</v>
      </c>
      <c r="V25" s="144">
        <v>6.7414795500045344</v>
      </c>
      <c r="W25" s="177">
        <v>0</v>
      </c>
      <c r="X25" s="178">
        <v>0</v>
      </c>
      <c r="Y25" s="179">
        <v>0</v>
      </c>
      <c r="Z25" s="144">
        <v>17.527846830011789</v>
      </c>
      <c r="AA25" s="144">
        <v>10.786367280007255</v>
      </c>
      <c r="AB25" s="147">
        <v>6.7414795500045344</v>
      </c>
    </row>
    <row r="26" spans="1:28">
      <c r="A26" s="176" t="s">
        <v>72</v>
      </c>
      <c r="B26" s="176">
        <v>28945.090893405606</v>
      </c>
      <c r="C26" s="197">
        <v>14235.93275257805</v>
      </c>
      <c r="D26" s="197">
        <v>14709.158140818146</v>
      </c>
      <c r="E26" s="176">
        <v>1738.7344631923625</v>
      </c>
      <c r="F26" s="197">
        <v>861.38836187122354</v>
      </c>
      <c r="G26" s="197">
        <v>877.34610132114938</v>
      </c>
      <c r="H26" s="176">
        <v>27206.356430212061</v>
      </c>
      <c r="I26" s="197">
        <v>13374.544390706997</v>
      </c>
      <c r="J26" s="182">
        <v>13831.812039497168</v>
      </c>
      <c r="K26" s="197">
        <v>29921.460157831716</v>
      </c>
      <c r="L26" s="197">
        <v>14716.13601886882</v>
      </c>
      <c r="M26" s="197">
        <v>15205.324138956215</v>
      </c>
      <c r="N26" s="176">
        <v>1797.3850611508076</v>
      </c>
      <c r="O26" s="197">
        <v>890.44451942008106</v>
      </c>
      <c r="P26" s="197">
        <v>906.94054173068207</v>
      </c>
      <c r="Q26" s="176">
        <v>28124.075096680055</v>
      </c>
      <c r="R26" s="197">
        <v>13825.691499448711</v>
      </c>
      <c r="S26" s="182">
        <v>14298.383597225507</v>
      </c>
      <c r="T26" s="197">
        <v>30927.787053931654</v>
      </c>
      <c r="U26" s="197">
        <v>15211.073211257513</v>
      </c>
      <c r="V26" s="197">
        <v>15716.713842683124</v>
      </c>
      <c r="W26" s="176">
        <v>1857.835216997873</v>
      </c>
      <c r="X26" s="197">
        <v>920.39219793123618</v>
      </c>
      <c r="Y26" s="197">
        <v>937.44301906657745</v>
      </c>
      <c r="Z26" s="176">
        <v>29069.951836935055</v>
      </c>
      <c r="AA26" s="197">
        <v>14290.68101332629</v>
      </c>
      <c r="AB26" s="182">
        <v>14779.270823616536</v>
      </c>
    </row>
    <row r="27" spans="1:28">
      <c r="A27" s="176" t="s">
        <v>22</v>
      </c>
      <c r="B27" s="176">
        <v>1217.3685771832409</v>
      </c>
      <c r="C27" s="168">
        <v>593.25285592310024</v>
      </c>
      <c r="D27" s="168">
        <v>624.11572126014016</v>
      </c>
      <c r="E27" s="176">
        <v>76.585628799320915</v>
      </c>
      <c r="F27" s="168">
        <v>29.719796250482723</v>
      </c>
      <c r="G27" s="168">
        <v>46.865832548838128</v>
      </c>
      <c r="H27" s="176">
        <v>1140.7829483839196</v>
      </c>
      <c r="I27" s="168">
        <v>563.53305967261736</v>
      </c>
      <c r="J27" s="182">
        <v>577.24988871130176</v>
      </c>
      <c r="K27" s="168">
        <v>1258.4325789034815</v>
      </c>
      <c r="L27" s="168">
        <v>613.26432718395802</v>
      </c>
      <c r="M27" s="168">
        <v>645.16825171953997</v>
      </c>
      <c r="N27" s="176">
        <v>79.168997921627408</v>
      </c>
      <c r="O27" s="168">
        <v>30.722297700930049</v>
      </c>
      <c r="P27" s="168">
        <v>48.446700220697373</v>
      </c>
      <c r="Q27" s="176">
        <v>1179.2635809818598</v>
      </c>
      <c r="R27" s="168">
        <v>582.54202948302725</v>
      </c>
      <c r="S27" s="182">
        <v>596.72155149884145</v>
      </c>
      <c r="T27" s="168">
        <v>1300.7565344998752</v>
      </c>
      <c r="U27" s="168">
        <v>633.88980413654645</v>
      </c>
      <c r="V27" s="168">
        <v>666.86673036330319</v>
      </c>
      <c r="W27" s="176">
        <v>81.83163174787795</v>
      </c>
      <c r="X27" s="168">
        <v>31.75555858872881</v>
      </c>
      <c r="Y27" s="168">
        <v>50.076073159149232</v>
      </c>
      <c r="Z27" s="176">
        <v>1218.9249027519897</v>
      </c>
      <c r="AA27" s="168">
        <v>602.13424554781773</v>
      </c>
      <c r="AB27" s="182">
        <v>616.79065720415406</v>
      </c>
    </row>
    <row r="28" spans="1:28" ht="12.75" thickBot="1">
      <c r="A28" s="157" t="s">
        <v>21</v>
      </c>
      <c r="B28" s="157">
        <v>22875.982041477961</v>
      </c>
      <c r="C28" s="128">
        <v>10649.413556587573</v>
      </c>
      <c r="D28" s="128">
        <v>12226.568484891988</v>
      </c>
      <c r="E28" s="157">
        <v>1429.2683328856504</v>
      </c>
      <c r="F28" s="128">
        <v>649.39980127016952</v>
      </c>
      <c r="G28" s="128">
        <v>779.8685316154814</v>
      </c>
      <c r="H28" s="157">
        <v>21446.713708592262</v>
      </c>
      <c r="I28" s="128">
        <v>10000.01375531757</v>
      </c>
      <c r="J28" s="130">
        <v>11446.699953276717</v>
      </c>
      <c r="K28" s="128">
        <v>23647.629497728332</v>
      </c>
      <c r="L28" s="128">
        <v>11008.637167910843</v>
      </c>
      <c r="M28" s="128">
        <v>12638.992329819825</v>
      </c>
      <c r="N28" s="157">
        <v>1477.4800892759158</v>
      </c>
      <c r="O28" s="128">
        <v>671.30520860226454</v>
      </c>
      <c r="P28" s="128">
        <v>806.17488067365218</v>
      </c>
      <c r="Q28" s="157">
        <v>22170.14940845274</v>
      </c>
      <c r="R28" s="128">
        <v>10337.331959308733</v>
      </c>
      <c r="S28" s="130">
        <v>11832.817449146347</v>
      </c>
      <c r="T28" s="128">
        <v>24442.953170687295</v>
      </c>
      <c r="U28" s="128">
        <v>11378.882724551977</v>
      </c>
      <c r="V28" s="128">
        <v>13064.070446135425</v>
      </c>
      <c r="W28" s="157">
        <v>1527.1711118553981</v>
      </c>
      <c r="X28" s="128">
        <v>693.88273267212912</v>
      </c>
      <c r="Y28" s="128">
        <v>833.28837918326326</v>
      </c>
      <c r="Z28" s="157">
        <v>22915.78205883189</v>
      </c>
      <c r="AA28" s="128">
        <v>10684.999991879857</v>
      </c>
      <c r="AB28" s="130">
        <v>12230.78206695225</v>
      </c>
    </row>
    <row r="29" spans="1:28">
      <c r="A29" s="260" t="s">
        <v>118</v>
      </c>
      <c r="B29" s="192"/>
      <c r="AA29" s="196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01190-9504-415E-A9DB-D33F3A016013}">
  <dimension ref="A1:AB30"/>
  <sheetViews>
    <sheetView workbookViewId="0">
      <selection activeCell="A29" sqref="A29"/>
    </sheetView>
  </sheetViews>
  <sheetFormatPr defaultColWidth="9.125" defaultRowHeight="12"/>
  <cols>
    <col min="1" max="1" width="17" style="72" customWidth="1"/>
    <col min="2" max="16384" width="9.125" style="1"/>
  </cols>
  <sheetData>
    <row r="1" spans="1:28" ht="12.75" thickBot="1">
      <c r="A1" s="69" t="s">
        <v>115</v>
      </c>
      <c r="B1" s="53"/>
      <c r="C1" s="53"/>
      <c r="D1" s="53"/>
      <c r="E1" s="53"/>
      <c r="F1" s="53"/>
      <c r="G1" s="53"/>
      <c r="H1" s="53"/>
      <c r="I1" s="53"/>
      <c r="J1" s="5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>
      <c r="A2" s="257" t="s">
        <v>55</v>
      </c>
      <c r="B2" s="233" t="s">
        <v>91</v>
      </c>
      <c r="C2" s="233"/>
      <c r="D2" s="233"/>
      <c r="E2" s="233"/>
      <c r="F2" s="233"/>
      <c r="G2" s="233"/>
      <c r="H2" s="233"/>
      <c r="I2" s="233"/>
      <c r="J2" s="234"/>
      <c r="K2" s="233" t="s">
        <v>92</v>
      </c>
      <c r="L2" s="233"/>
      <c r="M2" s="233"/>
      <c r="N2" s="233"/>
      <c r="O2" s="233"/>
      <c r="P2" s="233"/>
      <c r="Q2" s="233"/>
      <c r="R2" s="233"/>
      <c r="S2" s="234"/>
      <c r="T2" s="233" t="s">
        <v>93</v>
      </c>
      <c r="U2" s="233"/>
      <c r="V2" s="233"/>
      <c r="W2" s="233"/>
      <c r="X2" s="233"/>
      <c r="Y2" s="233"/>
      <c r="Z2" s="233"/>
      <c r="AA2" s="233"/>
      <c r="AB2" s="234"/>
    </row>
    <row r="3" spans="1:28" ht="12.75" thickBot="1">
      <c r="A3" s="258"/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5"/>
      <c r="K3" s="205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5"/>
    </row>
    <row r="4" spans="1:28" ht="12.75" thickBot="1">
      <c r="A4" s="259"/>
      <c r="B4" s="83" t="s">
        <v>0</v>
      </c>
      <c r="C4" s="84" t="s">
        <v>3</v>
      </c>
      <c r="D4" s="90" t="s">
        <v>4</v>
      </c>
      <c r="E4" s="86" t="s">
        <v>0</v>
      </c>
      <c r="F4" s="84" t="s">
        <v>3</v>
      </c>
      <c r="G4" s="85" t="s">
        <v>4</v>
      </c>
      <c r="H4" s="86" t="s">
        <v>0</v>
      </c>
      <c r="I4" s="84" t="s">
        <v>3</v>
      </c>
      <c r="J4" s="87" t="s">
        <v>4</v>
      </c>
      <c r="K4" s="83" t="s">
        <v>0</v>
      </c>
      <c r="L4" s="84" t="s">
        <v>3</v>
      </c>
      <c r="M4" s="84" t="s">
        <v>4</v>
      </c>
      <c r="N4" s="88" t="s">
        <v>0</v>
      </c>
      <c r="O4" s="89" t="s">
        <v>3</v>
      </c>
      <c r="P4" s="90" t="s">
        <v>4</v>
      </c>
      <c r="Q4" s="86" t="s">
        <v>0</v>
      </c>
      <c r="R4" s="84" t="s">
        <v>3</v>
      </c>
      <c r="S4" s="87" t="s">
        <v>4</v>
      </c>
      <c r="T4" s="83" t="s">
        <v>0</v>
      </c>
      <c r="U4" s="84" t="s">
        <v>3</v>
      </c>
      <c r="V4" s="84" t="s">
        <v>4</v>
      </c>
      <c r="W4" s="88" t="s">
        <v>0</v>
      </c>
      <c r="X4" s="89" t="s">
        <v>3</v>
      </c>
      <c r="Y4" s="90" t="s">
        <v>4</v>
      </c>
      <c r="Z4" s="86" t="s">
        <v>0</v>
      </c>
      <c r="AA4" s="84" t="s">
        <v>3</v>
      </c>
      <c r="AB4" s="87" t="s">
        <v>4</v>
      </c>
    </row>
    <row r="5" spans="1:28" ht="12.75" thickBot="1">
      <c r="A5" s="93" t="s">
        <v>90</v>
      </c>
      <c r="B5" s="100">
        <f>+B6+B7+B8+B9+B10+B11+B12+B13+B14+B15+B16+B17+B18+B19+B20+B21+B22+B23+B24+B25</f>
        <v>49179.68856103548</v>
      </c>
      <c r="C5" s="63">
        <f t="shared" ref="C5:AB5" si="0">+C6+C7+C8+C9+C10+C11+C12+C13+C14+C15+C16+C17+C18+C19+C20+C21+C22+C23+C24+C25</f>
        <v>23183.353900617029</v>
      </c>
      <c r="D5" s="101">
        <f t="shared" si="0"/>
        <v>25996.334660419161</v>
      </c>
      <c r="E5" s="63">
        <f t="shared" si="0"/>
        <v>14924.268036264029</v>
      </c>
      <c r="F5" s="63">
        <f t="shared" si="0"/>
        <v>6791.0652215616092</v>
      </c>
      <c r="G5" s="101">
        <f t="shared" si="0"/>
        <v>8133.2028147025158</v>
      </c>
      <c r="H5" s="63">
        <f t="shared" si="0"/>
        <v>34255.420524771536</v>
      </c>
      <c r="I5" s="63">
        <f t="shared" si="0"/>
        <v>16392.28867905532</v>
      </c>
      <c r="J5" s="63">
        <f t="shared" si="0"/>
        <v>17863.131845716547</v>
      </c>
      <c r="K5" s="148">
        <f t="shared" si="0"/>
        <v>50838.606700965771</v>
      </c>
      <c r="L5" s="63">
        <f t="shared" si="0"/>
        <v>23965.369554954788</v>
      </c>
      <c r="M5" s="101">
        <f t="shared" si="0"/>
        <v>26873.237146012885</v>
      </c>
      <c r="N5" s="63">
        <f t="shared" si="0"/>
        <v>15427.690072778885</v>
      </c>
      <c r="O5" s="63">
        <f t="shared" si="0"/>
        <v>7020.1398988345436</v>
      </c>
      <c r="P5" s="101">
        <f t="shared" si="0"/>
        <v>8407.5501739442134</v>
      </c>
      <c r="Q5" s="63">
        <f t="shared" si="0"/>
        <v>35410.916628187959</v>
      </c>
      <c r="R5" s="63">
        <f t="shared" si="0"/>
        <v>16945.229656120093</v>
      </c>
      <c r="S5" s="63">
        <f t="shared" si="0"/>
        <v>18465.686972068594</v>
      </c>
      <c r="T5" s="148">
        <f t="shared" si="0"/>
        <v>52548.424905505788</v>
      </c>
      <c r="U5" s="63">
        <f t="shared" si="0"/>
        <v>24771.379550164867</v>
      </c>
      <c r="V5" s="101">
        <f t="shared" si="0"/>
        <v>27777.045355340542</v>
      </c>
      <c r="W5" s="63">
        <f t="shared" si="0"/>
        <v>15946.558449632284</v>
      </c>
      <c r="X5" s="63">
        <f t="shared" si="0"/>
        <v>7256.2432025311691</v>
      </c>
      <c r="Y5" s="101">
        <f t="shared" si="0"/>
        <v>8690.3152471008125</v>
      </c>
      <c r="Z5" s="63">
        <f t="shared" si="0"/>
        <v>36601.866455873824</v>
      </c>
      <c r="AA5" s="63">
        <f t="shared" si="0"/>
        <v>17515.136347633754</v>
      </c>
      <c r="AB5" s="97">
        <f t="shared" si="0"/>
        <v>19086.730108239786</v>
      </c>
    </row>
    <row r="6" spans="1:28">
      <c r="A6" s="70" t="s">
        <v>5</v>
      </c>
      <c r="B6" s="139">
        <v>8178.6476696324044</v>
      </c>
      <c r="C6" s="139">
        <v>3984.3765859580471</v>
      </c>
      <c r="D6" s="141">
        <v>4194.271083674279</v>
      </c>
      <c r="E6" s="161">
        <v>1987.9662772203249</v>
      </c>
      <c r="F6" s="139">
        <v>966.23846362464985</v>
      </c>
      <c r="G6" s="141">
        <v>1021.7278135956025</v>
      </c>
      <c r="H6" s="139">
        <v>6190.6813924120015</v>
      </c>
      <c r="I6" s="139">
        <v>3018.1381223333246</v>
      </c>
      <c r="J6" s="142">
        <v>3172.5432700785987</v>
      </c>
      <c r="K6" s="138">
        <v>8454.5279644485563</v>
      </c>
      <c r="L6" s="139">
        <v>4118.7766764864991</v>
      </c>
      <c r="M6" s="141">
        <v>4335.7512879634614</v>
      </c>
      <c r="N6" s="161">
        <v>2055.0239064031539</v>
      </c>
      <c r="O6" s="139">
        <v>998.83140110974216</v>
      </c>
      <c r="P6" s="141">
        <v>1056.1925052933254</v>
      </c>
      <c r="Q6" s="139">
        <v>6399.5040580460627</v>
      </c>
      <c r="R6" s="139">
        <v>3119.9452753766791</v>
      </c>
      <c r="S6" s="142">
        <v>3279.5587826701349</v>
      </c>
      <c r="T6" s="138">
        <v>8738.8730077637629</v>
      </c>
      <c r="U6" s="139">
        <v>4257.3005228084021</v>
      </c>
      <c r="V6" s="141">
        <v>4481.5724849545913</v>
      </c>
      <c r="W6" s="161">
        <v>2124.139043774941</v>
      </c>
      <c r="X6" s="139">
        <v>1032.4243774658237</v>
      </c>
      <c r="Y6" s="141">
        <v>1091.7146663090587</v>
      </c>
      <c r="Z6" s="139">
        <v>6614.7339639887477</v>
      </c>
      <c r="AA6" s="139">
        <v>3224.8761453426309</v>
      </c>
      <c r="AB6" s="142">
        <v>3389.8578186455165</v>
      </c>
    </row>
    <row r="7" spans="1:28">
      <c r="A7" s="70" t="s">
        <v>6</v>
      </c>
      <c r="B7" s="139">
        <v>7143.1327142975269</v>
      </c>
      <c r="C7" s="139">
        <v>3589.9883628598391</v>
      </c>
      <c r="D7" s="141">
        <v>3553.1443514385674</v>
      </c>
      <c r="E7" s="161">
        <v>2002.2417456744201</v>
      </c>
      <c r="F7" s="139">
        <v>976.36630266358361</v>
      </c>
      <c r="G7" s="141">
        <v>1025.8754430109125</v>
      </c>
      <c r="H7" s="139">
        <v>5140.8909686235829</v>
      </c>
      <c r="I7" s="139">
        <v>2613.6220601961386</v>
      </c>
      <c r="J7" s="142">
        <v>2527.268908427533</v>
      </c>
      <c r="K7" s="138">
        <v>7384.0832526691356</v>
      </c>
      <c r="L7" s="139">
        <v>3711.0850389784227</v>
      </c>
      <c r="M7" s="141">
        <v>3672.9982136906383</v>
      </c>
      <c r="N7" s="161">
        <v>2069.7809117329616</v>
      </c>
      <c r="O7" s="139">
        <v>1009.3008701262147</v>
      </c>
      <c r="P7" s="141">
        <v>1060.4800416066737</v>
      </c>
      <c r="Q7" s="139">
        <v>5314.3023409360994</v>
      </c>
      <c r="R7" s="139">
        <v>2701.7841688521348</v>
      </c>
      <c r="S7" s="142">
        <v>2612.51817208389</v>
      </c>
      <c r="T7" s="138">
        <v>7632.4268007821565</v>
      </c>
      <c r="U7" s="139">
        <v>3835.8972864020843</v>
      </c>
      <c r="V7" s="141">
        <v>3796.5295143799967</v>
      </c>
      <c r="W7" s="161">
        <v>2139.3923608252471</v>
      </c>
      <c r="X7" s="139">
        <v>1043.2459585852457</v>
      </c>
      <c r="Y7" s="141">
        <v>1096.1464022399259</v>
      </c>
      <c r="Z7" s="139">
        <v>5493.0344399568339</v>
      </c>
      <c r="AA7" s="139">
        <v>2792.6513278167631</v>
      </c>
      <c r="AB7" s="142">
        <v>2700.3831121399953</v>
      </c>
    </row>
    <row r="8" spans="1:28" ht="17.25" customHeight="1">
      <c r="A8" s="70" t="s">
        <v>7</v>
      </c>
      <c r="B8" s="139">
        <v>7102.8345768055269</v>
      </c>
      <c r="C8" s="139">
        <v>3554.2957267954821</v>
      </c>
      <c r="D8" s="141">
        <v>3548.5388500109084</v>
      </c>
      <c r="E8" s="161">
        <v>2196.8241809930023</v>
      </c>
      <c r="F8" s="139">
        <v>1076.5359587151511</v>
      </c>
      <c r="G8" s="141">
        <v>1120.2882222779026</v>
      </c>
      <c r="H8" s="139">
        <v>4906.0103958130685</v>
      </c>
      <c r="I8" s="139">
        <v>2477.7597680801991</v>
      </c>
      <c r="J8" s="142">
        <v>2428.2506277328653</v>
      </c>
      <c r="K8" s="138">
        <v>7342.4257875106214</v>
      </c>
      <c r="L8" s="139">
        <v>3674.1884269808816</v>
      </c>
      <c r="M8" s="141">
        <v>3668.2373605296652</v>
      </c>
      <c r="N8" s="161">
        <v>2270.9269577840732</v>
      </c>
      <c r="O8" s="139">
        <v>1112.8494263773773</v>
      </c>
      <c r="P8" s="141">
        <v>1158.0775314066213</v>
      </c>
      <c r="Q8" s="139">
        <v>5071.4988297264736</v>
      </c>
      <c r="R8" s="139">
        <v>2561.3390006034297</v>
      </c>
      <c r="S8" s="142">
        <v>2510.1598291229693</v>
      </c>
      <c r="T8" s="138">
        <v>7589.3683001329982</v>
      </c>
      <c r="U8" s="139">
        <v>3797.759757255687</v>
      </c>
      <c r="V8" s="141">
        <v>3791.6085428772358</v>
      </c>
      <c r="W8" s="161">
        <v>2347.3034068168972</v>
      </c>
      <c r="X8" s="139">
        <v>1150.2770887702964</v>
      </c>
      <c r="Y8" s="141">
        <v>1197.0263180465254</v>
      </c>
      <c r="Z8" s="139">
        <v>5242.0648933160255</v>
      </c>
      <c r="AA8" s="139">
        <v>2647.4826684853151</v>
      </c>
      <c r="AB8" s="142">
        <v>2594.5822248306349</v>
      </c>
    </row>
    <row r="9" spans="1:28">
      <c r="A9" s="70" t="s">
        <v>8</v>
      </c>
      <c r="B9" s="139">
        <v>5950.8176646158809</v>
      </c>
      <c r="C9" s="139">
        <v>2927.399930672389</v>
      </c>
      <c r="D9" s="141">
        <v>3023.4177339431608</v>
      </c>
      <c r="E9" s="161">
        <v>1946.6466544066286</v>
      </c>
      <c r="F9" s="139">
        <v>960.17803270790819</v>
      </c>
      <c r="G9" s="141">
        <v>986.46862169871997</v>
      </c>
      <c r="H9" s="139">
        <v>4004.171010208901</v>
      </c>
      <c r="I9" s="139">
        <v>1967.2218979646552</v>
      </c>
      <c r="J9" s="142">
        <v>2036.9491122446343</v>
      </c>
      <c r="K9" s="138">
        <v>6151.5493011935614</v>
      </c>
      <c r="L9" s="139">
        <v>3026.1463235414817</v>
      </c>
      <c r="M9" s="141">
        <v>3125.4029776521716</v>
      </c>
      <c r="N9" s="161">
        <v>2012.3104994108639</v>
      </c>
      <c r="O9" s="139">
        <v>992.56654110698787</v>
      </c>
      <c r="P9" s="141">
        <v>1019.7439583039651</v>
      </c>
      <c r="Q9" s="139">
        <v>4139.2388017827898</v>
      </c>
      <c r="R9" s="139">
        <v>2033.5797824345832</v>
      </c>
      <c r="S9" s="142">
        <v>2105.6590193482984</v>
      </c>
      <c r="T9" s="138">
        <v>6358.4399235736064</v>
      </c>
      <c r="U9" s="139">
        <v>3127.9225209897736</v>
      </c>
      <c r="V9" s="141">
        <v>3230.5174025841184</v>
      </c>
      <c r="W9" s="161">
        <v>2079.9890875618235</v>
      </c>
      <c r="X9" s="139">
        <v>1025.9488159435434</v>
      </c>
      <c r="Y9" s="141">
        <v>1054.0402716181907</v>
      </c>
      <c r="Z9" s="139">
        <v>4278.450836012069</v>
      </c>
      <c r="AA9" s="139">
        <v>2101.9737050463259</v>
      </c>
      <c r="AB9" s="142">
        <v>2176.4771309660287</v>
      </c>
    </row>
    <row r="10" spans="1:28">
      <c r="A10" s="70" t="s">
        <v>9</v>
      </c>
      <c r="B10" s="139">
        <v>3833.5946931209969</v>
      </c>
      <c r="C10" s="139">
        <v>1808.4105267179607</v>
      </c>
      <c r="D10" s="141">
        <v>2025.1841664027165</v>
      </c>
      <c r="E10" s="161">
        <v>1290.0387796457185</v>
      </c>
      <c r="F10" s="139">
        <v>578.45574502836769</v>
      </c>
      <c r="G10" s="141">
        <v>711.58303461737535</v>
      </c>
      <c r="H10" s="139">
        <v>2543.5559134750542</v>
      </c>
      <c r="I10" s="139">
        <v>1229.9547816896177</v>
      </c>
      <c r="J10" s="142">
        <v>1313.6011317853659</v>
      </c>
      <c r="K10" s="138">
        <v>3962.9086429164618</v>
      </c>
      <c r="L10" s="139">
        <v>1869.4114219045202</v>
      </c>
      <c r="M10" s="141">
        <v>2093.4972210122855</v>
      </c>
      <c r="N10" s="161">
        <v>1333.5540762120179</v>
      </c>
      <c r="O10" s="139">
        <v>597.96808348867387</v>
      </c>
      <c r="P10" s="141">
        <v>735.58599272333925</v>
      </c>
      <c r="Q10" s="139">
        <v>2629.3545667046878</v>
      </c>
      <c r="R10" s="139">
        <v>1271.4433384158415</v>
      </c>
      <c r="S10" s="142">
        <v>1357.9112282889498</v>
      </c>
      <c r="T10" s="138">
        <v>4096.1902920467091</v>
      </c>
      <c r="U10" s="139">
        <v>1932.283988411745</v>
      </c>
      <c r="V10" s="141">
        <v>2163.906303635034</v>
      </c>
      <c r="W10" s="161">
        <v>1378.4045389647501</v>
      </c>
      <c r="X10" s="139">
        <v>618.07911290565687</v>
      </c>
      <c r="Y10" s="141">
        <v>760.32542605910248</v>
      </c>
      <c r="Z10" s="139">
        <v>2717.7857530820288</v>
      </c>
      <c r="AA10" s="139">
        <v>1314.2048755061212</v>
      </c>
      <c r="AB10" s="142">
        <v>1403.5808775759772</v>
      </c>
    </row>
    <row r="11" spans="1:28">
      <c r="A11" s="71" t="s">
        <v>10</v>
      </c>
      <c r="B11" s="139">
        <v>3127.9022465384219</v>
      </c>
      <c r="C11" s="139">
        <v>1429.056657269638</v>
      </c>
      <c r="D11" s="141">
        <v>1698.8455892686004</v>
      </c>
      <c r="E11" s="161">
        <v>1017.8936124327912</v>
      </c>
      <c r="F11" s="139">
        <v>392.31316312514764</v>
      </c>
      <c r="G11" s="141">
        <v>625.58044930766243</v>
      </c>
      <c r="H11" s="139">
        <v>2110.0086341054589</v>
      </c>
      <c r="I11" s="139">
        <v>1036.7434941445092</v>
      </c>
      <c r="J11" s="142">
        <v>1073.2651399609626</v>
      </c>
      <c r="K11" s="138">
        <v>3233.4119382124868</v>
      </c>
      <c r="L11" s="139">
        <v>1477.2612734659162</v>
      </c>
      <c r="M11" s="141">
        <v>1756.1506647467868</v>
      </c>
      <c r="N11" s="161">
        <v>1052.2289697234542</v>
      </c>
      <c r="O11" s="139">
        <v>405.54658208091172</v>
      </c>
      <c r="P11" s="141">
        <v>646.68238764253772</v>
      </c>
      <c r="Q11" s="139">
        <v>2181.1829684892241</v>
      </c>
      <c r="R11" s="139">
        <v>1071.7146913849997</v>
      </c>
      <c r="S11" s="142">
        <v>1109.4682771042442</v>
      </c>
      <c r="T11" s="138">
        <v>3342.1589506404594</v>
      </c>
      <c r="U11" s="139">
        <v>1526.9449367709897</v>
      </c>
      <c r="V11" s="141">
        <v>1815.2140138695393</v>
      </c>
      <c r="W11" s="161">
        <v>1087.6178280050779</v>
      </c>
      <c r="X11" s="139">
        <v>419.18603787694951</v>
      </c>
      <c r="Y11" s="141">
        <v>668.43179012811549</v>
      </c>
      <c r="Z11" s="139">
        <v>2254.5411226354513</v>
      </c>
      <c r="AA11" s="139">
        <v>1107.7588988940595</v>
      </c>
      <c r="AB11" s="142">
        <v>1146.7822237414614</v>
      </c>
    </row>
    <row r="12" spans="1:28">
      <c r="A12" s="71" t="s">
        <v>11</v>
      </c>
      <c r="B12" s="139">
        <v>2695.1873994813368</v>
      </c>
      <c r="C12" s="139">
        <v>1217.2212693668578</v>
      </c>
      <c r="D12" s="141">
        <v>1477.966130114479</v>
      </c>
      <c r="E12" s="161">
        <v>931.76125594173675</v>
      </c>
      <c r="F12" s="139">
        <v>371.96304779636972</v>
      </c>
      <c r="G12" s="141">
        <v>559.79820814536708</v>
      </c>
      <c r="H12" s="139">
        <v>1763.4261435395999</v>
      </c>
      <c r="I12" s="139">
        <v>845.25822157048799</v>
      </c>
      <c r="J12" s="142">
        <v>918.16792196911194</v>
      </c>
      <c r="K12" s="138">
        <v>2786.1008517282457</v>
      </c>
      <c r="L12" s="139">
        <v>1258.2803021331335</v>
      </c>
      <c r="M12" s="141">
        <v>1527.8205495951706</v>
      </c>
      <c r="N12" s="161">
        <v>963.19121604910788</v>
      </c>
      <c r="O12" s="139">
        <v>384.51002126098882</v>
      </c>
      <c r="P12" s="141">
        <v>578.68119478813185</v>
      </c>
      <c r="Q12" s="139">
        <v>1822.9096356792018</v>
      </c>
      <c r="R12" s="139">
        <v>873.77028087213671</v>
      </c>
      <c r="S12" s="142">
        <v>949.13935480701241</v>
      </c>
      <c r="T12" s="138">
        <v>2879.8037728956397</v>
      </c>
      <c r="U12" s="139">
        <v>1300.5991363146925</v>
      </c>
      <c r="V12" s="141">
        <v>1579.2046365810888</v>
      </c>
      <c r="W12" s="161">
        <v>995.58553175764246</v>
      </c>
      <c r="X12" s="139">
        <v>397.44196957433655</v>
      </c>
      <c r="Y12" s="141">
        <v>598.14356218330454</v>
      </c>
      <c r="Z12" s="139">
        <v>1884.2182411381389</v>
      </c>
      <c r="AA12" s="139">
        <v>903.15716674035457</v>
      </c>
      <c r="AB12" s="142">
        <v>981.06107439778293</v>
      </c>
    </row>
    <row r="13" spans="1:28">
      <c r="A13" s="71" t="s">
        <v>12</v>
      </c>
      <c r="B13" s="139">
        <v>2260.200712357343</v>
      </c>
      <c r="C13" s="139">
        <v>1003.4351987064857</v>
      </c>
      <c r="D13" s="141">
        <v>1256.7655136508572</v>
      </c>
      <c r="E13" s="161">
        <v>764.93397536861414</v>
      </c>
      <c r="F13" s="139">
        <v>311.41092373649559</v>
      </c>
      <c r="G13" s="141">
        <v>453.52305163211855</v>
      </c>
      <c r="H13" s="139">
        <v>1495.2667369887288</v>
      </c>
      <c r="I13" s="139">
        <v>692.02427496999019</v>
      </c>
      <c r="J13" s="142">
        <v>803.24246201873859</v>
      </c>
      <c r="K13" s="138">
        <v>2336.4412919812307</v>
      </c>
      <c r="L13" s="139">
        <v>1037.2828480528851</v>
      </c>
      <c r="M13" s="141">
        <v>1299.158443928324</v>
      </c>
      <c r="N13" s="161">
        <v>790.73655535066348</v>
      </c>
      <c r="O13" s="139">
        <v>321.91536663710622</v>
      </c>
      <c r="P13" s="141">
        <v>468.82118871356539</v>
      </c>
      <c r="Q13" s="139">
        <v>1545.7047366305665</v>
      </c>
      <c r="R13" s="139">
        <v>715.36748141578778</v>
      </c>
      <c r="S13" s="142">
        <v>830.33725521475071</v>
      </c>
      <c r="T13" s="138">
        <v>2415.0211373802149</v>
      </c>
      <c r="U13" s="139">
        <v>1072.1690342005381</v>
      </c>
      <c r="V13" s="141">
        <v>1342.8521031797384</v>
      </c>
      <c r="W13" s="161">
        <v>817.3308277957301</v>
      </c>
      <c r="X13" s="139">
        <v>332.74211406223503</v>
      </c>
      <c r="Y13" s="141">
        <v>484.58871373349371</v>
      </c>
      <c r="Z13" s="139">
        <v>1597.6903095845464</v>
      </c>
      <c r="AA13" s="139">
        <v>739.42692013830174</v>
      </c>
      <c r="AB13" s="142">
        <v>858.26338944624331</v>
      </c>
    </row>
    <row r="14" spans="1:28">
      <c r="A14" s="71" t="s">
        <v>13</v>
      </c>
      <c r="B14" s="139">
        <v>1517.5103743984785</v>
      </c>
      <c r="C14" s="139">
        <v>671.01639519411549</v>
      </c>
      <c r="D14" s="141">
        <v>846.49397920436297</v>
      </c>
      <c r="E14" s="161">
        <v>568.44851158249196</v>
      </c>
      <c r="F14" s="139">
        <v>228.61516226687175</v>
      </c>
      <c r="G14" s="141">
        <v>339.83334931562018</v>
      </c>
      <c r="H14" s="139">
        <v>949.0618628159865</v>
      </c>
      <c r="I14" s="139">
        <v>442.40123292724371</v>
      </c>
      <c r="J14" s="142">
        <v>506.66062988874279</v>
      </c>
      <c r="K14" s="138">
        <v>1568.6986913903611</v>
      </c>
      <c r="L14" s="139">
        <v>693.65096858709478</v>
      </c>
      <c r="M14" s="141">
        <v>875.0477228032363</v>
      </c>
      <c r="N14" s="161">
        <v>587.62328830582896</v>
      </c>
      <c r="O14" s="139">
        <v>236.32675725343043</v>
      </c>
      <c r="P14" s="141">
        <v>351.29653105239805</v>
      </c>
      <c r="Q14" s="139">
        <v>981.07540308450211</v>
      </c>
      <c r="R14" s="139">
        <v>457.32421133366859</v>
      </c>
      <c r="S14" s="142">
        <v>523.75119175084956</v>
      </c>
      <c r="T14" s="138">
        <v>1621.4576034461347</v>
      </c>
      <c r="U14" s="139">
        <v>716.98003149124611</v>
      </c>
      <c r="V14" s="141">
        <v>904.47757195488725</v>
      </c>
      <c r="W14" s="161">
        <v>607.38639868503333</v>
      </c>
      <c r="X14" s="139">
        <v>244.2749646885452</v>
      </c>
      <c r="Y14" s="141">
        <v>363.11143399648677</v>
      </c>
      <c r="Z14" s="139">
        <v>1014.0712047611</v>
      </c>
      <c r="AA14" s="139">
        <v>472.70506680269955</v>
      </c>
      <c r="AB14" s="142">
        <v>541.36613795839912</v>
      </c>
    </row>
    <row r="15" spans="1:28">
      <c r="A15" s="71" t="s">
        <v>14</v>
      </c>
      <c r="B15" s="139">
        <v>1739.5877791492758</v>
      </c>
      <c r="C15" s="139">
        <v>678.01856541519726</v>
      </c>
      <c r="D15" s="141">
        <v>1061.5692137340166</v>
      </c>
      <c r="E15" s="161">
        <v>638.42624042744853</v>
      </c>
      <c r="F15" s="139">
        <v>268.48545382317133</v>
      </c>
      <c r="G15" s="141">
        <v>369.94078660427743</v>
      </c>
      <c r="H15" s="139">
        <v>1101.1615387217689</v>
      </c>
      <c r="I15" s="139">
        <v>409.53311159202616</v>
      </c>
      <c r="J15" s="142">
        <v>691.62842712973588</v>
      </c>
      <c r="K15" s="138">
        <v>1798.2671609686308</v>
      </c>
      <c r="L15" s="139">
        <v>700.88933443158612</v>
      </c>
      <c r="M15" s="141">
        <v>1097.3778265370452</v>
      </c>
      <c r="N15" s="161">
        <v>659.96149008521616</v>
      </c>
      <c r="O15" s="139">
        <v>277.54194447382173</v>
      </c>
      <c r="P15" s="141">
        <v>382.41954561139477</v>
      </c>
      <c r="Q15" s="139">
        <v>1138.3056708834151</v>
      </c>
      <c r="R15" s="139">
        <v>423.34738995776473</v>
      </c>
      <c r="S15" s="142">
        <v>714.9582809256508</v>
      </c>
      <c r="T15" s="138">
        <v>1858.7469838429038</v>
      </c>
      <c r="U15" s="139">
        <v>724.46184007531269</v>
      </c>
      <c r="V15" s="141">
        <v>1134.2851437675495</v>
      </c>
      <c r="W15" s="161">
        <v>682.15749904901827</v>
      </c>
      <c r="X15" s="139">
        <v>286.87631258457009</v>
      </c>
      <c r="Y15" s="141">
        <v>395.28118646445421</v>
      </c>
      <c r="Z15" s="139">
        <v>1176.5894847938475</v>
      </c>
      <c r="AA15" s="139">
        <v>437.58552749075045</v>
      </c>
      <c r="AB15" s="142">
        <v>739.0039573031014</v>
      </c>
    </row>
    <row r="16" spans="1:28">
      <c r="A16" s="71" t="s">
        <v>15</v>
      </c>
      <c r="B16" s="139">
        <v>1440.1708214293985</v>
      </c>
      <c r="C16" s="139">
        <v>638.42624042744853</v>
      </c>
      <c r="D16" s="141">
        <v>801.74458100191202</v>
      </c>
      <c r="E16" s="161">
        <v>449.12543657977488</v>
      </c>
      <c r="F16" s="139">
        <v>202.9106655622125</v>
      </c>
      <c r="G16" s="141">
        <v>246.21477101756267</v>
      </c>
      <c r="H16" s="139">
        <v>991.04538484958562</v>
      </c>
      <c r="I16" s="139">
        <v>435.51557486523626</v>
      </c>
      <c r="J16" s="142">
        <v>555.52980998434964</v>
      </c>
      <c r="K16" s="138">
        <v>1488.750338099208</v>
      </c>
      <c r="L16" s="139">
        <v>659.96149008521616</v>
      </c>
      <c r="M16" s="141">
        <v>828.78884801399226</v>
      </c>
      <c r="N16" s="161">
        <v>464.2752343041347</v>
      </c>
      <c r="O16" s="139">
        <v>209.75520227514644</v>
      </c>
      <c r="P16" s="141">
        <v>254.5200320289886</v>
      </c>
      <c r="Q16" s="139">
        <v>1024.4751037950737</v>
      </c>
      <c r="R16" s="139">
        <v>450.20628781007002</v>
      </c>
      <c r="S16" s="142">
        <v>574.26881598500404</v>
      </c>
      <c r="T16" s="138">
        <v>1538.8204048315247</v>
      </c>
      <c r="U16" s="139">
        <v>682.15749904901827</v>
      </c>
      <c r="V16" s="141">
        <v>856.66290578248277</v>
      </c>
      <c r="W16" s="161">
        <v>479.88986851704669</v>
      </c>
      <c r="X16" s="139">
        <v>216.80974775976694</v>
      </c>
      <c r="Y16" s="141">
        <v>263.08012075727845</v>
      </c>
      <c r="Z16" s="139">
        <v>1058.930536314456</v>
      </c>
      <c r="AA16" s="139">
        <v>465.34775128925736</v>
      </c>
      <c r="AB16" s="142">
        <v>593.58278502521432</v>
      </c>
    </row>
    <row r="17" spans="1:28">
      <c r="A17" s="71" t="s">
        <v>16</v>
      </c>
      <c r="B17" s="139">
        <v>1336.2409683365486</v>
      </c>
      <c r="C17" s="139">
        <v>553.05528967261534</v>
      </c>
      <c r="D17" s="141">
        <v>783.18567866390481</v>
      </c>
      <c r="E17" s="161">
        <v>376.12708738361317</v>
      </c>
      <c r="F17" s="139">
        <v>157.13203979512804</v>
      </c>
      <c r="G17" s="141">
        <v>218.99504758848542</v>
      </c>
      <c r="H17" s="139">
        <v>960.11388095290692</v>
      </c>
      <c r="I17" s="139">
        <v>395.92324987748754</v>
      </c>
      <c r="J17" s="142">
        <v>564.19063107541967</v>
      </c>
      <c r="K17" s="138">
        <v>1381.3147466899868</v>
      </c>
      <c r="L17" s="139">
        <v>571.71082571335592</v>
      </c>
      <c r="M17" s="141">
        <v>809.60392097663134</v>
      </c>
      <c r="N17" s="161">
        <v>388.81452129051507</v>
      </c>
      <c r="O17" s="139">
        <v>162.43238224965617</v>
      </c>
      <c r="P17" s="141">
        <v>226.38213904085924</v>
      </c>
      <c r="Q17" s="139">
        <v>992.50022539947213</v>
      </c>
      <c r="R17" s="139">
        <v>409.27844346370006</v>
      </c>
      <c r="S17" s="142">
        <v>583.22178193577247</v>
      </c>
      <c r="T17" s="138">
        <v>1427.7715096374923</v>
      </c>
      <c r="U17" s="139">
        <v>590.93876371107092</v>
      </c>
      <c r="V17" s="141">
        <v>836.83274592640726</v>
      </c>
      <c r="W17" s="161">
        <v>401.891239749813</v>
      </c>
      <c r="X17" s="139">
        <v>167.8953534481119</v>
      </c>
      <c r="Y17" s="141">
        <v>233.99588630169978</v>
      </c>
      <c r="Z17" s="139">
        <v>1025.8802698876607</v>
      </c>
      <c r="AA17" s="139">
        <v>423.04341026296112</v>
      </c>
      <c r="AB17" s="142">
        <v>602.83685962471623</v>
      </c>
    </row>
    <row r="18" spans="1:28">
      <c r="A18" s="71" t="s">
        <v>17</v>
      </c>
      <c r="B18" s="139">
        <v>1102.3987988776362</v>
      </c>
      <c r="C18" s="139">
        <v>480.05694047645358</v>
      </c>
      <c r="D18" s="141">
        <v>622.34185840117561</v>
      </c>
      <c r="E18" s="161">
        <v>291.99339678464713</v>
      </c>
      <c r="F18" s="139">
        <v>120.01423511911361</v>
      </c>
      <c r="G18" s="141">
        <v>171.97916166553381</v>
      </c>
      <c r="H18" s="139">
        <v>810.40540209298206</v>
      </c>
      <c r="I18" s="139">
        <v>360.04270535734025</v>
      </c>
      <c r="J18" s="142">
        <v>450.36269673564203</v>
      </c>
      <c r="K18" s="138">
        <v>1139.5846660192392</v>
      </c>
      <c r="L18" s="139">
        <v>496.25011269973623</v>
      </c>
      <c r="M18" s="141">
        <v>643.33455331950336</v>
      </c>
      <c r="N18" s="161">
        <v>301.8428520544789</v>
      </c>
      <c r="O18" s="139">
        <v>124.06252817493431</v>
      </c>
      <c r="P18" s="141">
        <v>177.78032387954491</v>
      </c>
      <c r="Q18" s="139">
        <v>837.74181396476069</v>
      </c>
      <c r="R18" s="139">
        <v>372.18758452480228</v>
      </c>
      <c r="S18" s="142">
        <v>465.55422943995876</v>
      </c>
      <c r="T18" s="138">
        <v>1177.9114954509193</v>
      </c>
      <c r="U18" s="139">
        <v>512.94013494384058</v>
      </c>
      <c r="V18" s="141">
        <v>664.97136050708616</v>
      </c>
      <c r="W18" s="161">
        <v>311.99451506893348</v>
      </c>
      <c r="X18" s="139">
        <v>128.23503373595918</v>
      </c>
      <c r="Y18" s="141">
        <v>183.759481332973</v>
      </c>
      <c r="Z18" s="139">
        <v>865.91698038198467</v>
      </c>
      <c r="AA18" s="139">
        <v>384.70510120788015</v>
      </c>
      <c r="AB18" s="142">
        <v>481.21187917411845</v>
      </c>
    </row>
    <row r="19" spans="1:28">
      <c r="A19" s="71" t="s">
        <v>18</v>
      </c>
      <c r="B19" s="139">
        <v>724.30783105544765</v>
      </c>
      <c r="C19" s="139">
        <v>278.87113355967648</v>
      </c>
      <c r="D19" s="141">
        <v>445.43669749577219</v>
      </c>
      <c r="E19" s="161">
        <v>190.54091026023178</v>
      </c>
      <c r="F19" s="139">
        <v>76.973480303802319</v>
      </c>
      <c r="G19" s="141">
        <v>113.56742995642982</v>
      </c>
      <c r="H19" s="139">
        <v>533.76692079521695</v>
      </c>
      <c r="I19" s="139">
        <v>201.89765325587467</v>
      </c>
      <c r="J19" s="142">
        <v>331.8692675393433</v>
      </c>
      <c r="K19" s="138">
        <v>748.7400191190444</v>
      </c>
      <c r="L19" s="139">
        <v>288.27795161203625</v>
      </c>
      <c r="M19" s="141">
        <v>460.46206750700816</v>
      </c>
      <c r="N19" s="161">
        <v>196.96819318288451</v>
      </c>
      <c r="O19" s="139">
        <v>79.569932345403657</v>
      </c>
      <c r="P19" s="141">
        <v>117.39826083748082</v>
      </c>
      <c r="Q19" s="139">
        <v>551.77182593615987</v>
      </c>
      <c r="R19" s="139">
        <v>208.70801926663259</v>
      </c>
      <c r="S19" s="142">
        <v>343.06380666952731</v>
      </c>
      <c r="T19" s="138">
        <v>773.92185234052783</v>
      </c>
      <c r="U19" s="139">
        <v>297.97339611019919</v>
      </c>
      <c r="V19" s="141">
        <v>475.94845623031796</v>
      </c>
      <c r="W19" s="161">
        <v>203.59268241013621</v>
      </c>
      <c r="X19" s="139">
        <v>82.246050510055227</v>
      </c>
      <c r="Y19" s="141">
        <v>121.34663190008132</v>
      </c>
      <c r="Z19" s="139">
        <v>570.32916993038339</v>
      </c>
      <c r="AA19" s="139">
        <v>215.7273456001443</v>
      </c>
      <c r="AB19" s="142">
        <v>354.60182433023698</v>
      </c>
    </row>
    <row r="20" spans="1:28">
      <c r="A20" s="71" t="s">
        <v>19</v>
      </c>
      <c r="B20" s="139">
        <v>475.72134548415323</v>
      </c>
      <c r="C20" s="139">
        <v>165.30370360324758</v>
      </c>
      <c r="D20" s="141">
        <v>310.41764188090673</v>
      </c>
      <c r="E20" s="161">
        <v>117.35301095497749</v>
      </c>
      <c r="F20" s="139">
        <v>46.688832315421038</v>
      </c>
      <c r="G20" s="141">
        <v>70.664178639556198</v>
      </c>
      <c r="H20" s="139">
        <v>358.36833452917671</v>
      </c>
      <c r="I20" s="139">
        <v>118.61487128782672</v>
      </c>
      <c r="J20" s="142">
        <v>239.75346324135097</v>
      </c>
      <c r="K20" s="138">
        <v>491.76827039700305</v>
      </c>
      <c r="L20" s="139">
        <v>170.87969077455543</v>
      </c>
      <c r="M20" s="141">
        <v>320.88857962244759</v>
      </c>
      <c r="N20" s="161">
        <v>121.31153619873018</v>
      </c>
      <c r="O20" s="139">
        <v>48.263729455408772</v>
      </c>
      <c r="P20" s="141">
        <v>73.047806743321388</v>
      </c>
      <c r="Q20" s="139">
        <v>370.45673419827284</v>
      </c>
      <c r="R20" s="139">
        <v>122.61596131914663</v>
      </c>
      <c r="S20" s="142">
        <v>247.84077287912621</v>
      </c>
      <c r="T20" s="138">
        <v>508.30755807033955</v>
      </c>
      <c r="U20" s="139">
        <v>176.62676421011821</v>
      </c>
      <c r="V20" s="141">
        <v>331.68079386022168</v>
      </c>
      <c r="W20" s="161">
        <v>125.39151963008402</v>
      </c>
      <c r="X20" s="139">
        <v>49.886948670033554</v>
      </c>
      <c r="Y20" s="141">
        <v>75.504570960050728</v>
      </c>
      <c r="Z20" s="139">
        <v>382.91603844025587</v>
      </c>
      <c r="AA20" s="139">
        <v>126.73981554008492</v>
      </c>
      <c r="AB20" s="142">
        <v>256.1762229001713</v>
      </c>
    </row>
    <row r="21" spans="1:28">
      <c r="A21" s="71" t="s">
        <v>20</v>
      </c>
      <c r="B21" s="139">
        <v>259.94322856693833</v>
      </c>
      <c r="C21" s="139">
        <v>102.2106869607868</v>
      </c>
      <c r="D21" s="141">
        <v>157.73254160615232</v>
      </c>
      <c r="E21" s="161">
        <v>70.664178639556198</v>
      </c>
      <c r="F21" s="139">
        <v>27.760927322682779</v>
      </c>
      <c r="G21" s="141">
        <v>42.903251316873387</v>
      </c>
      <c r="H21" s="139">
        <v>189.27904992738257</v>
      </c>
      <c r="I21" s="139">
        <v>74.44975963810387</v>
      </c>
      <c r="J21" s="142">
        <v>114.82929028927904</v>
      </c>
      <c r="K21" s="138">
        <v>268.71157480578944</v>
      </c>
      <c r="L21" s="139">
        <v>105.65843475373273</v>
      </c>
      <c r="M21" s="141">
        <v>163.0531400520567</v>
      </c>
      <c r="N21" s="161">
        <v>73.047806743321388</v>
      </c>
      <c r="O21" s="139">
        <v>28.697352649161964</v>
      </c>
      <c r="P21" s="141">
        <v>44.35045409415941</v>
      </c>
      <c r="Q21" s="139">
        <v>195.66376806246805</v>
      </c>
      <c r="R21" s="139">
        <v>76.96108210457075</v>
      </c>
      <c r="S21" s="142">
        <v>118.70268595789727</v>
      </c>
      <c r="T21" s="138">
        <v>277.74895746018569</v>
      </c>
      <c r="U21" s="139">
        <v>109.21196871007322</v>
      </c>
      <c r="V21" s="141">
        <v>168.53698875011281</v>
      </c>
      <c r="W21" s="161">
        <v>75.504570960050728</v>
      </c>
      <c r="X21" s="139">
        <v>29.662510020019951</v>
      </c>
      <c r="Y21" s="141">
        <v>45.842060940030834</v>
      </c>
      <c r="Z21" s="139">
        <v>202.24438650013531</v>
      </c>
      <c r="AA21" s="139">
        <v>79.549458690053427</v>
      </c>
      <c r="AB21" s="142">
        <v>122.69492781008222</v>
      </c>
    </row>
    <row r="22" spans="1:28">
      <c r="A22" s="29" t="s">
        <v>29</v>
      </c>
      <c r="B22" s="140">
        <v>209.46881525296993</v>
      </c>
      <c r="C22" s="139">
        <v>71.926038972405422</v>
      </c>
      <c r="D22" s="141">
        <v>137.54277628056496</v>
      </c>
      <c r="E22" s="161">
        <v>66.878597641008525</v>
      </c>
      <c r="F22" s="139">
        <v>23.975346324135128</v>
      </c>
      <c r="G22" s="141">
        <v>42.903251316873387</v>
      </c>
      <c r="H22" s="139">
        <v>142.5902176119618</v>
      </c>
      <c r="I22" s="139">
        <v>47.950692648270255</v>
      </c>
      <c r="J22" s="142">
        <v>94.639524963691457</v>
      </c>
      <c r="K22" s="138">
        <v>216.53456998913131</v>
      </c>
      <c r="L22" s="139">
        <v>74.352231863737842</v>
      </c>
      <c r="M22" s="141">
        <v>142.18233812539344</v>
      </c>
      <c r="N22" s="161">
        <v>69.134531382072026</v>
      </c>
      <c r="O22" s="139">
        <v>24.784077287912602</v>
      </c>
      <c r="P22" s="141">
        <v>44.35045409415941</v>
      </c>
      <c r="Q22" s="139">
        <v>147.40003860705926</v>
      </c>
      <c r="R22" s="139">
        <v>49.568154575825226</v>
      </c>
      <c r="S22" s="142">
        <v>97.831884031234011</v>
      </c>
      <c r="T22" s="138">
        <v>223.8171210601497</v>
      </c>
      <c r="U22" s="139">
        <v>76.852866870051628</v>
      </c>
      <c r="V22" s="141">
        <v>146.96425419009842</v>
      </c>
      <c r="W22" s="161">
        <v>71.459683230048029</v>
      </c>
      <c r="X22" s="139">
        <v>25.617622290017231</v>
      </c>
      <c r="Y22" s="141">
        <v>45.842060940030834</v>
      </c>
      <c r="Z22" s="139">
        <v>152.35743783010201</v>
      </c>
      <c r="AA22" s="139">
        <v>51.235244580034461</v>
      </c>
      <c r="AB22" s="142">
        <v>101.12219325006782</v>
      </c>
    </row>
    <row r="23" spans="1:28">
      <c r="A23" s="29" t="s">
        <v>30</v>
      </c>
      <c r="B23" s="140">
        <v>44.165111649722604</v>
      </c>
      <c r="C23" s="139">
        <v>18.927904992738259</v>
      </c>
      <c r="D23" s="141">
        <v>25.237206656984345</v>
      </c>
      <c r="E23" s="161">
        <v>6.3093016642460871</v>
      </c>
      <c r="F23" s="139">
        <v>3.7855809985476525</v>
      </c>
      <c r="G23" s="141">
        <v>2.523720665698435</v>
      </c>
      <c r="H23" s="139">
        <v>37.855809985476519</v>
      </c>
      <c r="I23" s="139">
        <v>15.142323994190606</v>
      </c>
      <c r="J23" s="142">
        <v>22.713485991285911</v>
      </c>
      <c r="K23" s="138">
        <v>45.654879214575864</v>
      </c>
      <c r="L23" s="139">
        <v>19.566376806246787</v>
      </c>
      <c r="M23" s="141">
        <v>26.088502408329056</v>
      </c>
      <c r="N23" s="161">
        <v>6.5221256020822604</v>
      </c>
      <c r="O23" s="139">
        <v>3.9132753612493563</v>
      </c>
      <c r="P23" s="141">
        <v>2.6088502408329042</v>
      </c>
      <c r="Q23" s="139">
        <v>39.132753612493595</v>
      </c>
      <c r="R23" s="139">
        <v>15.653101444997425</v>
      </c>
      <c r="S23" s="142">
        <v>23.479652167496148</v>
      </c>
      <c r="T23" s="138">
        <v>47.190356850031741</v>
      </c>
      <c r="U23" s="139">
        <v>20.224438650013603</v>
      </c>
      <c r="V23" s="141">
        <v>26.965918200018137</v>
      </c>
      <c r="W23" s="161">
        <v>6.7414795500045344</v>
      </c>
      <c r="X23" s="139">
        <v>4.0448877300027206</v>
      </c>
      <c r="Y23" s="141">
        <v>2.6965918200018137</v>
      </c>
      <c r="Z23" s="139">
        <v>40.448877300027206</v>
      </c>
      <c r="AA23" s="139">
        <v>16.179550920010882</v>
      </c>
      <c r="AB23" s="142">
        <v>24.269326380016324</v>
      </c>
    </row>
    <row r="24" spans="1:28">
      <c r="A24" s="29" t="s">
        <v>32</v>
      </c>
      <c r="B24" s="140">
        <v>26.499066989833562</v>
      </c>
      <c r="C24" s="139">
        <v>8.8330223299445212</v>
      </c>
      <c r="D24" s="141">
        <v>17.666044659889042</v>
      </c>
      <c r="E24" s="161">
        <v>6.3093016642460871</v>
      </c>
      <c r="F24" s="139">
        <v>1.2618603328492175</v>
      </c>
      <c r="G24" s="141">
        <v>5.04744133139687</v>
      </c>
      <c r="H24" s="139">
        <v>20.189765325587476</v>
      </c>
      <c r="I24" s="139">
        <v>7.5711619970953041</v>
      </c>
      <c r="J24" s="142">
        <v>12.618603328492172</v>
      </c>
      <c r="K24" s="138">
        <v>27.39292752874551</v>
      </c>
      <c r="L24" s="139">
        <v>9.1309758429151646</v>
      </c>
      <c r="M24" s="141">
        <v>18.261951685830333</v>
      </c>
      <c r="N24" s="161">
        <v>6.5221256020822604</v>
      </c>
      <c r="O24" s="139">
        <v>1.3044251204164521</v>
      </c>
      <c r="P24" s="141">
        <v>5.2177004816658084</v>
      </c>
      <c r="Q24" s="139">
        <v>20.870801926663241</v>
      </c>
      <c r="R24" s="139">
        <v>7.8265507224987125</v>
      </c>
      <c r="S24" s="142">
        <v>13.044251204164521</v>
      </c>
      <c r="T24" s="138">
        <v>28.314214110019044</v>
      </c>
      <c r="U24" s="139">
        <v>9.4380713700063481</v>
      </c>
      <c r="V24" s="141">
        <v>18.876142740012696</v>
      </c>
      <c r="W24" s="161">
        <v>6.7414795500045344</v>
      </c>
      <c r="X24" s="139">
        <v>1.3482959100009069</v>
      </c>
      <c r="Y24" s="141">
        <v>5.3931836400036275</v>
      </c>
      <c r="Z24" s="139">
        <v>21.57273456001451</v>
      </c>
      <c r="AA24" s="139">
        <v>8.0897754600054412</v>
      </c>
      <c r="AB24" s="142">
        <v>13.482959100009069</v>
      </c>
    </row>
    <row r="25" spans="1:28" ht="12.75" thickBot="1">
      <c r="A25" s="34" t="s">
        <v>31</v>
      </c>
      <c r="B25" s="145">
        <v>11.356742995642955</v>
      </c>
      <c r="C25" s="144">
        <v>2.523720665698435</v>
      </c>
      <c r="D25" s="146">
        <v>8.8330223299445212</v>
      </c>
      <c r="E25" s="144">
        <v>3.7855809985476525</v>
      </c>
      <c r="F25" s="178">
        <v>0</v>
      </c>
      <c r="G25" s="146">
        <v>3.7855809985476525</v>
      </c>
      <c r="H25" s="144">
        <v>7.5711619970953041</v>
      </c>
      <c r="I25" s="144">
        <v>2.523720665698435</v>
      </c>
      <c r="J25" s="142">
        <v>5.04744133139687</v>
      </c>
      <c r="K25" s="143">
        <v>11.739826083748069</v>
      </c>
      <c r="L25" s="144">
        <v>2.6088502408329042</v>
      </c>
      <c r="M25" s="146">
        <v>9.1309758429151646</v>
      </c>
      <c r="N25" s="144">
        <v>3.9132753612493563</v>
      </c>
      <c r="O25" s="178">
        <v>0</v>
      </c>
      <c r="P25" s="146">
        <v>3.9132753612493563</v>
      </c>
      <c r="Q25" s="144">
        <v>7.8265507224987125</v>
      </c>
      <c r="R25" s="144">
        <v>2.6088502408329042</v>
      </c>
      <c r="S25" s="142">
        <v>5.2177004816658084</v>
      </c>
      <c r="T25" s="143">
        <v>12.134663190008162</v>
      </c>
      <c r="U25" s="144">
        <v>2.6965918200018137</v>
      </c>
      <c r="V25" s="146">
        <v>9.4380713700063481</v>
      </c>
      <c r="W25" s="144">
        <v>4.0448877300027206</v>
      </c>
      <c r="X25" s="178">
        <v>0</v>
      </c>
      <c r="Y25" s="146">
        <v>4.0448877300027206</v>
      </c>
      <c r="Z25" s="144">
        <v>8.0897754600054412</v>
      </c>
      <c r="AA25" s="144">
        <v>2.6965918200018137</v>
      </c>
      <c r="AB25" s="147">
        <v>5.3931836400036275</v>
      </c>
    </row>
    <row r="26" spans="1:28">
      <c r="A26" s="172" t="s">
        <v>72</v>
      </c>
      <c r="B26" s="176">
        <v>26217.318189936726</v>
      </c>
      <c r="C26" s="197">
        <v>13018.153875690408</v>
      </c>
      <c r="D26" s="185">
        <v>13199.164314239428</v>
      </c>
      <c r="E26" s="197">
        <v>7432.9775082347087</v>
      </c>
      <c r="F26" s="197">
        <v>3648.9717916963791</v>
      </c>
      <c r="G26" s="185">
        <v>3784.0057165387366</v>
      </c>
      <c r="H26" s="197">
        <v>18784.340681697151</v>
      </c>
      <c r="I26" s="197">
        <v>9369.1820839948832</v>
      </c>
      <c r="J26" s="181">
        <v>9415.1585977016148</v>
      </c>
      <c r="K26" s="197">
        <v>27101.674842006822</v>
      </c>
      <c r="L26" s="197">
        <v>13457.279300123724</v>
      </c>
      <c r="M26" s="185">
        <v>13644.395541877604</v>
      </c>
      <c r="N26" s="197">
        <v>7683.7050256897037</v>
      </c>
      <c r="O26" s="197">
        <v>3772.0580835062583</v>
      </c>
      <c r="P26" s="185">
        <v>3911.6469421837332</v>
      </c>
      <c r="Q26" s="197">
        <v>19417.969816313078</v>
      </c>
      <c r="R26" s="197">
        <v>9685.2212166173558</v>
      </c>
      <c r="S26" s="181">
        <v>9732.7485996937321</v>
      </c>
      <c r="T26" s="197">
        <v>28013.165931648222</v>
      </c>
      <c r="U26" s="197">
        <v>13909.87827212658</v>
      </c>
      <c r="V26" s="185">
        <v>14103.287659528525</v>
      </c>
      <c r="W26" s="197">
        <v>7942.1255368678076</v>
      </c>
      <c r="X26" s="197">
        <v>3898.9209933748789</v>
      </c>
      <c r="Y26" s="185">
        <v>4043.2045434926708</v>
      </c>
      <c r="Z26" s="197">
        <v>20071.040394785359</v>
      </c>
      <c r="AA26" s="197">
        <v>10010.957278751821</v>
      </c>
      <c r="AB26" s="181">
        <v>10060.083116035988</v>
      </c>
    </row>
    <row r="27" spans="1:28">
      <c r="A27" s="172" t="s">
        <v>22</v>
      </c>
      <c r="B27" s="176">
        <v>1121.35077391245</v>
      </c>
      <c r="C27" s="168">
        <v>522.38257255656413</v>
      </c>
      <c r="D27" s="185">
        <v>598.96820135588541</v>
      </c>
      <c r="E27" s="168">
        <v>369.21131495792162</v>
      </c>
      <c r="F27" s="168">
        <v>169.17422481044068</v>
      </c>
      <c r="G27" s="185">
        <v>200.0370901474806</v>
      </c>
      <c r="H27" s="168">
        <v>752.13945895452798</v>
      </c>
      <c r="I27" s="168">
        <v>353.20834774612314</v>
      </c>
      <c r="J27" s="182">
        <v>398.9311112084045</v>
      </c>
      <c r="K27" s="168">
        <v>1159.1759247927916</v>
      </c>
      <c r="L27" s="168">
        <v>540.00346343558465</v>
      </c>
      <c r="M27" s="185">
        <v>619.17246135721393</v>
      </c>
      <c r="N27" s="168">
        <v>381.66546759232608</v>
      </c>
      <c r="O27" s="168">
        <v>174.88077152837096</v>
      </c>
      <c r="P27" s="185">
        <v>206.78469606395214</v>
      </c>
      <c r="Q27" s="168">
        <v>777.5104572004725</v>
      </c>
      <c r="R27" s="168">
        <v>365.12269190720951</v>
      </c>
      <c r="S27" s="182">
        <v>412.38776529325685</v>
      </c>
      <c r="T27" s="168">
        <v>1198.1616529055113</v>
      </c>
      <c r="U27" s="168">
        <v>558.16501057880873</v>
      </c>
      <c r="V27" s="185">
        <v>639.99664232668658</v>
      </c>
      <c r="W27" s="168">
        <v>394.50174708305303</v>
      </c>
      <c r="X27" s="168">
        <v>180.7624104281482</v>
      </c>
      <c r="Y27" s="185">
        <v>213.73933665490495</v>
      </c>
      <c r="Z27" s="168">
        <v>803.65990582244228</v>
      </c>
      <c r="AA27" s="168">
        <v>377.40260015066065</v>
      </c>
      <c r="AB27" s="182">
        <v>426.25730567178175</v>
      </c>
    </row>
    <row r="28" spans="1:28" ht="12.75" thickBot="1">
      <c r="A28" s="180" t="s">
        <v>21</v>
      </c>
      <c r="B28" s="157">
        <v>22962.370371101919</v>
      </c>
      <c r="C28" s="128">
        <v>10165.200024925431</v>
      </c>
      <c r="D28" s="154">
        <v>12797.170346178031</v>
      </c>
      <c r="E28" s="128">
        <v>7491.2905280299274</v>
      </c>
      <c r="F28" s="128">
        <v>3142.0934298653465</v>
      </c>
      <c r="G28" s="154">
        <v>4349.1970981640152</v>
      </c>
      <c r="H28" s="128">
        <v>15471.07984307325</v>
      </c>
      <c r="I28" s="128">
        <v>7023.106595060498</v>
      </c>
      <c r="J28" s="130">
        <v>8447.9732480151433</v>
      </c>
      <c r="K28" s="128">
        <v>23736.931858963409</v>
      </c>
      <c r="L28" s="128">
        <v>10508.090254830944</v>
      </c>
      <c r="M28" s="154">
        <v>13228.841604134815</v>
      </c>
      <c r="N28" s="128">
        <v>7743.9850470895499</v>
      </c>
      <c r="O28" s="128">
        <v>3248.0818153282999</v>
      </c>
      <c r="P28" s="154">
        <v>4495.9032317604861</v>
      </c>
      <c r="Q28" s="128">
        <v>15992.946811875981</v>
      </c>
      <c r="R28" s="128">
        <v>7260.0084395027843</v>
      </c>
      <c r="S28" s="130">
        <v>8732.9383723750034</v>
      </c>
      <c r="T28" s="128">
        <v>24535.258973850996</v>
      </c>
      <c r="U28" s="128">
        <v>10861.501278038635</v>
      </c>
      <c r="V28" s="154">
        <v>13673.757695812132</v>
      </c>
      <c r="W28" s="128">
        <v>8004.4329127648089</v>
      </c>
      <c r="X28" s="128">
        <v>3357.3222091562438</v>
      </c>
      <c r="Y28" s="154">
        <v>4647.1107036080548</v>
      </c>
      <c r="Z28" s="128">
        <v>16530.826061085776</v>
      </c>
      <c r="AA28" s="128">
        <v>7504.1790688822757</v>
      </c>
      <c r="AB28" s="130">
        <v>9026.646992204167</v>
      </c>
    </row>
    <row r="29" spans="1:28">
      <c r="A29" s="260" t="s">
        <v>118</v>
      </c>
      <c r="B29" s="192"/>
    </row>
    <row r="30" spans="1:28">
      <c r="B30" s="192"/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0569-453A-432A-BA23-3B27C73938C5}">
  <dimension ref="A1:AB29"/>
  <sheetViews>
    <sheetView workbookViewId="0">
      <selection activeCell="D56" sqref="D56"/>
    </sheetView>
  </sheetViews>
  <sheetFormatPr defaultColWidth="9.125" defaultRowHeight="12"/>
  <cols>
    <col min="1" max="1" width="17" style="72" customWidth="1"/>
    <col min="2" max="16384" width="9.125" style="1"/>
  </cols>
  <sheetData>
    <row r="1" spans="1:28" ht="12.75" thickBot="1">
      <c r="A1" s="69" t="s">
        <v>116</v>
      </c>
      <c r="B1" s="53"/>
      <c r="C1" s="53"/>
      <c r="D1" s="53"/>
      <c r="E1" s="53"/>
      <c r="F1" s="53"/>
      <c r="G1" s="53"/>
      <c r="H1" s="53"/>
      <c r="I1" s="53"/>
      <c r="J1" s="5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>
      <c r="A2" s="257" t="s">
        <v>58</v>
      </c>
      <c r="B2" s="233" t="s">
        <v>95</v>
      </c>
      <c r="C2" s="233"/>
      <c r="D2" s="233"/>
      <c r="E2" s="233"/>
      <c r="F2" s="233"/>
      <c r="G2" s="233"/>
      <c r="H2" s="233"/>
      <c r="I2" s="233"/>
      <c r="J2" s="234"/>
      <c r="K2" s="233" t="s">
        <v>96</v>
      </c>
      <c r="L2" s="233"/>
      <c r="M2" s="233"/>
      <c r="N2" s="233"/>
      <c r="O2" s="233"/>
      <c r="P2" s="233"/>
      <c r="Q2" s="233"/>
      <c r="R2" s="233"/>
      <c r="S2" s="234"/>
      <c r="T2" s="233" t="s">
        <v>97</v>
      </c>
      <c r="U2" s="233"/>
      <c r="V2" s="233"/>
      <c r="W2" s="233"/>
      <c r="X2" s="233"/>
      <c r="Y2" s="233"/>
      <c r="Z2" s="233"/>
      <c r="AA2" s="233"/>
      <c r="AB2" s="234"/>
    </row>
    <row r="3" spans="1:28" ht="12.75" thickBot="1">
      <c r="A3" s="258"/>
      <c r="B3" s="11"/>
      <c r="C3" s="11" t="s">
        <v>0</v>
      </c>
      <c r="D3" s="12"/>
      <c r="E3" s="13"/>
      <c r="F3" s="13" t="s">
        <v>1</v>
      </c>
      <c r="G3" s="14"/>
      <c r="H3" s="11"/>
      <c r="I3" s="11" t="s">
        <v>2</v>
      </c>
      <c r="J3" s="15"/>
      <c r="K3" s="11"/>
      <c r="L3" s="11" t="s">
        <v>0</v>
      </c>
      <c r="M3" s="12"/>
      <c r="N3" s="13"/>
      <c r="O3" s="13" t="s">
        <v>1</v>
      </c>
      <c r="P3" s="14"/>
      <c r="Q3" s="11"/>
      <c r="R3" s="11" t="s">
        <v>2</v>
      </c>
      <c r="S3" s="15"/>
      <c r="T3" s="11"/>
      <c r="U3" s="11" t="s">
        <v>0</v>
      </c>
      <c r="V3" s="12"/>
      <c r="W3" s="13"/>
      <c r="X3" s="13" t="s">
        <v>1</v>
      </c>
      <c r="Y3" s="14"/>
      <c r="Z3" s="11"/>
      <c r="AA3" s="11" t="s">
        <v>2</v>
      </c>
      <c r="AB3" s="15"/>
    </row>
    <row r="4" spans="1:28" ht="12.75" thickBot="1">
      <c r="A4" s="259"/>
      <c r="B4" s="83" t="s">
        <v>0</v>
      </c>
      <c r="C4" s="84" t="s">
        <v>3</v>
      </c>
      <c r="D4" s="85" t="s">
        <v>4</v>
      </c>
      <c r="E4" s="86" t="s">
        <v>0</v>
      </c>
      <c r="F4" s="84" t="s">
        <v>3</v>
      </c>
      <c r="G4" s="85" t="s">
        <v>4</v>
      </c>
      <c r="H4" s="86" t="s">
        <v>0</v>
      </c>
      <c r="I4" s="84" t="s">
        <v>3</v>
      </c>
      <c r="J4" s="87" t="s">
        <v>4</v>
      </c>
      <c r="K4" s="83" t="s">
        <v>0</v>
      </c>
      <c r="L4" s="84" t="s">
        <v>3</v>
      </c>
      <c r="M4" s="84" t="s">
        <v>4</v>
      </c>
      <c r="N4" s="88" t="s">
        <v>0</v>
      </c>
      <c r="O4" s="89" t="s">
        <v>3</v>
      </c>
      <c r="P4" s="90" t="s">
        <v>4</v>
      </c>
      <c r="Q4" s="86" t="s">
        <v>0</v>
      </c>
      <c r="R4" s="84" t="s">
        <v>3</v>
      </c>
      <c r="S4" s="87" t="s">
        <v>4</v>
      </c>
      <c r="T4" s="83" t="s">
        <v>0</v>
      </c>
      <c r="U4" s="84" t="s">
        <v>3</v>
      </c>
      <c r="V4" s="84" t="s">
        <v>4</v>
      </c>
      <c r="W4" s="88" t="s">
        <v>0</v>
      </c>
      <c r="X4" s="89" t="s">
        <v>3</v>
      </c>
      <c r="Y4" s="90" t="s">
        <v>4</v>
      </c>
      <c r="Z4" s="86" t="s">
        <v>0</v>
      </c>
      <c r="AA4" s="84" t="s">
        <v>3</v>
      </c>
      <c r="AB4" s="87" t="s">
        <v>4</v>
      </c>
    </row>
    <row r="5" spans="1:28" ht="12.75" thickBot="1">
      <c r="A5" s="93" t="s">
        <v>94</v>
      </c>
      <c r="B5" s="100">
        <f>+B6+B7+B8+B9+B10+B11+B12+B13+B14+B15+B16+B17+B18+B19+B20+B21+B22+B23+B24+B25</f>
        <v>63480.555324072979</v>
      </c>
      <c r="C5" s="63">
        <f t="shared" ref="C5:AB5" si="0">+C6+C7+C8+C9+C10+C11+C12+C13+C14+C15+C16+C17+C18+C19+C20+C21+C22+C23+C24+C25</f>
        <v>30066.940436597641</v>
      </c>
      <c r="D5" s="101">
        <f t="shared" si="0"/>
        <v>33413.61488747596</v>
      </c>
      <c r="E5" s="63">
        <f t="shared" si="0"/>
        <v>10853.342537056147</v>
      </c>
      <c r="F5" s="63">
        <f t="shared" si="0"/>
        <v>5122.5139835218451</v>
      </c>
      <c r="G5" s="101">
        <f t="shared" si="0"/>
        <v>5730.8285535343139</v>
      </c>
      <c r="H5" s="63">
        <f t="shared" si="0"/>
        <v>52627.212787016848</v>
      </c>
      <c r="I5" s="63">
        <f t="shared" si="0"/>
        <v>24944.426453075939</v>
      </c>
      <c r="J5" s="97">
        <f t="shared" si="0"/>
        <v>27682.786333941775</v>
      </c>
      <c r="K5" s="148">
        <f t="shared" si="0"/>
        <v>65621.86706965731</v>
      </c>
      <c r="L5" s="63">
        <f t="shared" si="0"/>
        <v>31081.151676276106</v>
      </c>
      <c r="M5" s="101">
        <f t="shared" si="0"/>
        <v>34540.71539338283</v>
      </c>
      <c r="N5" s="63">
        <f t="shared" si="0"/>
        <v>11219.445034660808</v>
      </c>
      <c r="O5" s="63">
        <f t="shared" si="0"/>
        <v>5295.3054675258181</v>
      </c>
      <c r="P5" s="101">
        <f t="shared" si="0"/>
        <v>5924.1395671348682</v>
      </c>
      <c r="Q5" s="63">
        <f t="shared" si="0"/>
        <v>54402.422034997144</v>
      </c>
      <c r="R5" s="63">
        <f t="shared" si="0"/>
        <v>25785.84620875058</v>
      </c>
      <c r="S5" s="63">
        <f t="shared" si="0"/>
        <v>28616.5758262483</v>
      </c>
      <c r="T5" s="148">
        <f t="shared" si="0"/>
        <v>67828.880011446527</v>
      </c>
      <c r="U5" s="63">
        <f t="shared" si="0"/>
        <v>32126.481641094557</v>
      </c>
      <c r="V5" s="101">
        <f t="shared" si="0"/>
        <v>35702.398370353512</v>
      </c>
      <c r="W5" s="63">
        <f t="shared" si="0"/>
        <v>11596.780540291724</v>
      </c>
      <c r="X5" s="63">
        <f t="shared" si="0"/>
        <v>5473.3986583998567</v>
      </c>
      <c r="Y5" s="101">
        <f t="shared" si="0"/>
        <v>6123.381881891677</v>
      </c>
      <c r="Z5" s="63">
        <f t="shared" si="0"/>
        <v>56232.099471155685</v>
      </c>
      <c r="AA5" s="63">
        <f t="shared" si="0"/>
        <v>26653.082982694461</v>
      </c>
      <c r="AB5" s="97">
        <f t="shared" si="0"/>
        <v>29579.016488461559</v>
      </c>
    </row>
    <row r="6" spans="1:28">
      <c r="A6" s="187" t="s">
        <v>5</v>
      </c>
      <c r="B6" s="139">
        <v>11509.214958106635</v>
      </c>
      <c r="C6" s="139">
        <v>5603.2180568499043</v>
      </c>
      <c r="D6" s="161">
        <v>5905.9969012566526</v>
      </c>
      <c r="E6" s="195">
        <v>1961.4278924516059</v>
      </c>
      <c r="F6" s="139">
        <v>931.25604733861451</v>
      </c>
      <c r="G6" s="141">
        <v>1030.171845112922</v>
      </c>
      <c r="H6" s="139">
        <v>9547.7870656549512</v>
      </c>
      <c r="I6" s="139">
        <v>4671.9620095112205</v>
      </c>
      <c r="J6" s="142">
        <v>4875.8250561436525</v>
      </c>
      <c r="K6" s="138">
        <v>11897.441195988171</v>
      </c>
      <c r="L6" s="139">
        <v>5792.2245420157142</v>
      </c>
      <c r="M6" s="141">
        <v>6105.216653973861</v>
      </c>
      <c r="N6" s="161">
        <v>2027.5903348370914</v>
      </c>
      <c r="O6" s="139">
        <v>962.66896586357188</v>
      </c>
      <c r="P6" s="141">
        <v>1064.9213689734363</v>
      </c>
      <c r="Q6" s="139">
        <v>9869.85086115173</v>
      </c>
      <c r="R6" s="139">
        <v>4829.5555761524101</v>
      </c>
      <c r="S6" s="142">
        <v>5040.2952850007241</v>
      </c>
      <c r="T6" s="138">
        <v>12297.579257678657</v>
      </c>
      <c r="U6" s="139">
        <v>5987.0302538439537</v>
      </c>
      <c r="V6" s="141">
        <v>6310.5490038364451</v>
      </c>
      <c r="W6" s="161">
        <v>2095.7828186760075</v>
      </c>
      <c r="X6" s="139">
        <v>995.04571710813468</v>
      </c>
      <c r="Y6" s="141">
        <v>1100.7371015678118</v>
      </c>
      <c r="Z6" s="139">
        <v>10201.796439003678</v>
      </c>
      <c r="AA6" s="139">
        <v>4991.9845367355738</v>
      </c>
      <c r="AB6" s="142">
        <v>5209.8119022683668</v>
      </c>
    </row>
    <row r="7" spans="1:28">
      <c r="A7" s="187" t="s">
        <v>6</v>
      </c>
      <c r="B7" s="139">
        <v>9392.9201617080435</v>
      </c>
      <c r="C7" s="139">
        <v>4607.8041783722683</v>
      </c>
      <c r="D7" s="141">
        <v>4785.1159833370684</v>
      </c>
      <c r="E7" s="161">
        <v>1549.7512304070162</v>
      </c>
      <c r="F7" s="139">
        <v>792.14624555724322</v>
      </c>
      <c r="G7" s="141">
        <v>757.6049848498044</v>
      </c>
      <c r="H7" s="139">
        <v>7843.1689313014131</v>
      </c>
      <c r="I7" s="139">
        <v>3815.6579328151283</v>
      </c>
      <c r="J7" s="142">
        <v>4027.5109984874407</v>
      </c>
      <c r="K7" s="138">
        <v>9709.7600218044736</v>
      </c>
      <c r="L7" s="139">
        <v>4763.2335875534682</v>
      </c>
      <c r="M7" s="141">
        <v>4946.5264342509308</v>
      </c>
      <c r="N7" s="161">
        <v>1602.0270886673588</v>
      </c>
      <c r="O7" s="139">
        <v>818.86674368731065</v>
      </c>
      <c r="P7" s="141">
        <v>783.16034498001613</v>
      </c>
      <c r="Q7" s="139">
        <v>8107.7329331370402</v>
      </c>
      <c r="R7" s="139">
        <v>3944.3668438661025</v>
      </c>
      <c r="S7" s="142">
        <v>4163.3660892708631</v>
      </c>
      <c r="T7" s="138">
        <v>10036.321379880879</v>
      </c>
      <c r="U7" s="139">
        <v>4923.4319885122541</v>
      </c>
      <c r="V7" s="141">
        <v>5112.8893913685506</v>
      </c>
      <c r="W7" s="161">
        <v>1655.9069106789839</v>
      </c>
      <c r="X7" s="139">
        <v>846.40709847482424</v>
      </c>
      <c r="Y7" s="141">
        <v>809.49981220412053</v>
      </c>
      <c r="Z7" s="139">
        <v>8380.4144692018199</v>
      </c>
      <c r="AA7" s="139">
        <v>4077.0248900373708</v>
      </c>
      <c r="AB7" s="142">
        <v>4303.3895791643745</v>
      </c>
    </row>
    <row r="8" spans="1:28" ht="17.25" customHeight="1">
      <c r="A8" s="187" t="s">
        <v>7</v>
      </c>
      <c r="B8" s="139">
        <v>8682.5215664919288</v>
      </c>
      <c r="C8" s="139">
        <v>4409.7676169830111</v>
      </c>
      <c r="D8" s="141">
        <v>4272.753949510211</v>
      </c>
      <c r="E8" s="161">
        <v>1389.7100557958988</v>
      </c>
      <c r="F8" s="139">
        <v>710.39859521630467</v>
      </c>
      <c r="G8" s="141">
        <v>679.31146057960973</v>
      </c>
      <c r="H8" s="139">
        <v>7292.8115106963842</v>
      </c>
      <c r="I8" s="139">
        <v>3699.3690217667395</v>
      </c>
      <c r="J8" s="142">
        <v>3593.4424889305833</v>
      </c>
      <c r="K8" s="138">
        <v>8975.3984217243797</v>
      </c>
      <c r="L8" s="139">
        <v>4558.5169016316268</v>
      </c>
      <c r="M8" s="141">
        <v>4416.8815200926783</v>
      </c>
      <c r="N8" s="161">
        <v>1436.5874413235451</v>
      </c>
      <c r="O8" s="139">
        <v>734.36160008004697</v>
      </c>
      <c r="P8" s="141">
        <v>702.22584124348191</v>
      </c>
      <c r="Q8" s="139">
        <v>7538.8109804007599</v>
      </c>
      <c r="R8" s="139">
        <v>3824.1553015515328</v>
      </c>
      <c r="S8" s="142">
        <v>3714.6556788491525</v>
      </c>
      <c r="T8" s="138">
        <v>9277.2615255800029</v>
      </c>
      <c r="U8" s="139">
        <v>4711.8302138935333</v>
      </c>
      <c r="V8" s="141">
        <v>4565.431311686395</v>
      </c>
      <c r="W8" s="161">
        <v>1484.9031509580409</v>
      </c>
      <c r="X8" s="139">
        <v>759.05985430082546</v>
      </c>
      <c r="Y8" s="141">
        <v>725.84329665719213</v>
      </c>
      <c r="Z8" s="139">
        <v>7792.3583746218874</v>
      </c>
      <c r="AA8" s="139">
        <v>3952.7703595926569</v>
      </c>
      <c r="AB8" s="142">
        <v>3839.588015029155</v>
      </c>
    </row>
    <row r="9" spans="1:28">
      <c r="A9" s="187" t="s">
        <v>8</v>
      </c>
      <c r="B9" s="139">
        <v>7360.2218483409843</v>
      </c>
      <c r="C9" s="139">
        <v>3556.0879282786327</v>
      </c>
      <c r="D9" s="141">
        <v>3804.1339200614598</v>
      </c>
      <c r="E9" s="161">
        <v>1231.0854062219253</v>
      </c>
      <c r="F9" s="139">
        <v>588.68057957687211</v>
      </c>
      <c r="G9" s="141">
        <v>642.40482664505271</v>
      </c>
      <c r="H9" s="139">
        <v>6129.1364421188136</v>
      </c>
      <c r="I9" s="139">
        <v>2967.4073487018773</v>
      </c>
      <c r="J9" s="142">
        <v>3161.7290934165344</v>
      </c>
      <c r="K9" s="138">
        <v>7608.4951883183303</v>
      </c>
      <c r="L9" s="139">
        <v>3676.04108259957</v>
      </c>
      <c r="M9" s="141">
        <v>3932.4541057188521</v>
      </c>
      <c r="N9" s="161">
        <v>1272.6121009192943</v>
      </c>
      <c r="O9" s="139">
        <v>608.53781984535328</v>
      </c>
      <c r="P9" s="141">
        <v>664.0742810739589</v>
      </c>
      <c r="Q9" s="139">
        <v>6335.8830873991283</v>
      </c>
      <c r="R9" s="139">
        <v>3067.5032627542691</v>
      </c>
      <c r="S9" s="142">
        <v>3268.379824644951</v>
      </c>
      <c r="T9" s="138">
        <v>7864.3862212620243</v>
      </c>
      <c r="U9" s="139">
        <v>3799.6747219051263</v>
      </c>
      <c r="V9" s="141">
        <v>4064.7114993571836</v>
      </c>
      <c r="W9" s="161">
        <v>1315.4129461562129</v>
      </c>
      <c r="X9" s="139">
        <v>629.00433358443433</v>
      </c>
      <c r="Y9" s="141">
        <v>686.40861257175163</v>
      </c>
      <c r="Z9" s="139">
        <v>6548.973275105961</v>
      </c>
      <c r="AA9" s="139">
        <v>3170.6703883207506</v>
      </c>
      <c r="AB9" s="142">
        <v>3378.302886785496</v>
      </c>
    </row>
    <row r="10" spans="1:28">
      <c r="A10" s="187" t="s">
        <v>9</v>
      </c>
      <c r="B10" s="139">
        <v>5341.5852300587194</v>
      </c>
      <c r="C10" s="139">
        <v>2503.499914837646</v>
      </c>
      <c r="D10" s="141">
        <v>2838.0853152207033</v>
      </c>
      <c r="E10" s="161">
        <v>957.8096144766904</v>
      </c>
      <c r="F10" s="139">
        <v>439.43786740444466</v>
      </c>
      <c r="G10" s="141">
        <v>518.37174707226688</v>
      </c>
      <c r="H10" s="139">
        <v>4383.7756155818688</v>
      </c>
      <c r="I10" s="139">
        <v>2064.0620474331376</v>
      </c>
      <c r="J10" s="142">
        <v>2319.713568148361</v>
      </c>
      <c r="K10" s="138">
        <v>5521.766375840346</v>
      </c>
      <c r="L10" s="139">
        <v>2587.9474081739113</v>
      </c>
      <c r="M10" s="141">
        <v>2933.8189676662801</v>
      </c>
      <c r="N10" s="161">
        <v>990.11823192727786</v>
      </c>
      <c r="O10" s="139">
        <v>454.26088623477557</v>
      </c>
      <c r="P10" s="141">
        <v>535.85734569249746</v>
      </c>
      <c r="Q10" s="139">
        <v>4531.6481439128784</v>
      </c>
      <c r="R10" s="139">
        <v>2133.6865219392157</v>
      </c>
      <c r="S10" s="142">
        <v>2397.9616219738778</v>
      </c>
      <c r="T10" s="138">
        <v>5707.4759631658217</v>
      </c>
      <c r="U10" s="139">
        <v>2674.9859774429428</v>
      </c>
      <c r="V10" s="141">
        <v>3032.4899857223668</v>
      </c>
      <c r="W10" s="161">
        <v>1023.4181645464488</v>
      </c>
      <c r="X10" s="139">
        <v>469.53871509940586</v>
      </c>
      <c r="Y10" s="141">
        <v>553.87944944702213</v>
      </c>
      <c r="Z10" s="139">
        <v>4684.0577986190729</v>
      </c>
      <c r="AA10" s="139">
        <v>2205.4472623435586</v>
      </c>
      <c r="AB10" s="142">
        <v>2478.6105362753719</v>
      </c>
    </row>
    <row r="11" spans="1:28">
      <c r="A11" s="188" t="s">
        <v>10</v>
      </c>
      <c r="B11" s="139">
        <v>4046.8339799848468</v>
      </c>
      <c r="C11" s="139">
        <v>2006.3342846909986</v>
      </c>
      <c r="D11" s="141">
        <v>2040.4996952934873</v>
      </c>
      <c r="E11" s="161">
        <v>779.91385582235273</v>
      </c>
      <c r="F11" s="139">
        <v>366.39457577153428</v>
      </c>
      <c r="G11" s="141">
        <v>413.5192800508313</v>
      </c>
      <c r="H11" s="139">
        <v>3266.9201241623682</v>
      </c>
      <c r="I11" s="139">
        <v>1639.939708919482</v>
      </c>
      <c r="J11" s="142">
        <v>1626.9804152426759</v>
      </c>
      <c r="K11" s="138">
        <v>4183.3408692126868</v>
      </c>
      <c r="L11" s="139">
        <v>2074.0114993507436</v>
      </c>
      <c r="M11" s="141">
        <v>2109.3293698622883</v>
      </c>
      <c r="N11" s="161">
        <v>806.22173374644183</v>
      </c>
      <c r="O11" s="139">
        <v>378.7537147962866</v>
      </c>
      <c r="P11" s="141">
        <v>427.46801895015045</v>
      </c>
      <c r="Q11" s="139">
        <v>3377.1191354663583</v>
      </c>
      <c r="R11" s="139">
        <v>1695.257784554457</v>
      </c>
      <c r="S11" s="142">
        <v>1681.8613509121444</v>
      </c>
      <c r="T11" s="138">
        <v>4324.0361564783962</v>
      </c>
      <c r="U11" s="139">
        <v>2143.7652327460523</v>
      </c>
      <c r="V11" s="141">
        <v>2180.2709237323315</v>
      </c>
      <c r="W11" s="161">
        <v>833.33680803166749</v>
      </c>
      <c r="X11" s="139">
        <v>391.49206540459852</v>
      </c>
      <c r="Y11" s="141">
        <v>441.84474262705487</v>
      </c>
      <c r="Z11" s="139">
        <v>3490.6993484466989</v>
      </c>
      <c r="AA11" s="139">
        <v>1752.2731673414717</v>
      </c>
      <c r="AB11" s="142">
        <v>1738.4261811052968</v>
      </c>
    </row>
    <row r="12" spans="1:28">
      <c r="A12" s="188" t="s">
        <v>11</v>
      </c>
      <c r="B12" s="139">
        <v>3104.2231762939559</v>
      </c>
      <c r="C12" s="139">
        <v>1517.5103743984785</v>
      </c>
      <c r="D12" s="141">
        <v>1586.7128018954775</v>
      </c>
      <c r="E12" s="161">
        <v>559.79820814536708</v>
      </c>
      <c r="F12" s="139">
        <v>274.33819472024612</v>
      </c>
      <c r="G12" s="141">
        <v>285.46001342512096</v>
      </c>
      <c r="H12" s="139">
        <v>2544.424968148589</v>
      </c>
      <c r="I12" s="139">
        <v>1243.1721796782324</v>
      </c>
      <c r="J12" s="142">
        <v>1301.2527884703566</v>
      </c>
      <c r="K12" s="138">
        <v>3208.9341309221718</v>
      </c>
      <c r="L12" s="139">
        <v>1568.6986913903611</v>
      </c>
      <c r="M12" s="141">
        <v>1640.2354395319444</v>
      </c>
      <c r="N12" s="161">
        <v>578.68119478813185</v>
      </c>
      <c r="O12" s="139">
        <v>283.59210870411687</v>
      </c>
      <c r="P12" s="141">
        <v>295.08908608401367</v>
      </c>
      <c r="Q12" s="139">
        <v>2630.2529361341099</v>
      </c>
      <c r="R12" s="139">
        <v>1285.1065826862273</v>
      </c>
      <c r="S12" s="142">
        <v>1345.1463534479133</v>
      </c>
      <c r="T12" s="138">
        <v>3316.8578989058828</v>
      </c>
      <c r="U12" s="139">
        <v>1621.4576034461347</v>
      </c>
      <c r="V12" s="141">
        <v>1695.400295459965</v>
      </c>
      <c r="W12" s="161">
        <v>598.14356218330454</v>
      </c>
      <c r="X12" s="139">
        <v>293.12995762625451</v>
      </c>
      <c r="Y12" s="141">
        <v>305.01360455704867</v>
      </c>
      <c r="Z12" s="139">
        <v>2718.7143367226799</v>
      </c>
      <c r="AA12" s="139">
        <v>1328.3276458198789</v>
      </c>
      <c r="AB12" s="142">
        <v>1390.386690902915</v>
      </c>
    </row>
    <row r="13" spans="1:28">
      <c r="A13" s="188" t="s">
        <v>12</v>
      </c>
      <c r="B13" s="139">
        <v>2422.0849623949657</v>
      </c>
      <c r="C13" s="139">
        <v>1136.8970231649839</v>
      </c>
      <c r="D13" s="141">
        <v>1285.1879392299818</v>
      </c>
      <c r="E13" s="161">
        <v>439.92971765949375</v>
      </c>
      <c r="F13" s="139">
        <v>200.19273668774716</v>
      </c>
      <c r="G13" s="141">
        <v>239.73698097174659</v>
      </c>
      <c r="H13" s="139">
        <v>1982.1552447354718</v>
      </c>
      <c r="I13" s="139">
        <v>936.70428647723668</v>
      </c>
      <c r="J13" s="142">
        <v>1045.4509582582352</v>
      </c>
      <c r="K13" s="138">
        <v>2503.7861849552619</v>
      </c>
      <c r="L13" s="139">
        <v>1175.2465766116529</v>
      </c>
      <c r="M13" s="141">
        <v>1328.5396083436171</v>
      </c>
      <c r="N13" s="161">
        <v>454.7693274714693</v>
      </c>
      <c r="O13" s="139">
        <v>206.94559283813925</v>
      </c>
      <c r="P13" s="141">
        <v>247.82373463332698</v>
      </c>
      <c r="Q13" s="139">
        <v>2049.016857483849</v>
      </c>
      <c r="R13" s="139">
        <v>968.30098377350623</v>
      </c>
      <c r="S13" s="142">
        <v>1080.715873710275</v>
      </c>
      <c r="T13" s="138">
        <v>2587.9942204839667</v>
      </c>
      <c r="U13" s="139">
        <v>1214.772797370068</v>
      </c>
      <c r="V13" s="141">
        <v>1373.2214231139901</v>
      </c>
      <c r="W13" s="161">
        <v>470.06425637363418</v>
      </c>
      <c r="X13" s="139">
        <v>213.90564475429346</v>
      </c>
      <c r="Y13" s="141">
        <v>256.15861161933935</v>
      </c>
      <c r="Z13" s="139">
        <v>2117.9299641104121</v>
      </c>
      <c r="AA13" s="139">
        <v>1000.8671526157732</v>
      </c>
      <c r="AB13" s="142">
        <v>1117.0628114946494</v>
      </c>
    </row>
    <row r="14" spans="1:28">
      <c r="A14" s="188" t="s">
        <v>13</v>
      </c>
      <c r="B14" s="139">
        <v>1920.3673630417227</v>
      </c>
      <c r="C14" s="139">
        <v>844.02246393661301</v>
      </c>
      <c r="D14" s="141">
        <v>1076.3448991051098</v>
      </c>
      <c r="E14" s="161">
        <v>329.94728824462032</v>
      </c>
      <c r="F14" s="139">
        <v>139.64061262787303</v>
      </c>
      <c r="G14" s="141">
        <v>190.3066756167473</v>
      </c>
      <c r="H14" s="139">
        <v>1590.4200747971024</v>
      </c>
      <c r="I14" s="139">
        <v>704.38185130874001</v>
      </c>
      <c r="J14" s="142">
        <v>886.03822348836241</v>
      </c>
      <c r="K14" s="138">
        <v>1985.1447609288639</v>
      </c>
      <c r="L14" s="139">
        <v>872.49283894103712</v>
      </c>
      <c r="M14" s="141">
        <v>1112.6519219877675</v>
      </c>
      <c r="N14" s="161">
        <v>341.07699560360089</v>
      </c>
      <c r="O14" s="139">
        <v>144.35093821425804</v>
      </c>
      <c r="P14" s="141">
        <v>196.72605738934232</v>
      </c>
      <c r="Q14" s="139">
        <v>1644.0677653252435</v>
      </c>
      <c r="R14" s="139">
        <v>728.14190072678366</v>
      </c>
      <c r="S14" s="142">
        <v>915.92586459842312</v>
      </c>
      <c r="T14" s="138">
        <v>2051.9097033837893</v>
      </c>
      <c r="U14" s="139">
        <v>901.83676152582188</v>
      </c>
      <c r="V14" s="141">
        <v>1150.0729418579665</v>
      </c>
      <c r="W14" s="161">
        <v>352.54819228022529</v>
      </c>
      <c r="X14" s="139">
        <v>149.20578924219194</v>
      </c>
      <c r="Y14" s="141">
        <v>203.34240303803199</v>
      </c>
      <c r="Z14" s="139">
        <v>1699.3615111035631</v>
      </c>
      <c r="AA14" s="139">
        <v>752.63097228362858</v>
      </c>
      <c r="AB14" s="142">
        <v>946.73053881993314</v>
      </c>
    </row>
    <row r="15" spans="1:28">
      <c r="A15" s="188" t="s">
        <v>14</v>
      </c>
      <c r="B15" s="139">
        <v>2270.3723860163309</v>
      </c>
      <c r="C15" s="139">
        <v>946.5040192383683</v>
      </c>
      <c r="D15" s="141">
        <v>1323.868366777876</v>
      </c>
      <c r="E15" s="161">
        <v>378.60160769534747</v>
      </c>
      <c r="F15" s="139">
        <v>154.65751948339374</v>
      </c>
      <c r="G15" s="141">
        <v>223.94408821195401</v>
      </c>
      <c r="H15" s="139">
        <v>1891.7707783209489</v>
      </c>
      <c r="I15" s="139">
        <v>791.84649975497484</v>
      </c>
      <c r="J15" s="142">
        <v>1099.9242785659017</v>
      </c>
      <c r="K15" s="138">
        <v>2346.9560742371532</v>
      </c>
      <c r="L15" s="139">
        <v>978.43127890540745</v>
      </c>
      <c r="M15" s="141">
        <v>1368.5247953317462</v>
      </c>
      <c r="N15" s="161">
        <v>391.3725115621632</v>
      </c>
      <c r="O15" s="139">
        <v>159.87439197800805</v>
      </c>
      <c r="P15" s="141">
        <v>231.49811958415549</v>
      </c>
      <c r="Q15" s="139">
        <v>1955.5835626749904</v>
      </c>
      <c r="R15" s="139">
        <v>818.55688692739977</v>
      </c>
      <c r="S15" s="142">
        <v>1137.0266757475911</v>
      </c>
      <c r="T15" s="138">
        <v>2425.8895557266474</v>
      </c>
      <c r="U15" s="139">
        <v>1011.3381526598718</v>
      </c>
      <c r="V15" s="141">
        <v>1414.5514030667741</v>
      </c>
      <c r="W15" s="161">
        <v>404.53526106395651</v>
      </c>
      <c r="X15" s="139">
        <v>165.25133213396839</v>
      </c>
      <c r="Y15" s="141">
        <v>239.28392892998681</v>
      </c>
      <c r="Z15" s="139">
        <v>2021.3542946627369</v>
      </c>
      <c r="AA15" s="139">
        <v>846.08682052590916</v>
      </c>
      <c r="AB15" s="142">
        <v>1175.2674741367757</v>
      </c>
    </row>
    <row r="16" spans="1:28">
      <c r="A16" s="188" t="s">
        <v>15</v>
      </c>
      <c r="B16" s="139">
        <v>1725.9779174347359</v>
      </c>
      <c r="C16" s="139">
        <v>687.91664666213444</v>
      </c>
      <c r="D16" s="141">
        <v>1038.0612707725386</v>
      </c>
      <c r="E16" s="161">
        <v>315.50133974612294</v>
      </c>
      <c r="F16" s="139">
        <v>133.62409683365223</v>
      </c>
      <c r="G16" s="141">
        <v>181.87724291247099</v>
      </c>
      <c r="H16" s="139">
        <v>1410.4765776885843</v>
      </c>
      <c r="I16" s="139">
        <v>554.29254982848249</v>
      </c>
      <c r="J16" s="142">
        <v>856.18402786006652</v>
      </c>
      <c r="K16" s="138">
        <v>1784.1982144745662</v>
      </c>
      <c r="L16" s="139">
        <v>711.12129551817861</v>
      </c>
      <c r="M16" s="141">
        <v>1073.076918956388</v>
      </c>
      <c r="N16" s="161">
        <v>326.14375963513606</v>
      </c>
      <c r="O16" s="139">
        <v>138.131474668999</v>
      </c>
      <c r="P16" s="141">
        <v>188.0122849661374</v>
      </c>
      <c r="Q16" s="139">
        <v>1458.0544548394305</v>
      </c>
      <c r="R16" s="139">
        <v>572.98982084917998</v>
      </c>
      <c r="S16" s="142">
        <v>885.06463399025097</v>
      </c>
      <c r="T16" s="138">
        <v>1844.2048666151138</v>
      </c>
      <c r="U16" s="139">
        <v>735.0379253318863</v>
      </c>
      <c r="V16" s="141">
        <v>1109.166941283185</v>
      </c>
      <c r="W16" s="161">
        <v>337.11271755329687</v>
      </c>
      <c r="X16" s="139">
        <v>142.77715096374851</v>
      </c>
      <c r="Y16" s="141">
        <v>194.33556658954706</v>
      </c>
      <c r="Z16" s="139">
        <v>1507.0921490618011</v>
      </c>
      <c r="AA16" s="139">
        <v>592.26077436814262</v>
      </c>
      <c r="AB16" s="142">
        <v>914.8313746936376</v>
      </c>
    </row>
    <row r="17" spans="1:28">
      <c r="A17" s="188" t="s">
        <v>16</v>
      </c>
      <c r="B17" s="139">
        <v>1836.0940713069222</v>
      </c>
      <c r="C17" s="139">
        <v>741.11883336442179</v>
      </c>
      <c r="D17" s="141">
        <v>1094.9752379424326</v>
      </c>
      <c r="E17" s="161">
        <v>305.60325849918576</v>
      </c>
      <c r="F17" s="139">
        <v>122.4887554308479</v>
      </c>
      <c r="G17" s="141">
        <v>183.11450306833814</v>
      </c>
      <c r="H17" s="139">
        <v>1530.4908128077086</v>
      </c>
      <c r="I17" s="139">
        <v>618.63007793357417</v>
      </c>
      <c r="J17" s="142">
        <v>911.86073487408817</v>
      </c>
      <c r="K17" s="138">
        <v>1898.0287815629076</v>
      </c>
      <c r="L17" s="139">
        <v>766.11808635861325</v>
      </c>
      <c r="M17" s="141">
        <v>1131.9106952042948</v>
      </c>
      <c r="N17" s="161">
        <v>315.91179854854357</v>
      </c>
      <c r="O17" s="139">
        <v>126.62051844658244</v>
      </c>
      <c r="P17" s="141">
        <v>189.29128010196146</v>
      </c>
      <c r="Q17" s="139">
        <v>1582.1169830143645</v>
      </c>
      <c r="R17" s="139">
        <v>639.49756791203117</v>
      </c>
      <c r="S17" s="142">
        <v>942.61941510233373</v>
      </c>
      <c r="T17" s="138">
        <v>1961.8638150945053</v>
      </c>
      <c r="U17" s="139">
        <v>791.88438358596943</v>
      </c>
      <c r="V17" s="141">
        <v>1169.9794315084885</v>
      </c>
      <c r="W17" s="161">
        <v>326.53663229672281</v>
      </c>
      <c r="X17" s="139">
        <v>130.87905505010269</v>
      </c>
      <c r="Y17" s="141">
        <v>195.65757724661881</v>
      </c>
      <c r="Z17" s="139">
        <v>1635.3271827977671</v>
      </c>
      <c r="AA17" s="139">
        <v>661.00532853587106</v>
      </c>
      <c r="AB17" s="142">
        <v>974.32185426186413</v>
      </c>
    </row>
    <row r="18" spans="1:28">
      <c r="A18" s="188" t="s">
        <v>17</v>
      </c>
      <c r="B18" s="139">
        <v>1432.747260494195</v>
      </c>
      <c r="C18" s="139">
        <v>591.41035450449692</v>
      </c>
      <c r="D18" s="141">
        <v>841.33690598966075</v>
      </c>
      <c r="E18" s="161">
        <v>222.70682805608686</v>
      </c>
      <c r="F18" s="139">
        <v>102.69259293697354</v>
      </c>
      <c r="G18" s="141">
        <v>120.01423511911361</v>
      </c>
      <c r="H18" s="139">
        <v>1210.0404324380879</v>
      </c>
      <c r="I18" s="139">
        <v>488.71776156752361</v>
      </c>
      <c r="J18" s="142">
        <v>721.32267087054743</v>
      </c>
      <c r="K18" s="138">
        <v>1481.0763672842636</v>
      </c>
      <c r="L18" s="139">
        <v>611.35967492390182</v>
      </c>
      <c r="M18" s="141">
        <v>869.71669236036223</v>
      </c>
      <c r="N18" s="161">
        <v>230.21912444833143</v>
      </c>
      <c r="O18" s="139">
        <v>106.15659627339745</v>
      </c>
      <c r="P18" s="141">
        <v>124.06252817493431</v>
      </c>
      <c r="Q18" s="139">
        <v>1250.8572428359325</v>
      </c>
      <c r="R18" s="139">
        <v>505.20307865050466</v>
      </c>
      <c r="S18" s="142">
        <v>745.65416418542827</v>
      </c>
      <c r="T18" s="138">
        <v>1530.8883408890938</v>
      </c>
      <c r="U18" s="139">
        <v>631.92109408029364</v>
      </c>
      <c r="V18" s="141">
        <v>898.96724680877719</v>
      </c>
      <c r="W18" s="161">
        <v>237.96191827291506</v>
      </c>
      <c r="X18" s="139">
        <v>109.72688453695477</v>
      </c>
      <c r="Y18" s="141">
        <v>128.23503373595918</v>
      </c>
      <c r="Z18" s="139">
        <v>1292.9264226161672</v>
      </c>
      <c r="AA18" s="139">
        <v>522.19420954334248</v>
      </c>
      <c r="AB18" s="142">
        <v>770.73221307282222</v>
      </c>
    </row>
    <row r="19" spans="1:28">
      <c r="A19" s="188" t="s">
        <v>18</v>
      </c>
      <c r="B19" s="139">
        <v>953.96641163400386</v>
      </c>
      <c r="C19" s="139">
        <v>355.84461386347829</v>
      </c>
      <c r="D19" s="141">
        <v>598.12179777052665</v>
      </c>
      <c r="E19" s="161">
        <v>179.18416726458889</v>
      </c>
      <c r="F19" s="139">
        <v>74.44975963810387</v>
      </c>
      <c r="G19" s="141">
        <v>104.73440762648525</v>
      </c>
      <c r="H19" s="139">
        <v>774.78224436941605</v>
      </c>
      <c r="I19" s="139">
        <v>281.3948542253749</v>
      </c>
      <c r="J19" s="142">
        <v>493.38739014404217</v>
      </c>
      <c r="K19" s="138">
        <v>986.14539103483901</v>
      </c>
      <c r="L19" s="139">
        <v>367.84788395743993</v>
      </c>
      <c r="M19" s="141">
        <v>618.29750707739902</v>
      </c>
      <c r="N19" s="161">
        <v>185.22836709913642</v>
      </c>
      <c r="O19" s="139">
        <v>76.96108210457075</v>
      </c>
      <c r="P19" s="141">
        <v>108.26728499456564</v>
      </c>
      <c r="Q19" s="139">
        <v>800.91702393570256</v>
      </c>
      <c r="R19" s="139">
        <v>290.88680185286916</v>
      </c>
      <c r="S19" s="142">
        <v>510.0302220828334</v>
      </c>
      <c r="T19" s="138">
        <v>1019.3117079607019</v>
      </c>
      <c r="U19" s="139">
        <v>380.21944662025408</v>
      </c>
      <c r="V19" s="141">
        <v>639.09226134043217</v>
      </c>
      <c r="W19" s="161">
        <v>191.45801922012811</v>
      </c>
      <c r="X19" s="139">
        <v>79.549458690053427</v>
      </c>
      <c r="Y19" s="141">
        <v>111.90856053007502</v>
      </c>
      <c r="Z19" s="139">
        <v>827.8536887405661</v>
      </c>
      <c r="AA19" s="139">
        <v>300.66998793020099</v>
      </c>
      <c r="AB19" s="142">
        <v>527.18370081035278</v>
      </c>
    </row>
    <row r="20" spans="1:28">
      <c r="A20" s="188" t="s">
        <v>19</v>
      </c>
      <c r="B20" s="139">
        <v>654.9055127487411</v>
      </c>
      <c r="C20" s="139">
        <v>259.94322856693833</v>
      </c>
      <c r="D20" s="141">
        <v>394.9622841818038</v>
      </c>
      <c r="E20" s="161">
        <v>105.99626795933447</v>
      </c>
      <c r="F20" s="139">
        <v>36.593949652627302</v>
      </c>
      <c r="G20" s="141">
        <v>69.402318306706974</v>
      </c>
      <c r="H20" s="139">
        <v>548.90924478940747</v>
      </c>
      <c r="I20" s="139">
        <v>223.34927891431124</v>
      </c>
      <c r="J20" s="142">
        <v>325.55996587509725</v>
      </c>
      <c r="K20" s="138">
        <v>676.99663749613944</v>
      </c>
      <c r="L20" s="139">
        <v>268.71157480578944</v>
      </c>
      <c r="M20" s="141">
        <v>408.28506269035</v>
      </c>
      <c r="N20" s="161">
        <v>109.5717101149821</v>
      </c>
      <c r="O20" s="139">
        <v>37.828328492077141</v>
      </c>
      <c r="P20" s="141">
        <v>71.743381622904934</v>
      </c>
      <c r="Q20" s="139">
        <v>567.42492738115732</v>
      </c>
      <c r="R20" s="139">
        <v>230.88324631371231</v>
      </c>
      <c r="S20" s="142">
        <v>336.54168106744504</v>
      </c>
      <c r="T20" s="138">
        <v>699.76557729047522</v>
      </c>
      <c r="U20" s="139">
        <v>277.74895746018569</v>
      </c>
      <c r="V20" s="141">
        <v>422.01661983028197</v>
      </c>
      <c r="W20" s="161">
        <v>113.25685644007592</v>
      </c>
      <c r="X20" s="139">
        <v>39.100581390026299</v>
      </c>
      <c r="Y20" s="141">
        <v>74.156275050049828</v>
      </c>
      <c r="Z20" s="139">
        <v>586.50872085039487</v>
      </c>
      <c r="AA20" s="139">
        <v>238.6483760701596</v>
      </c>
      <c r="AB20" s="142">
        <v>347.86034478023248</v>
      </c>
    </row>
    <row r="21" spans="1:28">
      <c r="A21" s="188" t="s">
        <v>20</v>
      </c>
      <c r="B21" s="139">
        <v>402.53344617889906</v>
      </c>
      <c r="C21" s="139">
        <v>143.85207794481101</v>
      </c>
      <c r="D21" s="141">
        <v>258.68136823408912</v>
      </c>
      <c r="E21" s="161">
        <v>75.711619970953095</v>
      </c>
      <c r="F21" s="139">
        <v>26.499066989833562</v>
      </c>
      <c r="G21" s="141">
        <v>49.212552981119472</v>
      </c>
      <c r="H21" s="139">
        <v>326.82182620794646</v>
      </c>
      <c r="I21" s="139">
        <v>117.35301095497749</v>
      </c>
      <c r="J21" s="142">
        <v>209.46881525296993</v>
      </c>
      <c r="K21" s="138">
        <v>416.11161341284873</v>
      </c>
      <c r="L21" s="139">
        <v>148.70446372747571</v>
      </c>
      <c r="M21" s="141">
        <v>267.40714968537299</v>
      </c>
      <c r="N21" s="161">
        <v>78.265507224987203</v>
      </c>
      <c r="O21" s="139">
        <v>27.39292752874551</v>
      </c>
      <c r="P21" s="141">
        <v>50.872579696241679</v>
      </c>
      <c r="Q21" s="139">
        <v>337.84610618786149</v>
      </c>
      <c r="R21" s="139">
        <v>121.31153619873018</v>
      </c>
      <c r="S21" s="142">
        <v>216.53456998913131</v>
      </c>
      <c r="T21" s="138">
        <v>430.10639529028737</v>
      </c>
      <c r="U21" s="139">
        <v>153.70573374010291</v>
      </c>
      <c r="V21" s="141">
        <v>276.40066155018479</v>
      </c>
      <c r="W21" s="161">
        <v>80.897754600054327</v>
      </c>
      <c r="X21" s="139">
        <v>28.314214110019044</v>
      </c>
      <c r="Y21" s="141">
        <v>52.583540490035368</v>
      </c>
      <c r="Z21" s="139">
        <v>349.20864069023338</v>
      </c>
      <c r="AA21" s="139">
        <v>125.39151963008402</v>
      </c>
      <c r="AB21" s="142">
        <v>223.8171210601497</v>
      </c>
    </row>
    <row r="22" spans="1:28">
      <c r="A22" s="189" t="s">
        <v>29</v>
      </c>
      <c r="B22" s="140">
        <v>305.37020054950989</v>
      </c>
      <c r="C22" s="139">
        <v>121.13859195352516</v>
      </c>
      <c r="D22" s="141">
        <v>184.23160859598573</v>
      </c>
      <c r="E22" s="161">
        <v>45.426971982571821</v>
      </c>
      <c r="F22" s="139">
        <v>21.451625658436694</v>
      </c>
      <c r="G22" s="141">
        <v>23.975346324135128</v>
      </c>
      <c r="H22" s="139">
        <v>259.94322856693833</v>
      </c>
      <c r="I22" s="139">
        <v>99.686966295088354</v>
      </c>
      <c r="J22" s="142">
        <v>160.25626227185074</v>
      </c>
      <c r="K22" s="138">
        <v>315.67087914078178</v>
      </c>
      <c r="L22" s="139">
        <v>125.22481155997954</v>
      </c>
      <c r="M22" s="141">
        <v>190.44606758080224</v>
      </c>
      <c r="N22" s="161">
        <v>46.959304334992318</v>
      </c>
      <c r="O22" s="139">
        <v>22.175227047079694</v>
      </c>
      <c r="P22" s="141">
        <v>24.784077287912602</v>
      </c>
      <c r="Q22" s="139">
        <v>268.71157480578944</v>
      </c>
      <c r="R22" s="139">
        <v>103.04958451289983</v>
      </c>
      <c r="S22" s="142">
        <v>165.66199029288961</v>
      </c>
      <c r="T22" s="138">
        <v>326.28761022021808</v>
      </c>
      <c r="U22" s="139">
        <v>129.43640736008672</v>
      </c>
      <c r="V22" s="141">
        <v>196.85120286013171</v>
      </c>
      <c r="W22" s="161">
        <v>48.538652760032647</v>
      </c>
      <c r="X22" s="139">
        <v>22.921030470015417</v>
      </c>
      <c r="Y22" s="141">
        <v>25.617622290017231</v>
      </c>
      <c r="Z22" s="139">
        <v>277.74895746018569</v>
      </c>
      <c r="AA22" s="139">
        <v>106.51537689007142</v>
      </c>
      <c r="AB22" s="142">
        <v>171.23358057011461</v>
      </c>
    </row>
    <row r="23" spans="1:28">
      <c r="A23" s="206" t="s">
        <v>30</v>
      </c>
      <c r="B23" s="139">
        <v>80.759061302349991</v>
      </c>
      <c r="C23" s="139">
        <v>25.237206656984345</v>
      </c>
      <c r="D23" s="141">
        <v>55.521854645365558</v>
      </c>
      <c r="E23" s="161">
        <v>15.142323994190606</v>
      </c>
      <c r="F23" s="139">
        <v>5.04744133139687</v>
      </c>
      <c r="G23" s="141">
        <v>10.094882662793738</v>
      </c>
      <c r="H23" s="139">
        <v>65.616737308159301</v>
      </c>
      <c r="I23" s="139">
        <v>20.189765325587476</v>
      </c>
      <c r="J23" s="142">
        <v>45.426971982571821</v>
      </c>
      <c r="K23" s="138">
        <v>83.483207706653019</v>
      </c>
      <c r="L23" s="139">
        <v>26.088502408329056</v>
      </c>
      <c r="M23" s="141">
        <v>57.394705298323949</v>
      </c>
      <c r="N23" s="161">
        <v>15.653101444997425</v>
      </c>
      <c r="O23" s="139">
        <v>5.2177004816658084</v>
      </c>
      <c r="P23" s="141">
        <v>10.435400963331617</v>
      </c>
      <c r="Q23" s="139">
        <v>67.830106261655573</v>
      </c>
      <c r="R23" s="139">
        <v>20.870801926663241</v>
      </c>
      <c r="S23" s="142">
        <v>46.959304334992318</v>
      </c>
      <c r="T23" s="138">
        <v>86.290938240057926</v>
      </c>
      <c r="U23" s="139">
        <v>26.965918200018137</v>
      </c>
      <c r="V23" s="141">
        <v>59.325020040039902</v>
      </c>
      <c r="W23" s="161">
        <v>16.179550920010882</v>
      </c>
      <c r="X23" s="139">
        <v>5.3931836400036275</v>
      </c>
      <c r="Y23" s="141">
        <v>10.786367280007255</v>
      </c>
      <c r="Z23" s="139">
        <v>70.111387320047129</v>
      </c>
      <c r="AA23" s="139">
        <v>21.57273456001451</v>
      </c>
      <c r="AB23" s="142">
        <v>48.538652760032647</v>
      </c>
    </row>
    <row r="24" spans="1:28">
      <c r="A24" s="206" t="s">
        <v>32</v>
      </c>
      <c r="B24" s="139">
        <v>32.808368654079651</v>
      </c>
      <c r="C24" s="139">
        <v>7.5711619970953041</v>
      </c>
      <c r="D24" s="141">
        <v>25.237206656984345</v>
      </c>
      <c r="E24" s="161">
        <v>8.8330223299445212</v>
      </c>
      <c r="F24" s="139">
        <v>2.523720665698435</v>
      </c>
      <c r="G24" s="141">
        <v>6.3093016642460871</v>
      </c>
      <c r="H24" s="139">
        <v>23.975346324135128</v>
      </c>
      <c r="I24" s="139">
        <v>5.04744133139687</v>
      </c>
      <c r="J24" s="142">
        <v>18.927904992738259</v>
      </c>
      <c r="K24" s="138">
        <v>33.915053130827779</v>
      </c>
      <c r="L24" s="139">
        <v>7.8265507224987125</v>
      </c>
      <c r="M24" s="141">
        <v>26.088502408329056</v>
      </c>
      <c r="N24" s="161">
        <v>9.1309758429151646</v>
      </c>
      <c r="O24" s="139">
        <v>2.6088502408329042</v>
      </c>
      <c r="P24" s="141">
        <v>6.5221256020822604</v>
      </c>
      <c r="Q24" s="139">
        <v>24.784077287912602</v>
      </c>
      <c r="R24" s="139">
        <v>5.2177004816658084</v>
      </c>
      <c r="S24" s="142">
        <v>19.566376806246787</v>
      </c>
      <c r="T24" s="138">
        <v>35.055693660023579</v>
      </c>
      <c r="U24" s="139">
        <v>8.0897754600054412</v>
      </c>
      <c r="V24" s="141">
        <v>26.965918200018137</v>
      </c>
      <c r="W24" s="161">
        <v>9.4380713700063481</v>
      </c>
      <c r="X24" s="139">
        <v>2.6965918200018137</v>
      </c>
      <c r="Y24" s="141">
        <v>6.7414795500045344</v>
      </c>
      <c r="Z24" s="139">
        <v>25.617622290017231</v>
      </c>
      <c r="AA24" s="139">
        <v>5.3931836400036275</v>
      </c>
      <c r="AB24" s="142">
        <v>20.224438650013603</v>
      </c>
    </row>
    <row r="25" spans="1:28" ht="12.75" thickBot="1">
      <c r="A25" s="207" t="s">
        <v>31</v>
      </c>
      <c r="B25" s="145">
        <v>5.04744133139687</v>
      </c>
      <c r="C25" s="144">
        <v>1.2618603328492175</v>
      </c>
      <c r="D25" s="146">
        <v>3.7855809985476525</v>
      </c>
      <c r="E25" s="144">
        <v>1.2618603328492175</v>
      </c>
      <c r="F25" s="178">
        <v>0</v>
      </c>
      <c r="G25" s="146">
        <v>1.2618603328492175</v>
      </c>
      <c r="H25" s="144">
        <v>3.7855809985476525</v>
      </c>
      <c r="I25" s="144">
        <v>1.2618603328492175</v>
      </c>
      <c r="J25" s="147">
        <v>2.523720665698435</v>
      </c>
      <c r="K25" s="143">
        <v>5.2177004816658084</v>
      </c>
      <c r="L25" s="144">
        <v>1.3044251204164521</v>
      </c>
      <c r="M25" s="146">
        <v>3.9132753612493563</v>
      </c>
      <c r="N25" s="144">
        <v>1.3044251204164521</v>
      </c>
      <c r="O25" s="178">
        <v>0</v>
      </c>
      <c r="P25" s="146">
        <v>1.3044251204164521</v>
      </c>
      <c r="Q25" s="144">
        <v>3.9132753612493563</v>
      </c>
      <c r="R25" s="144">
        <v>1.3044251204164521</v>
      </c>
      <c r="S25" s="147">
        <v>2.6088502408329042</v>
      </c>
      <c r="T25" s="143">
        <v>5.3931836400036275</v>
      </c>
      <c r="U25" s="144">
        <v>1.3482959100009069</v>
      </c>
      <c r="V25" s="146">
        <v>4.0448877300027206</v>
      </c>
      <c r="W25" s="144">
        <v>1.3482959100009069</v>
      </c>
      <c r="X25" s="178">
        <v>0</v>
      </c>
      <c r="Y25" s="146">
        <v>1.3482959100009069</v>
      </c>
      <c r="Z25" s="144">
        <v>4.0448877300027206</v>
      </c>
      <c r="AA25" s="144">
        <v>1.3482959100009069</v>
      </c>
      <c r="AB25" s="147">
        <v>2.6965918200018137</v>
      </c>
    </row>
    <row r="26" spans="1:28">
      <c r="A26" s="191" t="s">
        <v>72</v>
      </c>
      <c r="B26" s="168">
        <v>34138.643927161225</v>
      </c>
      <c r="C26" s="168">
        <v>16877.208229066713</v>
      </c>
      <c r="D26" s="185">
        <v>17261.435698081717</v>
      </c>
      <c r="E26" s="168">
        <v>5665.6023975611461</v>
      </c>
      <c r="F26" s="168">
        <v>2821.3013084550362</v>
      </c>
      <c r="G26" s="185">
        <v>2844.3010891062063</v>
      </c>
      <c r="H26" s="168">
        <v>28473.04152959603</v>
      </c>
      <c r="I26" s="168">
        <v>14055.906920611866</v>
      </c>
      <c r="J26" s="168">
        <v>14417.134608975404</v>
      </c>
      <c r="K26" s="208">
        <v>35290.200948771577</v>
      </c>
      <c r="L26" s="168">
        <v>17446.506402802672</v>
      </c>
      <c r="M26" s="185">
        <v>17843.694545967119</v>
      </c>
      <c r="N26" s="168">
        <v>5856.7132172095053</v>
      </c>
      <c r="O26" s="168">
        <v>2916.4688065777723</v>
      </c>
      <c r="P26" s="185">
        <v>2940.2444106319153</v>
      </c>
      <c r="Q26" s="168">
        <v>29433.48773156559</v>
      </c>
      <c r="R26" s="168">
        <v>14530.037596224365</v>
      </c>
      <c r="S26" s="181">
        <v>14903.450135334446</v>
      </c>
      <c r="T26" s="168">
        <v>36477.090833032489</v>
      </c>
      <c r="U26" s="168">
        <v>18033.272173715621</v>
      </c>
      <c r="V26" s="185">
        <v>18443.818659326163</v>
      </c>
      <c r="W26" s="168">
        <v>6053.6878301539236</v>
      </c>
      <c r="X26" s="168">
        <v>3014.5562991753477</v>
      </c>
      <c r="Y26" s="185">
        <v>3039.1315309784186</v>
      </c>
      <c r="Z26" s="168">
        <v>30423.403002881987</v>
      </c>
      <c r="AA26" s="168">
        <v>15018.715874541242</v>
      </c>
      <c r="AB26" s="181">
        <v>15404.687128348736</v>
      </c>
    </row>
    <row r="27" spans="1:28">
      <c r="A27" s="191" t="s">
        <v>22</v>
      </c>
      <c r="B27" s="197">
        <v>1391.11507833991</v>
      </c>
      <c r="C27" s="197">
        <v>666.40927746275042</v>
      </c>
      <c r="D27" s="185">
        <v>724.70580087715916</v>
      </c>
      <c r="E27" s="197">
        <v>232.04302457107755</v>
      </c>
      <c r="F27" s="197">
        <v>116.59304682881711</v>
      </c>
      <c r="G27" s="185">
        <v>115.44997774226007</v>
      </c>
      <c r="H27" s="197">
        <v>1159.0720537688321</v>
      </c>
      <c r="I27" s="197">
        <v>549.81623063393295</v>
      </c>
      <c r="J27" s="197">
        <v>609.25582313489872</v>
      </c>
      <c r="K27" s="204">
        <v>1438.0398577704441</v>
      </c>
      <c r="L27" s="197">
        <v>688.88844460163375</v>
      </c>
      <c r="M27" s="185">
        <v>749.1514131688441</v>
      </c>
      <c r="N27" s="197">
        <v>239.87024743418448</v>
      </c>
      <c r="O27" s="197">
        <v>120.52593713441783</v>
      </c>
      <c r="P27" s="185">
        <v>119.34431029976668</v>
      </c>
      <c r="Q27" s="197">
        <v>1198.1696103362769</v>
      </c>
      <c r="R27" s="197">
        <v>568.36250746721305</v>
      </c>
      <c r="S27" s="182">
        <v>629.80710286907458</v>
      </c>
      <c r="T27" s="197">
        <v>1486.4044154801527</v>
      </c>
      <c r="U27" s="197">
        <v>712.05733297034021</v>
      </c>
      <c r="V27" s="185">
        <v>774.34708250976962</v>
      </c>
      <c r="W27" s="197">
        <v>247.93763051968972</v>
      </c>
      <c r="X27" s="197">
        <v>124.57949907885892</v>
      </c>
      <c r="Y27" s="185">
        <v>123.35813144083089</v>
      </c>
      <c r="Z27" s="197">
        <v>1238.46678496044</v>
      </c>
      <c r="AA27" s="197">
        <v>587.4778338914814</v>
      </c>
      <c r="AB27" s="182">
        <v>650.98895106893883</v>
      </c>
    </row>
    <row r="28" spans="1:28" ht="12.75" thickBot="1">
      <c r="A28" s="200" t="s">
        <v>21</v>
      </c>
      <c r="B28" s="128">
        <v>29341.911396920161</v>
      </c>
      <c r="C28" s="128">
        <v>13189.732207528657</v>
      </c>
      <c r="D28" s="154">
        <v>16152.179189391698</v>
      </c>
      <c r="E28" s="128">
        <v>5187.7401394953049</v>
      </c>
      <c r="F28" s="128">
        <v>2301.2126750668472</v>
      </c>
      <c r="G28" s="154">
        <v>2886.5274644281958</v>
      </c>
      <c r="H28" s="128">
        <v>24154.171257425423</v>
      </c>
      <c r="I28" s="128">
        <v>10888.519532462504</v>
      </c>
      <c r="J28" s="130">
        <v>13265.651724964242</v>
      </c>
      <c r="K28" s="128">
        <v>30331.666120887156</v>
      </c>
      <c r="L28" s="128">
        <v>13634.64527347365</v>
      </c>
      <c r="M28" s="154">
        <v>16697.020847415937</v>
      </c>
      <c r="N28" s="128">
        <v>5362.7318174512411</v>
      </c>
      <c r="O28" s="128">
        <v>2378.8366609481204</v>
      </c>
      <c r="P28" s="154">
        <v>2983.8951565029647</v>
      </c>
      <c r="Q28" s="128">
        <v>24968.934303437109</v>
      </c>
      <c r="R28" s="128">
        <v>11255.80861252604</v>
      </c>
      <c r="S28" s="130">
        <v>13713.12569091349</v>
      </c>
      <c r="T28" s="128">
        <v>31351.789178404117</v>
      </c>
      <c r="U28" s="128">
        <v>14093.209467377874</v>
      </c>
      <c r="V28" s="154">
        <v>17258.579711025774</v>
      </c>
      <c r="W28" s="128">
        <v>5543.0927101379029</v>
      </c>
      <c r="X28" s="128">
        <v>2458.842359224544</v>
      </c>
      <c r="Y28" s="154">
        <v>3084.2503509132252</v>
      </c>
      <c r="Z28" s="128">
        <v>25808.696468266062</v>
      </c>
      <c r="AA28" s="128">
        <v>11634.36710815339</v>
      </c>
      <c r="AB28" s="130">
        <v>14174.329360112681</v>
      </c>
    </row>
    <row r="29" spans="1:28">
      <c r="A29" s="260" t="s">
        <v>118</v>
      </c>
    </row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19</vt:i4>
      </vt:variant>
      <vt:variant>
        <vt:lpstr>Intervalos com Nome</vt:lpstr>
      </vt:variant>
      <vt:variant>
        <vt:i4>1</vt:i4>
      </vt:variant>
    </vt:vector>
  </HeadingPairs>
  <TitlesOfParts>
    <vt:vector size="20" baseType="lpstr">
      <vt:lpstr>Huambo Província</vt:lpstr>
      <vt:lpstr>Grupos etários</vt:lpstr>
      <vt:lpstr>Bailundo</vt:lpstr>
      <vt:lpstr>Huambo Mun</vt:lpstr>
      <vt:lpstr>Londuimbali</vt:lpstr>
      <vt:lpstr>Caála</vt:lpstr>
      <vt:lpstr>Chicala Choloanga</vt:lpstr>
      <vt:lpstr>Cachiungo</vt:lpstr>
      <vt:lpstr>Mungo</vt:lpstr>
      <vt:lpstr>Longonjo</vt:lpstr>
      <vt:lpstr>Ucuma</vt:lpstr>
      <vt:lpstr>Ecunha</vt:lpstr>
      <vt:lpstr>Chinjenje</vt:lpstr>
      <vt:lpstr>Bimbe</vt:lpstr>
      <vt:lpstr>Cuíma</vt:lpstr>
      <vt:lpstr>Sambo</vt:lpstr>
      <vt:lpstr>Chilata</vt:lpstr>
      <vt:lpstr>Alto Hama</vt:lpstr>
      <vt:lpstr>Galanga</vt:lpstr>
      <vt:lpstr>Caála!OLE_LINK1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Kina</dc:creator>
  <cp:lastModifiedBy>Adilson Gaspar</cp:lastModifiedBy>
  <cp:lastPrinted>2025-09-19T12:30:52Z</cp:lastPrinted>
  <dcterms:created xsi:type="dcterms:W3CDTF">2025-08-25T11:22:45Z</dcterms:created>
  <dcterms:modified xsi:type="dcterms:W3CDTF">2026-03-27T10:47:42Z</dcterms:modified>
</cp:coreProperties>
</file>