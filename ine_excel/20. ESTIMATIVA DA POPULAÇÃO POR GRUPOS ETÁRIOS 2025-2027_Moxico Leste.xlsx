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AF9172C4-9218-4C1C-BBF3-2A24D29D68AC}" xr6:coauthVersionLast="47" xr6:coauthVersionMax="47" xr10:uidLastSave="{00000000-0000-0000-0000-000000000000}"/>
  <bookViews>
    <workbookView xWindow="-120" yWindow="-120" windowWidth="38640" windowHeight="21240" tabRatio="836" xr2:uid="{00000000-000D-0000-FFFF-FFFF00000000}"/>
  </bookViews>
  <sheets>
    <sheet name="Moxico Leste" sheetId="22" r:id="rId1"/>
    <sheet name="Grupos etários" sheetId="19" r:id="rId2"/>
    <sheet name="Luau" sheetId="1" r:id="rId3"/>
    <sheet name="Cazombo" sheetId="21" r:id="rId4"/>
    <sheet name="Luacano" sheetId="3" r:id="rId5"/>
    <sheet name="Cameia" sheetId="4" r:id="rId6"/>
    <sheet name="Lago Dilolo" sheetId="18" r:id="rId7"/>
    <sheet name="Macondo" sheetId="17" r:id="rId8"/>
    <sheet name="Lóvua do Zambeze" sheetId="16" r:id="rId9"/>
    <sheet name="Nana Candundo" sheetId="15" r:id="rId10"/>
    <sheet name="Caianda" sheetId="20" r:id="rId11"/>
  </sheets>
  <definedNames>
    <definedName name="_Toc467739327" localSheetId="5">Cameia!#REF!</definedName>
    <definedName name="_Toc470620764" localSheetId="2">Luau!#REF!</definedName>
    <definedName name="_Toc470620765" localSheetId="2">Luau!#REF!</definedName>
    <definedName name="_Toc470620766" localSheetId="2">Luau!#REF!</definedName>
    <definedName name="_Toc470620767" localSheetId="2">Luau!#REF!</definedName>
    <definedName name="_Toc470620768" localSheetId="2">Luau!#REF!</definedName>
    <definedName name="_Toc470620769" localSheetId="2">Luau!#REF!</definedName>
    <definedName name="_Toc470620770" localSheetId="2">Luau!#REF!</definedName>
    <definedName name="_Toc470620771" localSheetId="2">Luau!#REF!</definedName>
    <definedName name="_Toc470620772" localSheetId="2">Luau!#REF!</definedName>
    <definedName name="_Toc470620773" localSheetId="2">Luau!#REF!</definedName>
    <definedName name="_Toc470620774" localSheetId="2">Luau!#REF!</definedName>
    <definedName name="_Toc470620775" localSheetId="2">Luau!#REF!</definedName>
    <definedName name="_Toc470620776" localSheetId="2">Luau!#REF!</definedName>
    <definedName name="_Toc470620777" localSheetId="2">Luau!#REF!</definedName>
    <definedName name="_Toc470620778" localSheetId="2">Luau!#REF!</definedName>
    <definedName name="_Toc470620779" localSheetId="2">Luau!#REF!</definedName>
    <definedName name="_Toc470620780" localSheetId="2">Luau!#REF!</definedName>
    <definedName name="_Toc470620781" localSheetId="2">Luau!#REF!</definedName>
    <definedName name="_Toc470620782" localSheetId="2">Luau!#REF!</definedName>
    <definedName name="_Toc470620783" localSheetId="2">Luau!#REF!</definedName>
    <definedName name="_Toc470620784" localSheetId="2">Luau!#REF!</definedName>
    <definedName name="_Toc470620785" localSheetId="2">Luau!#REF!</definedName>
    <definedName name="_Toc470620786" localSheetId="2">Luau!#REF!</definedName>
    <definedName name="_Toc470620787" localSheetId="2">Luau!#REF!</definedName>
    <definedName name="_Toc470620788" localSheetId="2">Luau!#REF!</definedName>
    <definedName name="_Toc470620789" localSheetId="2">Luau!#REF!</definedName>
    <definedName name="_Toc470620790" localSheetId="2">Luau!#REF!</definedName>
    <definedName name="_Toc470620791" localSheetId="2">Luau!#REF!</definedName>
    <definedName name="_Toc470620792" localSheetId="2">Luau!#REF!</definedName>
    <definedName name="_Toc470620793" localSheetId="2">Luau!#REF!</definedName>
    <definedName name="_Toc470620794" localSheetId="2">Luau!#REF!</definedName>
    <definedName name="_Toc470620795" localSheetId="2">Luau!#REF!</definedName>
    <definedName name="_Toc470620796" localSheetId="2">Luau!#REF!</definedName>
    <definedName name="_Toc470620797" localSheetId="2">Luau!#REF!</definedName>
    <definedName name="_Toc470620798" localSheetId="2">Luau!#REF!</definedName>
    <definedName name="_Toc470620799" localSheetId="2">Luau!#REF!</definedName>
    <definedName name="_Toc470620800" localSheetId="2">Luau!#REF!</definedName>
    <definedName name="_Toc470620809" localSheetId="2">Luau!#REF!</definedName>
    <definedName name="_Toc470704477" localSheetId="5">Cameia!#REF!</definedName>
    <definedName name="_Toc470704478" localSheetId="5">Cameia!#REF!</definedName>
    <definedName name="_Toc470704479" localSheetId="5">Cameia!#REF!</definedName>
    <definedName name="_Toc470704480" localSheetId="5">Cameia!#REF!</definedName>
    <definedName name="_Toc470704481" localSheetId="5">Cameia!#REF!</definedName>
    <definedName name="_Toc470704482" localSheetId="5">Cameia!#REF!</definedName>
    <definedName name="_Toc470704483" localSheetId="5">Cameia!#REF!</definedName>
    <definedName name="_Toc470704484" localSheetId="5">Cameia!#REF!</definedName>
    <definedName name="_Toc470704485" localSheetId="5">Cameia!#REF!</definedName>
    <definedName name="_Toc470704486" localSheetId="5">Cameia!#REF!</definedName>
    <definedName name="_Toc470704487" localSheetId="5">Cameia!#REF!</definedName>
    <definedName name="_Toc470704488" localSheetId="5">Cameia!#REF!</definedName>
    <definedName name="_Toc470704489" localSheetId="5">Cameia!#REF!</definedName>
    <definedName name="_Toc470704490" localSheetId="5">Cameia!#REF!</definedName>
    <definedName name="_Toc470704491" localSheetId="5">Cameia!#REF!</definedName>
    <definedName name="_Toc470704492" localSheetId="5">Cameia!#REF!</definedName>
    <definedName name="_Toc470704493" localSheetId="5">Cameia!#REF!</definedName>
    <definedName name="_Toc470704494" localSheetId="5">Cameia!#REF!</definedName>
    <definedName name="_Toc470704495" localSheetId="5">Cameia!#REF!</definedName>
    <definedName name="_Toc470704496" localSheetId="5">Cameia!#REF!</definedName>
    <definedName name="_Toc470704498" localSheetId="5">Cameia!#REF!</definedName>
    <definedName name="_Toc470704499" localSheetId="5">Cameia!#REF!</definedName>
    <definedName name="_Toc470704500" localSheetId="5">Cameia!#REF!</definedName>
    <definedName name="_Toc470704501" localSheetId="5">Cameia!#REF!</definedName>
    <definedName name="_Toc470704502" localSheetId="5">Cameia!#REF!</definedName>
    <definedName name="_Toc470704503" localSheetId="5">Cameia!#REF!</definedName>
    <definedName name="_Toc470704504" localSheetId="5">Cameia!#REF!</definedName>
    <definedName name="_Toc470704505" localSheetId="5">Cameia!#REF!</definedName>
    <definedName name="_Toc470704506" localSheetId="5">Cameia!#REF!</definedName>
    <definedName name="_Toc470704507" localSheetId="5">Cameia!#REF!</definedName>
    <definedName name="_Toc470704508" localSheetId="5">Cameia!#REF!</definedName>
    <definedName name="_Toc470704509" localSheetId="5">Cameia!#REF!</definedName>
    <definedName name="_Toc470704510" localSheetId="5">Cameia!#REF!</definedName>
    <definedName name="_Toc470704511" localSheetId="5">Cameia!#REF!</definedName>
    <definedName name="_Toc470704512" localSheetId="5">Cameia!#REF!</definedName>
    <definedName name="_Toc470704513" localSheetId="5">Cameia!#REF!</definedName>
    <definedName name="_Toc470704522" localSheetId="5">Cameia!#REF!</definedName>
    <definedName name="_Toc472320885" localSheetId="4">Luacano!#REF!</definedName>
    <definedName name="_Toc472320886" localSheetId="4">Luacano!#REF!</definedName>
    <definedName name="_Toc472320887" localSheetId="4">Luacano!#REF!</definedName>
    <definedName name="_Toc472320888" localSheetId="4">Luacano!#REF!</definedName>
    <definedName name="_Toc472320889" localSheetId="4">Luacano!#REF!</definedName>
    <definedName name="_Toc472320890" localSheetId="4">Luacano!#REF!</definedName>
    <definedName name="_Toc472320891" localSheetId="4">Luacano!#REF!</definedName>
    <definedName name="_Toc472320892" localSheetId="4">Luacano!#REF!</definedName>
    <definedName name="_Toc472320893" localSheetId="4">Luacano!#REF!</definedName>
    <definedName name="_Toc472320894" localSheetId="4">Luacano!#REF!</definedName>
    <definedName name="_Toc472320895" localSheetId="4">Luacano!#REF!</definedName>
    <definedName name="_Toc472320896" localSheetId="4">Luacano!#REF!</definedName>
    <definedName name="_Toc472320897" localSheetId="4">Luacano!#REF!</definedName>
    <definedName name="_Toc472320898" localSheetId="4">Luacano!#REF!</definedName>
    <definedName name="_Toc472320899" localSheetId="4">Luacano!#REF!</definedName>
    <definedName name="_Toc472320900" localSheetId="4">Luacano!#REF!</definedName>
    <definedName name="_Toc472320901" localSheetId="4">Luacano!#REF!</definedName>
    <definedName name="_Toc472320902" localSheetId="4">Luacano!#REF!</definedName>
    <definedName name="_Toc472320903" localSheetId="4">Luacano!#REF!</definedName>
    <definedName name="_Toc472320904" localSheetId="4">Luacano!#REF!</definedName>
    <definedName name="_Toc472320905" localSheetId="4">Luacano!#REF!</definedName>
    <definedName name="_Toc472320906" localSheetId="4">Luacano!#REF!</definedName>
    <definedName name="_Toc472320907" localSheetId="4">Luacano!#REF!</definedName>
    <definedName name="_Toc472320908" localSheetId="4">Luacano!#REF!</definedName>
    <definedName name="_Toc472320909" localSheetId="4">Luacano!#REF!</definedName>
    <definedName name="_Toc472320910" localSheetId="4">Luacano!#REF!</definedName>
    <definedName name="_Toc472320911" localSheetId="4">Luacano!#REF!</definedName>
    <definedName name="_Toc472320912" localSheetId="4">Luacano!#REF!</definedName>
    <definedName name="_Toc472320913" localSheetId="4">Luacano!#REF!</definedName>
    <definedName name="_Toc472320914" localSheetId="4">Luacano!#REF!</definedName>
    <definedName name="_Toc472320915" localSheetId="4">Luacano!#REF!</definedName>
    <definedName name="_Toc472320916" localSheetId="4">Luacano!#REF!</definedName>
    <definedName name="_Toc472320917" localSheetId="4">Luacano!#REF!</definedName>
    <definedName name="_Toc472320918" localSheetId="4">Luacano!#REF!</definedName>
    <definedName name="_Toc472320919" localSheetId="4">Luacano!#REF!</definedName>
    <definedName name="_Toc472320920" localSheetId="4">Luacano!#REF!</definedName>
    <definedName name="_Toc472320921" localSheetId="4">Luacano!#REF!</definedName>
    <definedName name="_Toc472320929" localSheetId="4">Luacano!#REF!</definedName>
    <definedName name="OLE_LINK1" localSheetId="5">Cameia!$M$11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2" l="1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B6" i="22"/>
  <c r="L5" i="17" l="1"/>
  <c r="M5" i="17"/>
  <c r="Q5" i="17"/>
  <c r="R5" i="17"/>
  <c r="S5" i="17"/>
  <c r="K5" i="17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C5" i="20" l="1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B5" i="20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B5" i="15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B5" i="16"/>
  <c r="W5" i="17"/>
  <c r="T5" i="17"/>
  <c r="U5" i="17"/>
  <c r="V5" i="17"/>
  <c r="X5" i="17"/>
  <c r="Y5" i="17"/>
  <c r="Z5" i="17"/>
  <c r="AA5" i="17"/>
  <c r="AB5" i="17"/>
  <c r="C5" i="17"/>
  <c r="D5" i="17"/>
  <c r="E5" i="17"/>
  <c r="F5" i="17"/>
  <c r="G5" i="17"/>
  <c r="H5" i="17"/>
  <c r="I5" i="17"/>
  <c r="J5" i="17"/>
  <c r="B5" i="17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C5" i="18"/>
  <c r="D5" i="18"/>
  <c r="E5" i="18"/>
  <c r="F5" i="18"/>
  <c r="G5" i="18"/>
  <c r="H5" i="18"/>
  <c r="I5" i="18"/>
  <c r="J5" i="18"/>
  <c r="B5" i="18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B5" i="4"/>
  <c r="K5" i="3"/>
  <c r="C5" i="3"/>
  <c r="D5" i="3"/>
  <c r="E5" i="3"/>
  <c r="F5" i="3"/>
  <c r="G5" i="3"/>
  <c r="H5" i="3"/>
  <c r="I5" i="3"/>
  <c r="J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B5" i="3"/>
  <c r="U5" i="1"/>
  <c r="V5" i="1"/>
  <c r="W5" i="1"/>
  <c r="X5" i="1"/>
  <c r="Y5" i="1"/>
  <c r="Z5" i="1"/>
  <c r="AA5" i="1"/>
  <c r="AB5" i="1"/>
  <c r="T5" i="1"/>
  <c r="L5" i="1"/>
  <c r="M5" i="1"/>
  <c r="N5" i="1"/>
  <c r="O5" i="1"/>
  <c r="P5" i="1"/>
  <c r="Q5" i="1"/>
  <c r="R5" i="1"/>
  <c r="S5" i="1"/>
  <c r="K5" i="1"/>
  <c r="C5" i="1"/>
  <c r="D5" i="1"/>
  <c r="E5" i="1"/>
  <c r="F5" i="1"/>
  <c r="G5" i="1"/>
  <c r="H5" i="1"/>
  <c r="I5" i="1"/>
  <c r="J5" i="1"/>
  <c r="B5" i="1"/>
  <c r="U5" i="19"/>
  <c r="V5" i="19"/>
  <c r="W5" i="19"/>
  <c r="X5" i="19"/>
  <c r="Y5" i="19"/>
  <c r="Z5" i="19"/>
  <c r="AA5" i="19"/>
  <c r="AB5" i="19"/>
  <c r="T5" i="19"/>
  <c r="L5" i="19"/>
  <c r="M5" i="19"/>
  <c r="N5" i="19"/>
  <c r="O5" i="19"/>
  <c r="P5" i="19"/>
  <c r="Q5" i="19"/>
  <c r="R5" i="19"/>
  <c r="S5" i="19"/>
  <c r="K5" i="19"/>
  <c r="C5" i="19"/>
  <c r="D5" i="19"/>
  <c r="E5" i="19"/>
  <c r="F5" i="19"/>
  <c r="G5" i="19"/>
  <c r="H5" i="19"/>
  <c r="I5" i="19"/>
  <c r="J5" i="19"/>
  <c r="B5" i="19"/>
</calcChain>
</file>

<file path=xl/sharedStrings.xml><?xml version="1.0" encoding="utf-8"?>
<sst xmlns="http://schemas.openxmlformats.org/spreadsheetml/2006/main" count="712" uniqueCount="83">
  <si>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</si>
  <si>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</si>
  <si>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</si>
  <si>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</si>
  <si>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</si>
  <si>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</si>
  <si>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</si>
  <si>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</si>
  <si>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</si>
  <si>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</si>
  <si>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</si>
  <si>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</si>
  <si>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</si>
  <si>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</si>
  <si>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</si>
  <si>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</si>
  <si>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</si>
  <si>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</si>
  <si>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</si>
  <si>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</si>
  <si>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</si>
  <si>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</si>
  <si>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</si>
  <si>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>Luau</t>
  </si>
  <si>
    <t>Luau 2025</t>
  </si>
  <si>
    <t xml:space="preserve">Grupos etários </t>
  </si>
  <si>
    <t>Luau 2026</t>
  </si>
  <si>
    <t>Luau 2027</t>
  </si>
  <si>
    <t>80-84 anos</t>
  </si>
  <si>
    <t>85-89 anos</t>
  </si>
  <si>
    <t>90-94 anos</t>
  </si>
  <si>
    <t>95 ou mais anos</t>
  </si>
  <si>
    <t>Luacano</t>
  </si>
  <si>
    <t>Luacano 2025</t>
  </si>
  <si>
    <t>Grupos etários</t>
  </si>
  <si>
    <t>Luacano 2026</t>
  </si>
  <si>
    <t>Luacano 2027</t>
  </si>
  <si>
    <t>Cameia 2025</t>
  </si>
  <si>
    <t>Cameia 2026</t>
  </si>
  <si>
    <t>Cameia 2027</t>
  </si>
  <si>
    <t>Lago Dilolo</t>
  </si>
  <si>
    <t>Lago Dilolo 2025</t>
  </si>
  <si>
    <t>Lago Dilolo 2026</t>
  </si>
  <si>
    <t>Lago Dilolo 2027</t>
  </si>
  <si>
    <t>Macondo</t>
  </si>
  <si>
    <t>Macondo 2025</t>
  </si>
  <si>
    <t>Macondo 2026</t>
  </si>
  <si>
    <t>Macondo 2027</t>
  </si>
  <si>
    <t>Lóvua do Zambeze</t>
  </si>
  <si>
    <t>Lóvua do Zambeze 2025</t>
  </si>
  <si>
    <t>Lóvua do Zambeze 2026</t>
  </si>
  <si>
    <t>Lóvua do Zambeze 2027</t>
  </si>
  <si>
    <t>Nana Candundo</t>
  </si>
  <si>
    <t>Nana Candundo 2025</t>
  </si>
  <si>
    <t>Nana Candundo 2026</t>
  </si>
  <si>
    <t>Nana Candundo 2027</t>
  </si>
  <si>
    <t>Caianda</t>
  </si>
  <si>
    <t>Caianda 2025</t>
  </si>
  <si>
    <t>Caianda 2026</t>
  </si>
  <si>
    <t>Caianda 2027</t>
  </si>
  <si>
    <t>Moxico Leste</t>
  </si>
  <si>
    <t>Moxico Leste 2025</t>
  </si>
  <si>
    <t>Moxico Leste 2026</t>
  </si>
  <si>
    <t>Moxico Leste 2027</t>
  </si>
  <si>
    <t>0 - 17 anos</t>
  </si>
  <si>
    <t>Cazombo</t>
  </si>
  <si>
    <t>Cazombo 2025</t>
  </si>
  <si>
    <t>Cazombo 2026</t>
  </si>
  <si>
    <t>Cazombo 2027</t>
  </si>
  <si>
    <t>Cameia</t>
  </si>
  <si>
    <t>Municípios</t>
  </si>
  <si>
    <t>Quadro 00 - População estimada por municípios, segundo a área de residência e sexo, Moxico Leste 2025-2027</t>
  </si>
  <si>
    <t>Quadro 01 -  População estimada por grupos etários, segundo a área de residência e sexo, Moxico Leste 2025-2027</t>
  </si>
  <si>
    <t>Quadro 1 -  População estimada por grupos etários, segundo a área de residência e sexo, Luau 2025-2027</t>
  </si>
  <si>
    <t>Quadro 2-  População estimada por grupos etários, segundo a área de residência e sexo, Cazombo 2025-2027</t>
  </si>
  <si>
    <t>Quadro 3 -  População estimada por grupos etários, segundo a área de residência e sexo, Luacano 2025-2027</t>
  </si>
  <si>
    <t>Quadro 4 -  População estimada por grupos etários, segundo a área de residência e sexo, Cameia 2025-2027</t>
  </si>
  <si>
    <t>Quadro 5 -  População estimada por grupos etários, segundo a área de residência e sexo, Largo Dilolo 2025-2027</t>
  </si>
  <si>
    <t>Quadro 6 -  População estimada por grupos etários, segundo a área de residência e sexo, Macondo 2025-2027</t>
  </si>
  <si>
    <t>Quadro 7 -  População estimada por grupos etários, segundo a área de residência e sexo,  Lóvua do Zambeze 2025-2027</t>
  </si>
  <si>
    <t>Quadro 8-  População estimada por grupos etários, segundo a área de residência e sexo, Nana Candundo 2025-2027</t>
  </si>
  <si>
    <t>Quadro 9 -  População estimada por grupos etários, segundo a área de residência e sexo, Caianda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</si>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</sst>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</numFmts>
  <fonts count="9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89">
    <xf numFmtId="0" fontId="0" fillId="0" borderId="0" xfId="0"/>
    <xf numFmtId="0" fontId="2" fillId="2" borderId="0" xfId="0" applyFont="1" applyFill="1"/>
    <xf numFmtId="3" fontId="2" fillId="2" borderId="0" xfId="0" applyNumberFormat="1" applyFont="1" applyFill="1" applyAlignment="1">
      <alignment horizontal="right" vertical="center"/>
    </xf>
    <xf numFmtId="0" fontId="6" fillId="2" borderId="0" xfId="0" applyFont="1" applyFill="1"/>
    <xf numFmtId="0" fontId="1" fillId="2" borderId="0" xfId="0" applyFont="1" applyFill="1"/>
    <xf numFmtId="3" fontId="2" fillId="2" borderId="1" xfId="0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/>
    </xf>
    <xf numFmtId="0" fontId="6" fillId="2" borderId="16" xfId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wrapText="1"/>
    </xf>
    <xf numFmtId="0" fontId="6" fillId="2" borderId="1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 wrapText="1"/>
    </xf>
    <xf numFmtId="0" fontId="6" fillId="2" borderId="18" xfId="1" applyFont="1" applyFill="1" applyBorder="1" applyAlignment="1">
      <alignment horizontal="center" wrapText="1"/>
    </xf>
    <xf numFmtId="0" fontId="7" fillId="2" borderId="14" xfId="1" applyFont="1" applyFill="1" applyBorder="1" applyAlignment="1">
      <alignment vertical="center" wrapText="1"/>
    </xf>
    <xf numFmtId="165" fontId="7" fillId="2" borderId="1" xfId="2" applyNumberFormat="1" applyFont="1" applyFill="1" applyBorder="1" applyAlignment="1">
      <alignment vertical="center" wrapText="1"/>
    </xf>
    <xf numFmtId="165" fontId="7" fillId="2" borderId="17" xfId="2" applyNumberFormat="1" applyFont="1" applyFill="1" applyBorder="1" applyAlignment="1">
      <alignment vertical="center" wrapText="1"/>
    </xf>
    <xf numFmtId="165" fontId="7" fillId="2" borderId="6" xfId="2" applyNumberFormat="1" applyFont="1" applyFill="1" applyBorder="1" applyAlignment="1">
      <alignment vertical="center" wrapText="1"/>
    </xf>
    <xf numFmtId="165" fontId="7" fillId="2" borderId="18" xfId="2" applyNumberFormat="1" applyFont="1" applyFill="1" applyBorder="1" applyAlignment="1">
      <alignment vertical="center" wrapText="1"/>
    </xf>
    <xf numFmtId="0" fontId="6" fillId="2" borderId="20" xfId="1" applyFont="1" applyFill="1" applyBorder="1" applyAlignment="1">
      <alignment horizontal="left" vertical="top" wrapText="1" indent="1"/>
    </xf>
    <xf numFmtId="165" fontId="6" fillId="2" borderId="0" xfId="2" applyNumberFormat="1" applyFont="1" applyFill="1" applyBorder="1" applyAlignment="1">
      <alignment horizontal="right" vertical="center"/>
    </xf>
    <xf numFmtId="165" fontId="6" fillId="2" borderId="21" xfId="2" applyNumberFormat="1" applyFont="1" applyFill="1" applyBorder="1" applyAlignment="1">
      <alignment horizontal="right" vertical="center"/>
    </xf>
    <xf numFmtId="165" fontId="6" fillId="2" borderId="22" xfId="2" applyNumberFormat="1" applyFont="1" applyFill="1" applyBorder="1" applyAlignment="1">
      <alignment horizontal="right" vertical="center"/>
    </xf>
    <xf numFmtId="165" fontId="6" fillId="2" borderId="23" xfId="2" applyNumberFormat="1" applyFont="1" applyFill="1" applyBorder="1" applyAlignment="1">
      <alignment horizontal="right" vertical="center"/>
    </xf>
    <xf numFmtId="0" fontId="6" fillId="2" borderId="20" xfId="0" applyFont="1" applyFill="1" applyBorder="1" applyAlignment="1">
      <alignment horizontal="left" indent="1"/>
    </xf>
    <xf numFmtId="165" fontId="6" fillId="2" borderId="0" xfId="2" applyNumberFormat="1" applyFont="1" applyFill="1" applyBorder="1"/>
    <xf numFmtId="165" fontId="6" fillId="2" borderId="21" xfId="2" applyNumberFormat="1" applyFont="1" applyFill="1" applyBorder="1"/>
    <xf numFmtId="165" fontId="6" fillId="2" borderId="22" xfId="2" applyNumberFormat="1" applyFont="1" applyFill="1" applyBorder="1"/>
    <xf numFmtId="165" fontId="6" fillId="2" borderId="23" xfId="2" applyNumberFormat="1" applyFont="1" applyFill="1" applyBorder="1"/>
    <xf numFmtId="0" fontId="6" fillId="2" borderId="14" xfId="0" applyFont="1" applyFill="1" applyBorder="1" applyAlignment="1">
      <alignment horizontal="left" indent="1"/>
    </xf>
    <xf numFmtId="165" fontId="6" fillId="2" borderId="1" xfId="2" applyNumberFormat="1" applyFont="1" applyFill="1" applyBorder="1"/>
    <xf numFmtId="165" fontId="6" fillId="2" borderId="16" xfId="2" applyNumberFormat="1" applyFont="1" applyFill="1" applyBorder="1"/>
    <xf numFmtId="165" fontId="6" fillId="2" borderId="15" xfId="2" applyNumberFormat="1" applyFont="1" applyFill="1" applyBorder="1"/>
    <xf numFmtId="165" fontId="6" fillId="2" borderId="19" xfId="2" applyNumberFormat="1" applyFont="1" applyFill="1" applyBorder="1"/>
    <xf numFmtId="0" fontId="6" fillId="2" borderId="20" xfId="0" applyFont="1" applyFill="1" applyBorder="1" applyAlignment="1">
      <alignment horizontal="left" vertical="center" indent="1"/>
    </xf>
    <xf numFmtId="165" fontId="6" fillId="2" borderId="0" xfId="2" applyNumberFormat="1" applyFont="1" applyFill="1" applyBorder="1" applyAlignment="1">
      <alignment vertical="center"/>
    </xf>
    <xf numFmtId="165" fontId="6" fillId="2" borderId="21" xfId="2" applyNumberFormat="1" applyFont="1" applyFill="1" applyBorder="1" applyAlignment="1">
      <alignment vertical="center"/>
    </xf>
    <xf numFmtId="165" fontId="6" fillId="2" borderId="22" xfId="2" applyNumberFormat="1" applyFont="1" applyFill="1" applyBorder="1" applyAlignment="1">
      <alignment vertical="center"/>
    </xf>
    <xf numFmtId="165" fontId="6" fillId="2" borderId="23" xfId="2" applyNumberFormat="1" applyFont="1" applyFill="1" applyBorder="1" applyAlignment="1">
      <alignment vertical="center"/>
    </xf>
    <xf numFmtId="0" fontId="6" fillId="2" borderId="14" xfId="0" applyFont="1" applyFill="1" applyBorder="1" applyAlignment="1">
      <alignment horizontal="left" vertical="center" indent="1"/>
    </xf>
    <xf numFmtId="165" fontId="6" fillId="2" borderId="1" xfId="2" applyNumberFormat="1" applyFont="1" applyFill="1" applyBorder="1" applyAlignment="1">
      <alignment vertical="center"/>
    </xf>
    <xf numFmtId="165" fontId="6" fillId="2" borderId="16" xfId="2" applyNumberFormat="1" applyFont="1" applyFill="1" applyBorder="1" applyAlignment="1">
      <alignment vertical="center"/>
    </xf>
    <xf numFmtId="165" fontId="6" fillId="2" borderId="15" xfId="2" applyNumberFormat="1" applyFont="1" applyFill="1" applyBorder="1" applyAlignment="1">
      <alignment vertical="center"/>
    </xf>
    <xf numFmtId="165" fontId="6" fillId="2" borderId="19" xfId="2" applyNumberFormat="1" applyFont="1" applyFill="1" applyBorder="1" applyAlignment="1">
      <alignment vertical="center"/>
    </xf>
    <xf numFmtId="0" fontId="6" fillId="2" borderId="20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164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vertical="center"/>
    </xf>
    <xf numFmtId="0" fontId="7" fillId="0" borderId="4" xfId="1" applyFont="1" applyBorder="1" applyAlignment="1">
      <alignment vertical="center" wrapText="1"/>
    </xf>
    <xf numFmtId="0" fontId="7" fillId="2" borderId="4" xfId="1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2" xfId="0" applyNumberFormat="1" applyFon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23" xfId="0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3" fontId="1" fillId="2" borderId="9" xfId="0" applyNumberFormat="1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0" fontId="1" fillId="2" borderId="1" xfId="0" applyFont="1" applyFill="1" applyBorder="1"/>
    <xf numFmtId="0" fontId="2" fillId="2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5" fontId="7" fillId="2" borderId="9" xfId="2" applyNumberFormat="1" applyFont="1" applyFill="1" applyBorder="1" applyAlignment="1">
      <alignment vertical="center" wrapText="1"/>
    </xf>
    <xf numFmtId="165" fontId="7" fillId="2" borderId="10" xfId="2" applyNumberFormat="1" applyFont="1" applyFill="1" applyBorder="1" applyAlignment="1">
      <alignment vertical="center" wrapText="1"/>
    </xf>
    <xf numFmtId="165" fontId="6" fillId="2" borderId="14" xfId="2" applyNumberFormat="1" applyFont="1" applyFill="1" applyBorder="1"/>
    <xf numFmtId="0" fontId="6" fillId="2" borderId="2" xfId="1" applyFont="1" applyFill="1" applyBorder="1" applyAlignment="1">
      <alignment horizont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 wrapText="1"/>
    </xf>
    <xf numFmtId="165" fontId="6" fillId="2" borderId="0" xfId="3" applyNumberFormat="1" applyFont="1" applyFill="1" applyBorder="1" applyAlignment="1">
      <alignment horizontal="right" vertical="center"/>
    </xf>
    <xf numFmtId="165" fontId="6" fillId="2" borderId="21" xfId="3" applyNumberFormat="1" applyFont="1" applyFill="1" applyBorder="1" applyAlignment="1">
      <alignment horizontal="right" vertical="center"/>
    </xf>
    <xf numFmtId="165" fontId="6" fillId="2" borderId="22" xfId="3" applyNumberFormat="1" applyFont="1" applyFill="1" applyBorder="1" applyAlignment="1">
      <alignment horizontal="right" vertical="center"/>
    </xf>
    <xf numFmtId="165" fontId="6" fillId="2" borderId="0" xfId="3" applyNumberFormat="1" applyFont="1" applyFill="1" applyBorder="1"/>
    <xf numFmtId="165" fontId="6" fillId="2" borderId="21" xfId="3" applyNumberFormat="1" applyFont="1" applyFill="1" applyBorder="1"/>
    <xf numFmtId="165" fontId="6" fillId="2" borderId="22" xfId="3" applyNumberFormat="1" applyFont="1" applyFill="1" applyBorder="1"/>
    <xf numFmtId="165" fontId="6" fillId="2" borderId="1" xfId="3" applyNumberFormat="1" applyFont="1" applyFill="1" applyBorder="1"/>
    <xf numFmtId="165" fontId="6" fillId="2" borderId="16" xfId="3" applyNumberFormat="1" applyFont="1" applyFill="1" applyBorder="1"/>
    <xf numFmtId="165" fontId="2" fillId="2" borderId="0" xfId="3" applyNumberFormat="1" applyFont="1" applyFill="1" applyBorder="1" applyAlignment="1">
      <alignment horizontal="right" vertical="center"/>
    </xf>
    <xf numFmtId="165" fontId="6" fillId="2" borderId="0" xfId="3" applyNumberFormat="1" applyFont="1" applyFill="1" applyBorder="1" applyAlignment="1">
      <alignment vertical="center"/>
    </xf>
    <xf numFmtId="165" fontId="6" fillId="2" borderId="21" xfId="3" applyNumberFormat="1" applyFont="1" applyFill="1" applyBorder="1" applyAlignment="1">
      <alignment vertical="center"/>
    </xf>
    <xf numFmtId="165" fontId="6" fillId="2" borderId="22" xfId="3" applyNumberFormat="1" applyFont="1" applyFill="1" applyBorder="1" applyAlignment="1">
      <alignment vertical="center"/>
    </xf>
    <xf numFmtId="165" fontId="4" fillId="2" borderId="0" xfId="3" applyNumberFormat="1" applyFont="1" applyFill="1" applyAlignment="1">
      <alignment vertical="center"/>
    </xf>
    <xf numFmtId="165" fontId="6" fillId="2" borderId="0" xfId="3" applyNumberFormat="1" applyFont="1" applyFill="1"/>
    <xf numFmtId="166" fontId="2" fillId="2" borderId="0" xfId="3" applyNumberFormat="1" applyFont="1" applyFill="1" applyBorder="1" applyAlignment="1">
      <alignment horizontal="right" vertical="center"/>
    </xf>
    <xf numFmtId="165" fontId="6" fillId="2" borderId="0" xfId="3" applyNumberFormat="1" applyFont="1" applyFill="1" applyAlignment="1">
      <alignment horizontal="right"/>
    </xf>
    <xf numFmtId="165" fontId="6" fillId="2" borderId="23" xfId="3" applyNumberFormat="1" applyFont="1" applyFill="1" applyBorder="1" applyAlignment="1">
      <alignment horizontal="right" vertical="center"/>
    </xf>
    <xf numFmtId="165" fontId="6" fillId="2" borderId="23" xfId="3" applyNumberFormat="1" applyFont="1" applyFill="1" applyBorder="1"/>
    <xf numFmtId="165" fontId="6" fillId="2" borderId="15" xfId="3" applyNumberFormat="1" applyFont="1" applyFill="1" applyBorder="1"/>
    <xf numFmtId="165" fontId="6" fillId="2" borderId="23" xfId="3" applyNumberFormat="1" applyFont="1" applyFill="1" applyBorder="1" applyAlignment="1">
      <alignment vertical="center"/>
    </xf>
    <xf numFmtId="165" fontId="6" fillId="2" borderId="0" xfId="3" applyNumberFormat="1" applyFont="1" applyFill="1" applyBorder="1" applyAlignment="1">
      <alignment horizontal="left"/>
    </xf>
    <xf numFmtId="165" fontId="6" fillId="2" borderId="19" xfId="3" applyNumberFormat="1" applyFont="1" applyFill="1" applyBorder="1"/>
    <xf numFmtId="166" fontId="2" fillId="2" borderId="1" xfId="3" applyNumberFormat="1" applyFont="1" applyFill="1" applyBorder="1" applyAlignment="1">
      <alignment horizontal="right" vertical="center"/>
    </xf>
    <xf numFmtId="166" fontId="2" fillId="2" borderId="21" xfId="3" applyNumberFormat="1" applyFont="1" applyFill="1" applyBorder="1" applyAlignment="1">
      <alignment horizontal="right" vertical="center"/>
    </xf>
    <xf numFmtId="166" fontId="2" fillId="2" borderId="16" xfId="3" applyNumberFormat="1" applyFont="1" applyFill="1" applyBorder="1" applyAlignment="1">
      <alignment horizontal="right" vertical="center"/>
    </xf>
    <xf numFmtId="166" fontId="2" fillId="2" borderId="19" xfId="3" applyNumberFormat="1" applyFont="1" applyFill="1" applyBorder="1" applyAlignment="1">
      <alignment horizontal="right" vertical="center"/>
    </xf>
    <xf numFmtId="1" fontId="6" fillId="2" borderId="0" xfId="2" applyNumberFormat="1" applyFont="1" applyFill="1" applyBorder="1" applyAlignment="1">
      <alignment horizontal="right" vertical="center"/>
    </xf>
    <xf numFmtId="1" fontId="2" fillId="2" borderId="23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" fontId="2" fillId="2" borderId="21" xfId="0" applyNumberFormat="1" applyFont="1" applyFill="1" applyBorder="1" applyAlignment="1">
      <alignment horizontal="right" vertical="center"/>
    </xf>
    <xf numFmtId="1" fontId="6" fillId="2" borderId="22" xfId="2" applyNumberFormat="1" applyFont="1" applyFill="1" applyBorder="1" applyAlignment="1">
      <alignment horizontal="right" vertical="center"/>
    </xf>
    <xf numFmtId="1" fontId="6" fillId="2" borderId="0" xfId="2" applyNumberFormat="1" applyFont="1" applyFill="1" applyBorder="1"/>
    <xf numFmtId="1" fontId="6" fillId="2" borderId="22" xfId="2" applyNumberFormat="1" applyFont="1" applyFill="1" applyBorder="1"/>
    <xf numFmtId="1" fontId="6" fillId="2" borderId="1" xfId="2" applyNumberFormat="1" applyFont="1" applyFill="1" applyBorder="1"/>
    <xf numFmtId="1" fontId="2" fillId="2" borderId="1" xfId="0" applyNumberFormat="1" applyFont="1" applyFill="1" applyBorder="1" applyAlignment="1">
      <alignment horizontal="right" vertical="center"/>
    </xf>
    <xf numFmtId="1" fontId="2" fillId="2" borderId="19" xfId="0" applyNumberFormat="1" applyFont="1" applyFill="1" applyBorder="1" applyAlignment="1">
      <alignment horizontal="right" vertical="center"/>
    </xf>
    <xf numFmtId="1" fontId="2" fillId="2" borderId="16" xfId="0" applyNumberFormat="1" applyFont="1" applyFill="1" applyBorder="1" applyAlignment="1">
      <alignment horizontal="right" vertical="center"/>
    </xf>
    <xf numFmtId="1" fontId="2" fillId="2" borderId="15" xfId="0" applyNumberFormat="1" applyFont="1" applyFill="1" applyBorder="1" applyAlignment="1">
      <alignment horizontal="right" vertical="center"/>
    </xf>
    <xf numFmtId="1" fontId="6" fillId="2" borderId="0" xfId="2" applyNumberFormat="1" applyFont="1" applyFill="1" applyBorder="1" applyAlignment="1">
      <alignment vertical="center"/>
    </xf>
    <xf numFmtId="1" fontId="6" fillId="2" borderId="22" xfId="2" applyNumberFormat="1" applyFont="1" applyFill="1" applyBorder="1" applyAlignment="1">
      <alignment vertical="center"/>
    </xf>
    <xf numFmtId="1" fontId="6" fillId="2" borderId="0" xfId="0" applyNumberFormat="1" applyFont="1" applyFill="1" applyAlignment="1">
      <alignment horizontal="right"/>
    </xf>
    <xf numFmtId="165" fontId="6" fillId="2" borderId="2" xfId="3" applyNumberFormat="1" applyFont="1" applyFill="1" applyBorder="1" applyAlignment="1">
      <alignment horizontal="right" vertical="center"/>
    </xf>
    <xf numFmtId="166" fontId="7" fillId="2" borderId="1" xfId="2" applyNumberFormat="1" applyFont="1" applyFill="1" applyBorder="1" applyAlignment="1">
      <alignment vertical="center" wrapText="1"/>
    </xf>
    <xf numFmtId="166" fontId="7" fillId="2" borderId="6" xfId="2" applyNumberFormat="1" applyFont="1" applyFill="1" applyBorder="1" applyAlignment="1">
      <alignment vertical="center" wrapText="1"/>
    </xf>
    <xf numFmtId="166" fontId="2" fillId="2" borderId="23" xfId="3" applyNumberFormat="1" applyFont="1" applyFill="1" applyBorder="1" applyAlignment="1">
      <alignment horizontal="right" vertical="center"/>
    </xf>
    <xf numFmtId="166" fontId="6" fillId="2" borderId="0" xfId="3" applyNumberFormat="1" applyFont="1" applyFill="1"/>
    <xf numFmtId="166" fontId="7" fillId="2" borderId="18" xfId="2" applyNumberFormat="1" applyFont="1" applyFill="1" applyBorder="1" applyAlignment="1">
      <alignment vertical="center" wrapText="1"/>
    </xf>
    <xf numFmtId="166" fontId="2" fillId="2" borderId="15" xfId="3" applyNumberFormat="1" applyFont="1" applyFill="1" applyBorder="1" applyAlignment="1">
      <alignment horizontal="right" vertical="center"/>
    </xf>
    <xf numFmtId="165" fontId="2" fillId="2" borderId="22" xfId="3" applyNumberFormat="1" applyFont="1" applyFill="1" applyBorder="1" applyAlignment="1">
      <alignment horizontal="right" vertical="center"/>
    </xf>
    <xf numFmtId="3" fontId="1" fillId="2" borderId="10" xfId="0" applyNumberFormat="1" applyFont="1" applyFill="1" applyBorder="1" applyAlignment="1">
      <alignment horizontal="right" vertical="center" wrapText="1"/>
    </xf>
    <xf numFmtId="1" fontId="1" fillId="2" borderId="17" xfId="0" applyNumberFormat="1" applyFont="1" applyFill="1" applyBorder="1" applyAlignment="1">
      <alignment horizontal="right" vertical="center" wrapText="1"/>
    </xf>
    <xf numFmtId="1" fontId="1" fillId="2" borderId="6" xfId="0" applyNumberFormat="1" applyFont="1" applyFill="1" applyBorder="1" applyAlignment="1">
      <alignment horizontal="right" vertical="center" wrapText="1"/>
    </xf>
    <xf numFmtId="1" fontId="2" fillId="2" borderId="23" xfId="3" applyNumberFormat="1" applyFont="1" applyFill="1" applyBorder="1" applyAlignment="1">
      <alignment horizontal="right" vertical="center"/>
    </xf>
    <xf numFmtId="1" fontId="2" fillId="2" borderId="21" xfId="3" applyNumberFormat="1" applyFont="1" applyFill="1" applyBorder="1" applyAlignment="1">
      <alignment horizontal="right" vertical="center"/>
    </xf>
    <xf numFmtId="1" fontId="6" fillId="2" borderId="0" xfId="3" applyNumberFormat="1" applyFont="1" applyFill="1"/>
    <xf numFmtId="3" fontId="2" fillId="2" borderId="23" xfId="3" applyNumberFormat="1" applyFont="1" applyFill="1" applyBorder="1" applyAlignment="1">
      <alignment horizontal="right" vertical="center"/>
    </xf>
    <xf numFmtId="3" fontId="2" fillId="2" borderId="21" xfId="3" applyNumberFormat="1" applyFont="1" applyFill="1" applyBorder="1" applyAlignment="1">
      <alignment horizontal="right" vertical="center"/>
    </xf>
    <xf numFmtId="3" fontId="6" fillId="2" borderId="0" xfId="3" applyNumberFormat="1" applyFont="1" applyFill="1" applyAlignment="1">
      <alignment horizontal="right"/>
    </xf>
    <xf numFmtId="3" fontId="6" fillId="2" borderId="0" xfId="3" applyNumberFormat="1" applyFont="1" applyFill="1"/>
    <xf numFmtId="1" fontId="2" fillId="2" borderId="17" xfId="0" applyNumberFormat="1" applyFont="1" applyFill="1" applyBorder="1" applyAlignment="1">
      <alignment horizontal="right" vertical="center"/>
    </xf>
    <xf numFmtId="1" fontId="2" fillId="2" borderId="6" xfId="0" applyNumberFormat="1" applyFont="1" applyFill="1" applyBorder="1" applyAlignment="1">
      <alignment horizontal="right" vertical="center"/>
    </xf>
    <xf numFmtId="1" fontId="2" fillId="2" borderId="18" xfId="0" applyNumberFormat="1" applyFont="1" applyFill="1" applyBorder="1" applyAlignment="1">
      <alignment horizontal="right" vertical="center"/>
    </xf>
    <xf numFmtId="165" fontId="2" fillId="2" borderId="1" xfId="3" applyNumberFormat="1" applyFont="1" applyFill="1" applyBorder="1"/>
    <xf numFmtId="164" fontId="6" fillId="2" borderId="24" xfId="0" applyNumberFormat="1" applyFont="1" applyFill="1" applyBorder="1" applyAlignment="1">
      <alignment horizontal="right"/>
    </xf>
    <xf numFmtId="165" fontId="2" fillId="2" borderId="15" xfId="3" applyNumberFormat="1" applyFont="1" applyFill="1" applyBorder="1"/>
    <xf numFmtId="165" fontId="6" fillId="2" borderId="27" xfId="3" applyNumberFormat="1" applyFont="1" applyFill="1" applyBorder="1"/>
    <xf numFmtId="165" fontId="2" fillId="2" borderId="16" xfId="3" applyNumberFormat="1" applyFont="1" applyFill="1" applyBorder="1"/>
    <xf numFmtId="165" fontId="6" fillId="2" borderId="25" xfId="3" applyNumberFormat="1" applyFont="1" applyFill="1" applyBorder="1"/>
    <xf numFmtId="164" fontId="6" fillId="2" borderId="25" xfId="0" applyNumberFormat="1" applyFont="1" applyFill="1" applyBorder="1" applyAlignment="1">
      <alignment horizontal="right"/>
    </xf>
    <xf numFmtId="165" fontId="2" fillId="2" borderId="19" xfId="3" applyNumberFormat="1" applyFont="1" applyFill="1" applyBorder="1"/>
    <xf numFmtId="164" fontId="6" fillId="2" borderId="27" xfId="0" applyNumberFormat="1" applyFont="1" applyFill="1" applyBorder="1" applyAlignment="1">
      <alignment horizontal="right"/>
    </xf>
    <xf numFmtId="165" fontId="2" fillId="2" borderId="21" xfId="3" applyNumberFormat="1" applyFont="1" applyFill="1" applyBorder="1"/>
    <xf numFmtId="165" fontId="6" fillId="2" borderId="27" xfId="3" applyNumberFormat="1" applyFont="1" applyFill="1" applyBorder="1" applyAlignment="1">
      <alignment horizontal="right"/>
    </xf>
    <xf numFmtId="165" fontId="6" fillId="2" borderId="25" xfId="3" applyNumberFormat="1" applyFont="1" applyFill="1" applyBorder="1" applyAlignment="1">
      <alignment horizontal="right"/>
    </xf>
    <xf numFmtId="165" fontId="6" fillId="2" borderId="24" xfId="3" applyNumberFormat="1" applyFont="1" applyFill="1" applyBorder="1" applyAlignment="1">
      <alignment horizontal="right"/>
    </xf>
    <xf numFmtId="165" fontId="4" fillId="2" borderId="0" xfId="3" applyNumberFormat="1" applyFont="1" applyFill="1" applyBorder="1" applyAlignment="1">
      <alignment vertical="center"/>
    </xf>
    <xf numFmtId="165" fontId="6" fillId="2" borderId="0" xfId="3" applyNumberFormat="1" applyFont="1" applyFill="1" applyBorder="1" applyAlignment="1">
      <alignment horizontal="right"/>
    </xf>
    <xf numFmtId="165" fontId="6" fillId="2" borderId="24" xfId="3" applyNumberFormat="1" applyFont="1" applyFill="1" applyBorder="1"/>
    <xf numFmtId="166" fontId="6" fillId="2" borderId="25" xfId="3" applyNumberFormat="1" applyFont="1" applyFill="1" applyBorder="1"/>
    <xf numFmtId="1" fontId="6" fillId="2" borderId="25" xfId="0" applyNumberFormat="1" applyFont="1" applyFill="1" applyBorder="1" applyAlignment="1">
      <alignment horizontal="right"/>
    </xf>
    <xf numFmtId="1" fontId="6" fillId="2" borderId="21" xfId="2" applyNumberFormat="1" applyFont="1" applyFill="1" applyBorder="1" applyAlignment="1">
      <alignment vertical="center"/>
    </xf>
    <xf numFmtId="1" fontId="2" fillId="2" borderId="19" xfId="0" applyNumberFormat="1" applyFont="1" applyFill="1" applyBorder="1"/>
    <xf numFmtId="166" fontId="2" fillId="2" borderId="1" xfId="3" applyNumberFormat="1" applyFont="1" applyFill="1" applyBorder="1"/>
    <xf numFmtId="166" fontId="2" fillId="2" borderId="16" xfId="3" applyNumberFormat="1" applyFont="1" applyFill="1" applyBorder="1"/>
    <xf numFmtId="1" fontId="2" fillId="2" borderId="1" xfId="0" applyNumberFormat="1" applyFont="1" applyFill="1" applyBorder="1"/>
    <xf numFmtId="1" fontId="2" fillId="2" borderId="16" xfId="0" applyNumberFormat="1" applyFont="1" applyFill="1" applyBorder="1"/>
    <xf numFmtId="1" fontId="6" fillId="2" borderId="24" xfId="0" applyNumberFormat="1" applyFont="1" applyFill="1" applyBorder="1" applyAlignment="1">
      <alignment horizontal="right"/>
    </xf>
    <xf numFmtId="1" fontId="2" fillId="2" borderId="15" xfId="0" applyNumberFormat="1" applyFont="1" applyFill="1" applyBorder="1"/>
    <xf numFmtId="165" fontId="6" fillId="2" borderId="22" xfId="3" applyNumberFormat="1" applyFont="1" applyFill="1" applyBorder="1" applyAlignment="1">
      <alignment horizontal="right"/>
    </xf>
    <xf numFmtId="1" fontId="2" fillId="2" borderId="0" xfId="3" applyNumberFormat="1" applyFont="1" applyFill="1" applyBorder="1" applyAlignment="1">
      <alignment horizontal="right" vertical="center"/>
    </xf>
    <xf numFmtId="3" fontId="2" fillId="2" borderId="0" xfId="3" applyNumberFormat="1" applyFont="1" applyFill="1" applyBorder="1" applyAlignment="1">
      <alignment horizontal="right" vertical="center"/>
    </xf>
    <xf numFmtId="1" fontId="2" fillId="2" borderId="1" xfId="3" applyNumberFormat="1" applyFont="1" applyFill="1" applyBorder="1"/>
    <xf numFmtId="3" fontId="2" fillId="2" borderId="1" xfId="3" applyNumberFormat="1" applyFont="1" applyFill="1" applyBorder="1"/>
    <xf numFmtId="1" fontId="6" fillId="2" borderId="27" xfId="3" applyNumberFormat="1" applyFont="1" applyFill="1" applyBorder="1"/>
    <xf numFmtId="1" fontId="2" fillId="2" borderId="16" xfId="3" applyNumberFormat="1" applyFont="1" applyFill="1" applyBorder="1"/>
    <xf numFmtId="3" fontId="6" fillId="2" borderId="27" xfId="3" applyNumberFormat="1" applyFont="1" applyFill="1" applyBorder="1" applyAlignment="1">
      <alignment horizontal="right"/>
    </xf>
    <xf numFmtId="3" fontId="2" fillId="2" borderId="19" xfId="3" applyNumberFormat="1" applyFont="1" applyFill="1" applyBorder="1"/>
    <xf numFmtId="3" fontId="6" fillId="2" borderId="27" xfId="3" applyNumberFormat="1" applyFont="1" applyFill="1" applyBorder="1"/>
    <xf numFmtId="165" fontId="2" fillId="2" borderId="0" xfId="0" applyNumberFormat="1" applyFont="1" applyFill="1"/>
    <xf numFmtId="166" fontId="7" fillId="2" borderId="17" xfId="2" applyNumberFormat="1" applyFont="1" applyFill="1" applyBorder="1" applyAlignment="1">
      <alignment vertical="center" wrapText="1"/>
    </xf>
    <xf numFmtId="0" fontId="6" fillId="2" borderId="0" xfId="1" applyFont="1" applyFill="1" applyAlignment="1">
      <alignment horizontal="left" vertical="top" wrapText="1" indent="1"/>
    </xf>
    <xf numFmtId="0" fontId="6" fillId="2" borderId="1" xfId="1" applyFont="1" applyFill="1" applyBorder="1" applyAlignment="1">
      <alignment horizontal="left" vertical="top" wrapText="1" indent="1"/>
    </xf>
    <xf numFmtId="0" fontId="7" fillId="2" borderId="6" xfId="1" applyFont="1" applyFill="1" applyBorder="1" applyAlignment="1">
      <alignment vertical="top" wrapText="1"/>
    </xf>
    <xf numFmtId="165" fontId="6" fillId="2" borderId="20" xfId="2" applyNumberFormat="1" applyFont="1" applyFill="1" applyBorder="1" applyAlignment="1">
      <alignment horizontal="right" vertical="center"/>
    </xf>
    <xf numFmtId="165" fontId="6" fillId="2" borderId="20" xfId="2" applyNumberFormat="1" applyFont="1" applyFill="1" applyBorder="1"/>
    <xf numFmtId="0" fontId="6" fillId="2" borderId="6" xfId="1" applyFont="1" applyFill="1" applyBorder="1" applyAlignment="1">
      <alignment horizontal="center" vertical="center" wrapText="1"/>
    </xf>
    <xf numFmtId="166" fontId="6" fillId="2" borderId="23" xfId="2" applyNumberFormat="1" applyFont="1" applyFill="1" applyBorder="1"/>
    <xf numFmtId="166" fontId="6" fillId="2" borderId="0" xfId="2" applyNumberFormat="1" applyFont="1" applyFill="1" applyBorder="1"/>
    <xf numFmtId="166" fontId="6" fillId="2" borderId="21" xfId="2" applyNumberFormat="1" applyFont="1" applyFill="1" applyBorder="1"/>
    <xf numFmtId="166" fontId="6" fillId="2" borderId="23" xfId="2" applyNumberFormat="1" applyFont="1" applyFill="1" applyBorder="1" applyAlignment="1">
      <alignment horizontal="right" vertical="center"/>
    </xf>
    <xf numFmtId="166" fontId="6" fillId="2" borderId="0" xfId="2" applyNumberFormat="1" applyFont="1" applyFill="1" applyBorder="1" applyAlignment="1">
      <alignment horizontal="right" vertical="center"/>
    </xf>
    <xf numFmtId="166" fontId="6" fillId="2" borderId="21" xfId="2" applyNumberFormat="1" applyFont="1" applyFill="1" applyBorder="1" applyAlignment="1">
      <alignment horizontal="right" vertical="center"/>
    </xf>
    <xf numFmtId="166" fontId="6" fillId="2" borderId="19" xfId="2" applyNumberFormat="1" applyFont="1" applyFill="1" applyBorder="1"/>
    <xf numFmtId="166" fontId="6" fillId="2" borderId="1" xfId="2" applyNumberFormat="1" applyFont="1" applyFill="1" applyBorder="1"/>
    <xf numFmtId="166" fontId="6" fillId="2" borderId="16" xfId="2" applyNumberFormat="1" applyFont="1" applyFill="1" applyBorder="1"/>
    <xf numFmtId="166" fontId="7" fillId="2" borderId="1" xfId="3" applyNumberFormat="1" applyFont="1" applyFill="1" applyBorder="1" applyAlignment="1">
      <alignment vertical="center" wrapText="1"/>
    </xf>
    <xf numFmtId="166" fontId="7" fillId="2" borderId="17" xfId="3" applyNumberFormat="1" applyFont="1" applyFill="1" applyBorder="1" applyAlignment="1">
      <alignment vertical="center" wrapText="1"/>
    </xf>
    <xf numFmtId="166" fontId="7" fillId="2" borderId="10" xfId="3" applyNumberFormat="1" applyFont="1" applyFill="1" applyBorder="1" applyAlignment="1">
      <alignment vertical="center" wrapText="1"/>
    </xf>
    <xf numFmtId="166" fontId="7" fillId="2" borderId="18" xfId="3" applyNumberFormat="1" applyFont="1" applyFill="1" applyBorder="1" applyAlignment="1">
      <alignment vertical="center" wrapText="1"/>
    </xf>
    <xf numFmtId="166" fontId="7" fillId="2" borderId="6" xfId="3" applyNumberFormat="1" applyFont="1" applyFill="1" applyBorder="1" applyAlignment="1">
      <alignment vertical="center" wrapText="1"/>
    </xf>
    <xf numFmtId="166" fontId="6" fillId="2" borderId="0" xfId="3" applyNumberFormat="1" applyFont="1" applyFill="1" applyBorder="1" applyAlignment="1">
      <alignment horizontal="right" vertical="center"/>
    </xf>
    <xf numFmtId="166" fontId="6" fillId="2" borderId="21" xfId="3" applyNumberFormat="1" applyFont="1" applyFill="1" applyBorder="1" applyAlignment="1">
      <alignment horizontal="right" vertical="center"/>
    </xf>
    <xf numFmtId="166" fontId="6" fillId="2" borderId="22" xfId="3" applyNumberFormat="1" applyFont="1" applyFill="1" applyBorder="1" applyAlignment="1">
      <alignment horizontal="right" vertical="center"/>
    </xf>
    <xf numFmtId="166" fontId="6" fillId="2" borderId="23" xfId="3" applyNumberFormat="1" applyFont="1" applyFill="1" applyBorder="1" applyAlignment="1">
      <alignment horizontal="right" vertical="center"/>
    </xf>
    <xf numFmtId="166" fontId="6" fillId="2" borderId="0" xfId="3" applyNumberFormat="1" applyFont="1" applyFill="1" applyBorder="1"/>
    <xf numFmtId="166" fontId="6" fillId="2" borderId="21" xfId="3" applyNumberFormat="1" applyFont="1" applyFill="1" applyBorder="1"/>
    <xf numFmtId="166" fontId="6" fillId="2" borderId="22" xfId="3" applyNumberFormat="1" applyFont="1" applyFill="1" applyBorder="1"/>
    <xf numFmtId="166" fontId="6" fillId="2" borderId="23" xfId="3" applyNumberFormat="1" applyFont="1" applyFill="1" applyBorder="1"/>
    <xf numFmtId="166" fontId="6" fillId="2" borderId="1" xfId="3" applyNumberFormat="1" applyFont="1" applyFill="1" applyBorder="1"/>
    <xf numFmtId="166" fontId="6" fillId="2" borderId="16" xfId="3" applyNumberFormat="1" applyFont="1" applyFill="1" applyBorder="1"/>
    <xf numFmtId="166" fontId="6" fillId="2" borderId="15" xfId="3" applyNumberFormat="1" applyFont="1" applyFill="1" applyBorder="1"/>
    <xf numFmtId="166" fontId="6" fillId="2" borderId="19" xfId="3" applyNumberFormat="1" applyFont="1" applyFill="1" applyBorder="1"/>
    <xf numFmtId="166" fontId="6" fillId="2" borderId="0" xfId="3" applyNumberFormat="1" applyFont="1" applyFill="1" applyBorder="1" applyAlignment="1">
      <alignment vertical="center"/>
    </xf>
    <xf numFmtId="166" fontId="6" fillId="2" borderId="21" xfId="3" applyNumberFormat="1" applyFont="1" applyFill="1" applyBorder="1" applyAlignment="1">
      <alignment vertical="center"/>
    </xf>
    <xf numFmtId="166" fontId="6" fillId="2" borderId="22" xfId="3" applyNumberFormat="1" applyFont="1" applyFill="1" applyBorder="1" applyAlignment="1">
      <alignment vertical="center"/>
    </xf>
    <xf numFmtId="166" fontId="6" fillId="2" borderId="23" xfId="3" applyNumberFormat="1" applyFont="1" applyFill="1" applyBorder="1" applyAlignment="1">
      <alignment vertical="center"/>
    </xf>
    <xf numFmtId="166" fontId="6" fillId="2" borderId="1" xfId="3" applyNumberFormat="1" applyFont="1" applyFill="1" applyBorder="1" applyAlignment="1">
      <alignment vertical="center"/>
    </xf>
    <xf numFmtId="166" fontId="6" fillId="2" borderId="16" xfId="3" applyNumberFormat="1" applyFont="1" applyFill="1" applyBorder="1" applyAlignment="1">
      <alignment vertical="center"/>
    </xf>
    <xf numFmtId="166" fontId="6" fillId="2" borderId="15" xfId="3" applyNumberFormat="1" applyFont="1" applyFill="1" applyBorder="1" applyAlignment="1">
      <alignment vertical="center"/>
    </xf>
    <xf numFmtId="166" fontId="6" fillId="2" borderId="19" xfId="3" applyNumberFormat="1" applyFont="1" applyFill="1" applyBorder="1" applyAlignment="1">
      <alignment vertical="center"/>
    </xf>
    <xf numFmtId="1" fontId="6" fillId="2" borderId="0" xfId="3" applyNumberFormat="1" applyFont="1" applyFill="1" applyBorder="1"/>
    <xf numFmtId="1" fontId="6" fillId="2" borderId="21" xfId="3" applyNumberFormat="1" applyFont="1" applyFill="1" applyBorder="1"/>
    <xf numFmtId="1" fontId="6" fillId="2" borderId="22" xfId="3" applyNumberFormat="1" applyFont="1" applyFill="1" applyBorder="1"/>
    <xf numFmtId="1" fontId="6" fillId="2" borderId="1" xfId="3" applyNumberFormat="1" applyFont="1" applyFill="1" applyBorder="1"/>
    <xf numFmtId="1" fontId="2" fillId="2" borderId="16" xfId="3" applyNumberFormat="1" applyFont="1" applyFill="1" applyBorder="1" applyAlignment="1">
      <alignment horizontal="right" vertical="center"/>
    </xf>
    <xf numFmtId="1" fontId="2" fillId="2" borderId="19" xfId="3" applyNumberFormat="1" applyFont="1" applyFill="1" applyBorder="1" applyAlignment="1">
      <alignment horizontal="right" vertical="center"/>
    </xf>
    <xf numFmtId="1" fontId="2" fillId="2" borderId="1" xfId="3" applyNumberFormat="1" applyFont="1" applyFill="1" applyBorder="1" applyAlignment="1">
      <alignment horizontal="right" vertical="center"/>
    </xf>
    <xf numFmtId="1" fontId="6" fillId="2" borderId="14" xfId="3" applyNumberFormat="1" applyFont="1" applyFill="1" applyBorder="1"/>
    <xf numFmtId="1" fontId="6" fillId="2" borderId="25" xfId="3" applyNumberFormat="1" applyFont="1" applyFill="1" applyBorder="1"/>
    <xf numFmtId="1" fontId="6" fillId="2" borderId="0" xfId="3" applyNumberFormat="1" applyFont="1" applyFill="1" applyAlignment="1">
      <alignment horizontal="right"/>
    </xf>
    <xf numFmtId="1" fontId="6" fillId="2" borderId="24" xfId="3" applyNumberFormat="1" applyFont="1" applyFill="1" applyBorder="1" applyAlignment="1">
      <alignment horizontal="right"/>
    </xf>
    <xf numFmtId="1" fontId="6" fillId="2" borderId="27" xfId="3" applyNumberFormat="1" applyFont="1" applyFill="1" applyBorder="1" applyAlignment="1">
      <alignment horizontal="right"/>
    </xf>
    <xf numFmtId="1" fontId="6" fillId="2" borderId="0" xfId="3" applyNumberFormat="1" applyFont="1" applyFill="1" applyBorder="1" applyAlignment="1">
      <alignment vertical="center"/>
    </xf>
    <xf numFmtId="1" fontId="6" fillId="2" borderId="21" xfId="3" applyNumberFormat="1" applyFont="1" applyFill="1" applyBorder="1" applyAlignment="1">
      <alignment vertical="center"/>
    </xf>
    <xf numFmtId="1" fontId="6" fillId="2" borderId="22" xfId="3" applyNumberFormat="1" applyFont="1" applyFill="1" applyBorder="1" applyAlignment="1">
      <alignment vertical="center"/>
    </xf>
    <xf numFmtId="1" fontId="2" fillId="2" borderId="19" xfId="3" applyNumberFormat="1" applyFont="1" applyFill="1" applyBorder="1"/>
    <xf numFmtId="1" fontId="2" fillId="2" borderId="15" xfId="3" applyNumberFormat="1" applyFont="1" applyFill="1" applyBorder="1"/>
    <xf numFmtId="0" fontId="7" fillId="2" borderId="28" xfId="0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 vertical="center" wrapText="1"/>
    </xf>
    <xf numFmtId="165" fontId="7" fillId="2" borderId="15" xfId="2" applyNumberFormat="1" applyFont="1" applyFill="1" applyBorder="1" applyAlignment="1">
      <alignment vertical="center" wrapText="1"/>
    </xf>
    <xf numFmtId="165" fontId="6" fillId="2" borderId="20" xfId="3" applyNumberFormat="1" applyFont="1" applyFill="1" applyBorder="1" applyAlignment="1">
      <alignment horizontal="right" vertical="center"/>
    </xf>
    <xf numFmtId="165" fontId="6" fillId="2" borderId="20" xfId="3" applyNumberFormat="1" applyFont="1" applyFill="1" applyBorder="1"/>
    <xf numFmtId="1" fontId="6" fillId="2" borderId="20" xfId="3" applyNumberFormat="1" applyFont="1" applyFill="1" applyBorder="1"/>
    <xf numFmtId="1" fontId="2" fillId="2" borderId="15" xfId="3" applyNumberFormat="1" applyFont="1" applyFill="1" applyBorder="1" applyAlignment="1">
      <alignment horizontal="right" vertical="center"/>
    </xf>
    <xf numFmtId="1" fontId="6" fillId="2" borderId="20" xfId="3" applyNumberFormat="1" applyFont="1" applyFill="1" applyBorder="1" applyAlignment="1">
      <alignment horizontal="right"/>
    </xf>
    <xf numFmtId="1" fontId="6" fillId="2" borderId="22" xfId="3" applyNumberFormat="1" applyFont="1" applyFill="1" applyBorder="1" applyAlignment="1">
      <alignment horizontal="right"/>
    </xf>
    <xf numFmtId="1" fontId="6" fillId="2" borderId="20" xfId="3" applyNumberFormat="1" applyFont="1" applyFill="1" applyBorder="1" applyAlignment="1">
      <alignment vertical="center"/>
    </xf>
    <xf numFmtId="1" fontId="2" fillId="2" borderId="14" xfId="3" applyNumberFormat="1" applyFont="1" applyFill="1" applyBorder="1"/>
    <xf numFmtId="0" fontId="7" fillId="2" borderId="2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/>
    </xf>
    <xf numFmtId="0" fontId="2" fillId="2" borderId="20" xfId="0" applyFont="1" applyFill="1" applyBorder="1"/>
    <xf numFmtId="0" fontId="7" fillId="2" borderId="29" xfId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right" vertical="center"/>
    </xf>
    <xf numFmtId="165" fontId="4" fillId="2" borderId="23" xfId="3" applyNumberFormat="1" applyFont="1" applyFill="1" applyBorder="1" applyAlignment="1">
      <alignment vertical="center"/>
    </xf>
    <xf numFmtId="165" fontId="2" fillId="2" borderId="23" xfId="3" applyNumberFormat="1" applyFont="1" applyFill="1" applyBorder="1" applyAlignment="1">
      <alignment horizontal="right" vertical="center"/>
    </xf>
  </cellXfs>
  <cellStyles count="4">
    <cellStyle name="Normal" xfId="0" builtinId="0"/>
    <cellStyle name="Normal_Folha3 2" xfId="1" xr:uid="{00000000-0005-0000-0000-000002000000}"/>
    <cellStyle name="Vírgula" xfId="3" builtinId="3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0C7E-7D87-467B-B6CF-E3893D5ADBC3}">
  <dimension ref="A2:AB16"/>
  <sheetViews>
    <sheetView tabSelected="1" workbookViewId="0">
      <pane xSplit="1" topLeftCell="B1" activePane="topRight" state="frozen"/>
      <selection pane="topRight" activeCell="C33" sqref="C33"/>
    </sheetView>
  </sheetViews>
  <sheetFormatPr defaultColWidth="8" defaultRowHeight="12" x14ac:dyDescent="0.2"/>
  <cols>
    <col min="1" max="1" width="19.7109375" style="1" customWidth="1"/>
    <col min="2" max="2" width="8.5703125" style="1" bestFit="1" customWidth="1"/>
    <col min="3" max="16384" width="8" style="1"/>
  </cols>
  <sheetData>
    <row r="2" spans="1:28" ht="12.75" customHeight="1" thickBot="1" x14ac:dyDescent="0.25">
      <c r="A2" s="266" t="s">
        <v>71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</row>
    <row r="3" spans="1:28" ht="12" customHeight="1" x14ac:dyDescent="0.2">
      <c r="A3" s="263" t="s">
        <v>70</v>
      </c>
      <c r="B3" s="259" t="s">
        <v>61</v>
      </c>
      <c r="C3" s="259"/>
      <c r="D3" s="259"/>
      <c r="E3" s="259"/>
      <c r="F3" s="259"/>
      <c r="G3" s="259"/>
      <c r="H3" s="259"/>
      <c r="I3" s="259"/>
      <c r="J3" s="260"/>
      <c r="K3" s="261" t="s">
        <v>62</v>
      </c>
      <c r="L3" s="259"/>
      <c r="M3" s="259"/>
      <c r="N3" s="259"/>
      <c r="O3" s="259"/>
      <c r="P3" s="259"/>
      <c r="Q3" s="259"/>
      <c r="R3" s="259"/>
      <c r="S3" s="260"/>
      <c r="T3" s="261" t="s">
        <v>63</v>
      </c>
      <c r="U3" s="259"/>
      <c r="V3" s="259"/>
      <c r="W3" s="259"/>
      <c r="X3" s="259"/>
      <c r="Y3" s="259"/>
      <c r="Z3" s="259"/>
      <c r="AA3" s="259"/>
      <c r="AB3" s="260"/>
    </row>
    <row r="4" spans="1:28" ht="15" customHeight="1" thickBot="1" x14ac:dyDescent="0.25">
      <c r="A4" s="264"/>
      <c r="B4" s="10"/>
      <c r="C4" s="10" t="s">
        <v>0</v>
      </c>
      <c r="D4" s="11"/>
      <c r="E4" s="12"/>
      <c r="F4" s="12" t="s">
        <v>1</v>
      </c>
      <c r="G4" s="13"/>
      <c r="H4" s="10"/>
      <c r="I4" s="10" t="s">
        <v>2</v>
      </c>
      <c r="J4" s="14"/>
      <c r="K4" s="10"/>
      <c r="L4" s="10" t="s">
        <v>0</v>
      </c>
      <c r="M4" s="11"/>
      <c r="N4" s="12"/>
      <c r="O4" s="12" t="s">
        <v>1</v>
      </c>
      <c r="P4" s="13"/>
      <c r="Q4" s="10"/>
      <c r="R4" s="10" t="s">
        <v>2</v>
      </c>
      <c r="S4" s="14"/>
      <c r="T4" s="10"/>
      <c r="U4" s="10" t="s">
        <v>0</v>
      </c>
      <c r="V4" s="11"/>
      <c r="W4" s="12"/>
      <c r="X4" s="12" t="s">
        <v>1</v>
      </c>
      <c r="Y4" s="13"/>
      <c r="Z4" s="10"/>
      <c r="AA4" s="10" t="s">
        <v>2</v>
      </c>
      <c r="AB4" s="14"/>
    </row>
    <row r="5" spans="1:28" ht="12.75" customHeight="1" thickBot="1" x14ac:dyDescent="0.25">
      <c r="A5" s="265"/>
      <c r="B5" s="85" t="s">
        <v>0</v>
      </c>
      <c r="C5" s="19" t="s">
        <v>3</v>
      </c>
      <c r="D5" s="19" t="s">
        <v>4</v>
      </c>
      <c r="E5" s="18" t="s">
        <v>0</v>
      </c>
      <c r="F5" s="19" t="s">
        <v>3</v>
      </c>
      <c r="G5" s="20" t="s">
        <v>4</v>
      </c>
      <c r="H5" s="86" t="s">
        <v>0</v>
      </c>
      <c r="I5" s="19" t="s">
        <v>3</v>
      </c>
      <c r="J5" s="87" t="s">
        <v>4</v>
      </c>
      <c r="K5" s="193" t="s">
        <v>0</v>
      </c>
      <c r="L5" s="19" t="s">
        <v>3</v>
      </c>
      <c r="M5" s="19" t="s">
        <v>4</v>
      </c>
      <c r="N5" s="18" t="s">
        <v>0</v>
      </c>
      <c r="O5" s="19" t="s">
        <v>3</v>
      </c>
      <c r="P5" s="20" t="s">
        <v>4</v>
      </c>
      <c r="Q5" s="86" t="s">
        <v>0</v>
      </c>
      <c r="R5" s="19" t="s">
        <v>3</v>
      </c>
      <c r="S5" s="87" t="s">
        <v>4</v>
      </c>
      <c r="T5" s="193" t="s">
        <v>0</v>
      </c>
      <c r="U5" s="19" t="s">
        <v>3</v>
      </c>
      <c r="V5" s="19" t="s">
        <v>4</v>
      </c>
      <c r="W5" s="18" t="s">
        <v>0</v>
      </c>
      <c r="X5" s="19" t="s">
        <v>3</v>
      </c>
      <c r="Y5" s="20" t="s">
        <v>4</v>
      </c>
      <c r="Z5" s="86" t="s">
        <v>0</v>
      </c>
      <c r="AA5" s="19" t="s">
        <v>3</v>
      </c>
      <c r="AB5" s="87" t="s">
        <v>4</v>
      </c>
    </row>
    <row r="6" spans="1:28" ht="12.75" thickBot="1" x14ac:dyDescent="0.25">
      <c r="A6" s="190" t="s">
        <v>60</v>
      </c>
      <c r="B6" s="81">
        <f>+B7+B8+B9+B10+B11+B12+B13+B14+B15</f>
        <v>421276.6734926374</v>
      </c>
      <c r="C6" s="24">
        <f t="shared" ref="C6:AB6" si="0">+C7+C8+C9+C10+C11+C12+C13+C14+C15</f>
        <v>205909.66578842906</v>
      </c>
      <c r="D6" s="25">
        <f t="shared" si="0"/>
        <v>215367.00770435869</v>
      </c>
      <c r="E6" s="24">
        <f t="shared" si="0"/>
        <v>224368.36909892265</v>
      </c>
      <c r="F6" s="24">
        <f t="shared" si="0"/>
        <v>110209.9396673822</v>
      </c>
      <c r="G6" s="24">
        <f t="shared" si="0"/>
        <v>114158.42943154057</v>
      </c>
      <c r="H6" s="23">
        <f t="shared" si="0"/>
        <v>196908.30439384922</v>
      </c>
      <c r="I6" s="24">
        <f t="shared" si="0"/>
        <v>95699.726121005777</v>
      </c>
      <c r="J6" s="82">
        <f t="shared" si="0"/>
        <v>101208.57827278422</v>
      </c>
      <c r="K6" s="24">
        <f t="shared" si="0"/>
        <v>435487.08303437801</v>
      </c>
      <c r="L6" s="24">
        <f t="shared" si="0"/>
        <v>212855.36409913172</v>
      </c>
      <c r="M6" s="24">
        <f t="shared" si="0"/>
        <v>222631.71893520083</v>
      </c>
      <c r="N6" s="23">
        <f t="shared" si="0"/>
        <v>231936.71221799863</v>
      </c>
      <c r="O6" s="24">
        <f t="shared" si="0"/>
        <v>113927.51644476825</v>
      </c>
      <c r="P6" s="24">
        <f t="shared" si="0"/>
        <v>118009.19577328378</v>
      </c>
      <c r="Q6" s="23">
        <f t="shared" si="0"/>
        <v>203550.37081631823</v>
      </c>
      <c r="R6" s="24">
        <f t="shared" si="0"/>
        <v>98927.847654384168</v>
      </c>
      <c r="S6" s="82">
        <f t="shared" si="0"/>
        <v>104622.52316194592</v>
      </c>
      <c r="T6" s="24">
        <f t="shared" si="0"/>
        <v>450133.5061116991</v>
      </c>
      <c r="U6" s="24">
        <f t="shared" si="0"/>
        <v>220014.17509112443</v>
      </c>
      <c r="V6" s="24">
        <f t="shared" si="0"/>
        <v>230119.33102064891</v>
      </c>
      <c r="W6" s="23">
        <f t="shared" si="0"/>
        <v>239737.27243364439</v>
      </c>
      <c r="X6" s="24">
        <f t="shared" si="0"/>
        <v>117759.15846359043</v>
      </c>
      <c r="Y6" s="24">
        <f t="shared" si="0"/>
        <v>121978.11397006424</v>
      </c>
      <c r="Z6" s="23">
        <f t="shared" si="0"/>
        <v>210396.23367813061</v>
      </c>
      <c r="AA6" s="24">
        <f t="shared" si="0"/>
        <v>102255.01662756978</v>
      </c>
      <c r="AB6" s="82">
        <f t="shared" si="0"/>
        <v>108141.21705061507</v>
      </c>
    </row>
    <row r="7" spans="1:28" x14ac:dyDescent="0.2">
      <c r="A7" s="188" t="s">
        <v>23</v>
      </c>
      <c r="B7" s="191">
        <v>160871.02520334328</v>
      </c>
      <c r="C7" s="27">
        <v>77824.937533564298</v>
      </c>
      <c r="D7" s="27">
        <v>83046.087669900589</v>
      </c>
      <c r="E7" s="30">
        <v>98831.653139129732</v>
      </c>
      <c r="F7" s="27">
        <v>47661.007238593993</v>
      </c>
      <c r="G7" s="28">
        <v>51170.645900587668</v>
      </c>
      <c r="H7" s="27">
        <v>62039.372064321389</v>
      </c>
      <c r="I7" s="27">
        <v>30163.930294957161</v>
      </c>
      <c r="J7" s="29">
        <v>31875.441769312565</v>
      </c>
      <c r="K7" s="27">
        <v>166297.49026875096</v>
      </c>
      <c r="L7" s="27">
        <v>80450.110737952826</v>
      </c>
      <c r="M7" s="27">
        <v>85847.37953071027</v>
      </c>
      <c r="N7" s="30">
        <v>102165.4201268218</v>
      </c>
      <c r="O7" s="27">
        <v>49268.697563349706</v>
      </c>
      <c r="P7" s="28">
        <v>52896.722563506184</v>
      </c>
      <c r="Q7" s="27">
        <v>64132.070141841214</v>
      </c>
      <c r="R7" s="27">
        <v>31181.41317461785</v>
      </c>
      <c r="S7" s="29">
        <v>32950.656967224408</v>
      </c>
      <c r="T7" s="27">
        <v>171890.4538582823</v>
      </c>
      <c r="U7" s="27">
        <v>83155.831307858301</v>
      </c>
      <c r="V7" s="27">
        <v>88734.622550503467</v>
      </c>
      <c r="W7" s="30">
        <v>105601.47604069782</v>
      </c>
      <c r="X7" s="27">
        <v>50925.716145746097</v>
      </c>
      <c r="Y7" s="28">
        <v>54675.759894923125</v>
      </c>
      <c r="Z7" s="27">
        <v>66288.977817661988</v>
      </c>
      <c r="AA7" s="27">
        <v>32230.11516212282</v>
      </c>
      <c r="AB7" s="29">
        <v>34058.862655580066</v>
      </c>
    </row>
    <row r="8" spans="1:28" x14ac:dyDescent="0.2">
      <c r="A8" s="188" t="s">
        <v>65</v>
      </c>
      <c r="B8" s="191">
        <v>102802.54598120935</v>
      </c>
      <c r="C8" s="27">
        <v>49584.28588467776</v>
      </c>
      <c r="D8" s="27">
        <v>53218.260096595404</v>
      </c>
      <c r="E8" s="30">
        <v>69934.206764729694</v>
      </c>
      <c r="F8" s="27">
        <v>33912.374709013362</v>
      </c>
      <c r="G8" s="28">
        <v>36021.832055666462</v>
      </c>
      <c r="H8" s="27">
        <v>32868.339216533619</v>
      </c>
      <c r="I8" s="27">
        <v>15671.911175636951</v>
      </c>
      <c r="J8" s="29">
        <v>17196.428040896892</v>
      </c>
      <c r="K8" s="27">
        <v>106270.25822882479</v>
      </c>
      <c r="L8" s="27">
        <v>51256.851810060754</v>
      </c>
      <c r="M8" s="27">
        <v>55013.406418806975</v>
      </c>
      <c r="N8" s="30">
        <v>72293.211622116665</v>
      </c>
      <c r="O8" s="27">
        <v>35056.299268501192</v>
      </c>
      <c r="P8" s="28">
        <v>37236.912353630854</v>
      </c>
      <c r="Q8" s="27">
        <v>33977.046606740332</v>
      </c>
      <c r="R8" s="27">
        <v>16200.552541562043</v>
      </c>
      <c r="S8" s="29">
        <v>17776.494065180283</v>
      </c>
      <c r="T8" s="27">
        <v>109844.36920300542</v>
      </c>
      <c r="U8" s="27">
        <v>52980.736550774614</v>
      </c>
      <c r="V8" s="27">
        <v>56863.632652194603</v>
      </c>
      <c r="W8" s="30">
        <v>74724.597085164642</v>
      </c>
      <c r="X8" s="27">
        <v>36235.322506201512</v>
      </c>
      <c r="Y8" s="28">
        <v>38489.274578998142</v>
      </c>
      <c r="Z8" s="27">
        <v>35119.77211781143</v>
      </c>
      <c r="AA8" s="27">
        <v>16745.414044594534</v>
      </c>
      <c r="AB8" s="29">
        <v>18374.358073222775</v>
      </c>
    </row>
    <row r="9" spans="1:28" x14ac:dyDescent="0.2">
      <c r="A9" s="188" t="s">
        <v>32</v>
      </c>
      <c r="B9" s="191">
        <v>28491.463336091078</v>
      </c>
      <c r="C9" s="27">
        <v>14703.874597558517</v>
      </c>
      <c r="D9" s="27">
        <v>13787.588738528804</v>
      </c>
      <c r="E9" s="30">
        <v>19800.822832934296</v>
      </c>
      <c r="F9" s="27">
        <v>10493.600510619764</v>
      </c>
      <c r="G9" s="28">
        <v>9307.2223223113378</v>
      </c>
      <c r="H9" s="27">
        <v>8690.6405031570175</v>
      </c>
      <c r="I9" s="27">
        <v>4210.2740869388435</v>
      </c>
      <c r="J9" s="29">
        <v>4480.3664162177665</v>
      </c>
      <c r="K9" s="27">
        <v>29452.530938267402</v>
      </c>
      <c r="L9" s="27">
        <v>15199.862372408397</v>
      </c>
      <c r="M9" s="27">
        <v>14252.668565862907</v>
      </c>
      <c r="N9" s="30">
        <v>20468.739713743766</v>
      </c>
      <c r="O9" s="27">
        <v>10847.568271491029</v>
      </c>
      <c r="P9" s="28">
        <v>9621.1714422561163</v>
      </c>
      <c r="Q9" s="27">
        <v>8983.791224524577</v>
      </c>
      <c r="R9" s="27">
        <v>4352.294100917682</v>
      </c>
      <c r="S9" s="29">
        <v>4631.4971236069823</v>
      </c>
      <c r="T9" s="27">
        <v>30443.08667603994</v>
      </c>
      <c r="U9" s="27">
        <v>15711.068384480031</v>
      </c>
      <c r="V9" s="27">
        <v>14732.01829156557</v>
      </c>
      <c r="W9" s="30">
        <v>21157.150078575756</v>
      </c>
      <c r="X9" s="27">
        <v>11212.396714069944</v>
      </c>
      <c r="Y9" s="28">
        <v>9944.7533645094263</v>
      </c>
      <c r="Z9" s="27">
        <v>9285.9365974660432</v>
      </c>
      <c r="AA9" s="27">
        <v>4498.6716704098289</v>
      </c>
      <c r="AB9" s="29">
        <v>4787.264927055865</v>
      </c>
    </row>
    <row r="10" spans="1:28" x14ac:dyDescent="0.2">
      <c r="A10" s="188" t="s">
        <v>69</v>
      </c>
      <c r="B10" s="191">
        <v>42290.618769180153</v>
      </c>
      <c r="C10" s="27">
        <v>21035.23454121036</v>
      </c>
      <c r="D10" s="27">
        <v>21255.384227953989</v>
      </c>
      <c r="E10" s="30">
        <v>20147.607990951685</v>
      </c>
      <c r="F10" s="27">
        <v>9976.199250277301</v>
      </c>
      <c r="G10" s="28">
        <v>10171.40874067595</v>
      </c>
      <c r="H10" s="27">
        <v>22143.010778211992</v>
      </c>
      <c r="I10" s="27">
        <v>11059.035290933591</v>
      </c>
      <c r="J10" s="29">
        <v>11083.97548727888</v>
      </c>
      <c r="K10" s="27">
        <v>43717.156363804963</v>
      </c>
      <c r="L10" s="27">
        <v>21744.790318791951</v>
      </c>
      <c r="M10" s="27">
        <v>21972.366045015217</v>
      </c>
      <c r="N10" s="30">
        <v>20827.222550344864</v>
      </c>
      <c r="O10" s="27">
        <v>10312.71414876672</v>
      </c>
      <c r="P10" s="28">
        <v>10514.508401578036</v>
      </c>
      <c r="Q10" s="27">
        <v>22889.933813462449</v>
      </c>
      <c r="R10" s="27">
        <v>11432.076170025823</v>
      </c>
      <c r="S10" s="29">
        <v>11457.85764343771</v>
      </c>
      <c r="T10" s="27">
        <v>45187.463963708418</v>
      </c>
      <c r="U10" s="27">
        <v>22476.117173590181</v>
      </c>
      <c r="V10" s="27">
        <v>22711.346790131451</v>
      </c>
      <c r="W10" s="30">
        <v>21527.689509952899</v>
      </c>
      <c r="X10" s="27">
        <v>10659.554228265424</v>
      </c>
      <c r="Y10" s="28">
        <v>10868.13528168795</v>
      </c>
      <c r="Z10" s="27">
        <v>23659.774453769205</v>
      </c>
      <c r="AA10" s="27">
        <v>11816.562945325444</v>
      </c>
      <c r="AB10" s="29">
        <v>11843.211508444141</v>
      </c>
    </row>
    <row r="11" spans="1:28" x14ac:dyDescent="0.2">
      <c r="A11" s="188" t="s">
        <v>40</v>
      </c>
      <c r="B11" s="191">
        <v>41896.966832777769</v>
      </c>
      <c r="C11" s="27">
        <v>20544.208778660675</v>
      </c>
      <c r="D11" s="27">
        <v>21352.758054101363</v>
      </c>
      <c r="E11" s="30">
        <v>12743.775842977671</v>
      </c>
      <c r="F11" s="27">
        <v>6732.3301360272271</v>
      </c>
      <c r="G11" s="28">
        <v>6011.4457069501168</v>
      </c>
      <c r="H11" s="27">
        <v>29153.190989788909</v>
      </c>
      <c r="I11" s="27">
        <v>13811.878642632448</v>
      </c>
      <c r="J11" s="29">
        <v>15341.312347148762</v>
      </c>
      <c r="K11" s="27">
        <v>43310.22584925127</v>
      </c>
      <c r="L11" s="27">
        <v>21237.201386189729</v>
      </c>
      <c r="M11" s="27">
        <v>22073.024463054953</v>
      </c>
      <c r="N11" s="30">
        <v>13173.646009619051</v>
      </c>
      <c r="O11" s="27">
        <v>6959.4235746693357</v>
      </c>
      <c r="P11" s="28">
        <v>6214.2224349503995</v>
      </c>
      <c r="Q11" s="27">
        <v>30136.57983962342</v>
      </c>
      <c r="R11" s="27">
        <v>14277.777811522992</v>
      </c>
      <c r="S11" s="29">
        <v>15858.802028108295</v>
      </c>
      <c r="T11" s="27">
        <v>44766.847448547887</v>
      </c>
      <c r="U11" s="27">
        <v>21951.456868389887</v>
      </c>
      <c r="V11" s="27">
        <v>22815.39058017129</v>
      </c>
      <c r="W11" s="30">
        <v>13616.705747662965</v>
      </c>
      <c r="X11" s="27">
        <v>7193.4848500119624</v>
      </c>
      <c r="Y11" s="28">
        <v>6423.2208976508118</v>
      </c>
      <c r="Z11" s="27">
        <v>31150.141700897391</v>
      </c>
      <c r="AA11" s="27">
        <v>14757.972018381332</v>
      </c>
      <c r="AB11" s="29">
        <v>16392.169682524524</v>
      </c>
    </row>
    <row r="12" spans="1:28" x14ac:dyDescent="0.2">
      <c r="A12" s="188" t="s">
        <v>44</v>
      </c>
      <c r="B12" s="191">
        <v>14825.344438712173</v>
      </c>
      <c r="C12" s="27">
        <v>7559.6639939633478</v>
      </c>
      <c r="D12" s="27">
        <v>7265.6804447494169</v>
      </c>
      <c r="E12" s="194">
        <v>0</v>
      </c>
      <c r="F12" s="195">
        <v>0</v>
      </c>
      <c r="G12" s="196">
        <v>0</v>
      </c>
      <c r="H12" s="32">
        <v>14825.344438712173</v>
      </c>
      <c r="I12" s="32">
        <v>7559.6639939633478</v>
      </c>
      <c r="J12" s="34">
        <v>7265.6804447494169</v>
      </c>
      <c r="K12" s="27">
        <v>15325.429606791618</v>
      </c>
      <c r="L12" s="27">
        <v>7814.66487132369</v>
      </c>
      <c r="M12" s="27">
        <v>7510.7647354679411</v>
      </c>
      <c r="N12" s="194">
        <v>0</v>
      </c>
      <c r="O12" s="195">
        <v>0</v>
      </c>
      <c r="P12" s="196">
        <v>0</v>
      </c>
      <c r="Q12" s="32">
        <v>15325.429606791618</v>
      </c>
      <c r="R12" s="32">
        <v>7814.66487132369</v>
      </c>
      <c r="S12" s="34">
        <v>7510.7647354679411</v>
      </c>
      <c r="T12" s="27">
        <v>15840.858731122582</v>
      </c>
      <c r="U12" s="27">
        <v>8077.4898605675626</v>
      </c>
      <c r="V12" s="27">
        <v>7763.3688705546419</v>
      </c>
      <c r="W12" s="194">
        <v>0</v>
      </c>
      <c r="X12" s="195">
        <v>0</v>
      </c>
      <c r="Y12" s="196">
        <v>0</v>
      </c>
      <c r="Z12" s="32">
        <v>15840.858731122582</v>
      </c>
      <c r="AA12" s="32">
        <v>8077.4898605675626</v>
      </c>
      <c r="AB12" s="34">
        <v>7763.3688705546419</v>
      </c>
    </row>
    <row r="13" spans="1:28" ht="15.75" customHeight="1" x14ac:dyDescent="0.2">
      <c r="A13" s="188" t="s">
        <v>48</v>
      </c>
      <c r="B13" s="192">
        <v>8790.7115886619322</v>
      </c>
      <c r="C13" s="32">
        <v>4258.1269855854907</v>
      </c>
      <c r="D13" s="32">
        <v>4532.5846030760531</v>
      </c>
      <c r="E13" s="197">
        <v>0</v>
      </c>
      <c r="F13" s="198">
        <v>0</v>
      </c>
      <c r="G13" s="199">
        <v>0</v>
      </c>
      <c r="H13" s="27">
        <v>8790.7115886619322</v>
      </c>
      <c r="I13" s="27">
        <v>4258.1269855854907</v>
      </c>
      <c r="J13" s="29">
        <v>4532.5846030760531</v>
      </c>
      <c r="K13" s="32">
        <v>9087.2378852698221</v>
      </c>
      <c r="L13" s="32">
        <v>4401.7611627267152</v>
      </c>
      <c r="M13" s="32">
        <v>4685.4767225430369</v>
      </c>
      <c r="N13" s="197">
        <v>0</v>
      </c>
      <c r="O13" s="198">
        <v>0</v>
      </c>
      <c r="P13" s="199">
        <v>0</v>
      </c>
      <c r="Q13" s="27">
        <v>9087.2378852698221</v>
      </c>
      <c r="R13" s="27">
        <v>4401.7611627267152</v>
      </c>
      <c r="S13" s="29">
        <v>4685.4767225430369</v>
      </c>
      <c r="T13" s="32">
        <v>9392.8624051669067</v>
      </c>
      <c r="U13" s="32">
        <v>4549.8024222429567</v>
      </c>
      <c r="V13" s="32">
        <v>4843.0599829236799</v>
      </c>
      <c r="W13" s="197">
        <v>0</v>
      </c>
      <c r="X13" s="198">
        <v>0</v>
      </c>
      <c r="Y13" s="199">
        <v>0</v>
      </c>
      <c r="Z13" s="27">
        <v>9392.8624051669067</v>
      </c>
      <c r="AA13" s="27">
        <v>4549.8024222429567</v>
      </c>
      <c r="AB13" s="29">
        <v>4843.0599829236799</v>
      </c>
    </row>
    <row r="14" spans="1:28" x14ac:dyDescent="0.2">
      <c r="A14" s="188" t="s">
        <v>52</v>
      </c>
      <c r="B14" s="192">
        <v>13778.786088876877</v>
      </c>
      <c r="C14" s="32">
        <v>6749.8623500110461</v>
      </c>
      <c r="D14" s="32">
        <v>7028.9237388660449</v>
      </c>
      <c r="E14" s="30">
        <v>2910.3025281995624</v>
      </c>
      <c r="F14" s="27">
        <v>1434.4278228505464</v>
      </c>
      <c r="G14" s="28">
        <v>1475.8747053490431</v>
      </c>
      <c r="H14" s="27">
        <v>10868.483560677398</v>
      </c>
      <c r="I14" s="27">
        <v>5315.4345271603961</v>
      </c>
      <c r="J14" s="29">
        <v>5553.0490335168943</v>
      </c>
      <c r="K14" s="32">
        <v>14243.568987221433</v>
      </c>
      <c r="L14" s="32">
        <v>6977.547181332814</v>
      </c>
      <c r="M14" s="32">
        <v>7266.021805888764</v>
      </c>
      <c r="N14" s="30">
        <v>3008.472195352474</v>
      </c>
      <c r="O14" s="27">
        <v>1482.8136179902481</v>
      </c>
      <c r="P14" s="28">
        <v>1525.6585773621889</v>
      </c>
      <c r="Q14" s="27">
        <v>11235.096791869049</v>
      </c>
      <c r="R14" s="27">
        <v>5494.7335633424882</v>
      </c>
      <c r="S14" s="29">
        <v>5740.3632285264857</v>
      </c>
      <c r="T14" s="32">
        <v>14722.612673355972</v>
      </c>
      <c r="U14" s="32">
        <v>7212.2179948711519</v>
      </c>
      <c r="V14" s="32">
        <v>7510.3946784845712</v>
      </c>
      <c r="W14" s="30">
        <v>3109.6539715903177</v>
      </c>
      <c r="X14" s="27">
        <v>1532.6840192955033</v>
      </c>
      <c r="Y14" s="28">
        <v>1576.9699522947883</v>
      </c>
      <c r="Z14" s="27">
        <v>11612.958701765448</v>
      </c>
      <c r="AA14" s="27">
        <v>5679.5339755755249</v>
      </c>
      <c r="AB14" s="29">
        <v>5933.424726189688</v>
      </c>
    </row>
    <row r="15" spans="1:28" ht="12.75" thickBot="1" x14ac:dyDescent="0.25">
      <c r="A15" s="189" t="s">
        <v>56</v>
      </c>
      <c r="B15" s="83">
        <v>7529.211253784797</v>
      </c>
      <c r="C15" s="37">
        <v>3649.4711231975548</v>
      </c>
      <c r="D15" s="37">
        <v>3879.7401305869816</v>
      </c>
      <c r="E15" s="200">
        <v>0</v>
      </c>
      <c r="F15" s="201">
        <v>0</v>
      </c>
      <c r="G15" s="202">
        <v>0</v>
      </c>
      <c r="H15" s="37">
        <v>7529.211253784797</v>
      </c>
      <c r="I15" s="37">
        <v>3649.4711231975548</v>
      </c>
      <c r="J15" s="39">
        <v>3879.7401305869816</v>
      </c>
      <c r="K15" s="37">
        <v>7783.1849061957464</v>
      </c>
      <c r="L15" s="37">
        <v>3772.5742583448746</v>
      </c>
      <c r="M15" s="37">
        <v>4010.6106478507645</v>
      </c>
      <c r="N15" s="200">
        <v>0</v>
      </c>
      <c r="O15" s="201">
        <v>0</v>
      </c>
      <c r="P15" s="202">
        <v>0</v>
      </c>
      <c r="Q15" s="37">
        <v>7783.1849061957464</v>
      </c>
      <c r="R15" s="37">
        <v>3772.5742583448746</v>
      </c>
      <c r="S15" s="39">
        <v>4010.6106478507645</v>
      </c>
      <c r="T15" s="37">
        <v>8044.95115246961</v>
      </c>
      <c r="U15" s="37">
        <v>3899.4545283497664</v>
      </c>
      <c r="V15" s="37">
        <v>4145.496624119698</v>
      </c>
      <c r="W15" s="200">
        <v>0</v>
      </c>
      <c r="X15" s="201">
        <v>0</v>
      </c>
      <c r="Y15" s="202">
        <v>0</v>
      </c>
      <c r="Z15" s="37">
        <v>8044.95115246961</v>
      </c>
      <c r="AA15" s="37">
        <v>3899.4545283497664</v>
      </c>
      <c r="AB15" s="39">
        <v>4145.496624119698</v>
      </c>
    </row>
    <row r="16" spans="1:28" x14ac:dyDescent="0.2">
      <c r="A16" s="57" t="s">
        <v>82</v>
      </c>
    </row>
  </sheetData>
  <mergeCells count="5">
    <mergeCell ref="A2:S2"/>
    <mergeCell ref="T3:AB3"/>
    <mergeCell ref="B3:J3"/>
    <mergeCell ref="K3:S3"/>
    <mergeCell ref="A3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2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9" sqref="A29:XFD29"/>
    </sheetView>
  </sheetViews>
  <sheetFormatPr defaultRowHeight="12" customHeight="1" x14ac:dyDescent="0.2"/>
  <cols>
    <col min="1" max="1" width="18.42578125" style="3" customWidth="1"/>
    <col min="2" max="5" width="10.28515625" style="3" customWidth="1"/>
    <col min="6" max="6" width="11.42578125" style="3" customWidth="1"/>
    <col min="7" max="28" width="10.28515625" style="3" customWidth="1"/>
    <col min="29" max="136" width="9" style="3"/>
    <col min="137" max="137" width="10.85546875" style="3" customWidth="1"/>
    <col min="138" max="140" width="8.42578125" style="3" customWidth="1"/>
    <col min="141" max="141" width="0.7109375" style="3" customWidth="1"/>
    <col min="142" max="144" width="8.42578125" style="3" customWidth="1"/>
    <col min="145" max="145" width="0.7109375" style="3" customWidth="1"/>
    <col min="146" max="148" width="8.42578125" style="3" customWidth="1"/>
    <col min="149" max="392" width="9" style="3"/>
    <col min="393" max="393" width="10.85546875" style="3" customWidth="1"/>
    <col min="394" max="396" width="8.42578125" style="3" customWidth="1"/>
    <col min="397" max="397" width="0.7109375" style="3" customWidth="1"/>
    <col min="398" max="400" width="8.42578125" style="3" customWidth="1"/>
    <col min="401" max="401" width="0.7109375" style="3" customWidth="1"/>
    <col min="402" max="404" width="8.42578125" style="3" customWidth="1"/>
    <col min="405" max="648" width="9" style="3"/>
    <col min="649" max="649" width="10.85546875" style="3" customWidth="1"/>
    <col min="650" max="652" width="8.42578125" style="3" customWidth="1"/>
    <col min="653" max="653" width="0.7109375" style="3" customWidth="1"/>
    <col min="654" max="656" width="8.42578125" style="3" customWidth="1"/>
    <col min="657" max="657" width="0.7109375" style="3" customWidth="1"/>
    <col min="658" max="660" width="8.42578125" style="3" customWidth="1"/>
    <col min="661" max="904" width="9" style="3"/>
    <col min="905" max="905" width="10.85546875" style="3" customWidth="1"/>
    <col min="906" max="908" width="8.42578125" style="3" customWidth="1"/>
    <col min="909" max="909" width="0.7109375" style="3" customWidth="1"/>
    <col min="910" max="912" width="8.42578125" style="3" customWidth="1"/>
    <col min="913" max="913" width="0.7109375" style="3" customWidth="1"/>
    <col min="914" max="916" width="8.42578125" style="3" customWidth="1"/>
    <col min="917" max="1160" width="9" style="3"/>
    <col min="1161" max="1161" width="10.85546875" style="3" customWidth="1"/>
    <col min="1162" max="1164" width="8.42578125" style="3" customWidth="1"/>
    <col min="1165" max="1165" width="0.7109375" style="3" customWidth="1"/>
    <col min="1166" max="1168" width="8.42578125" style="3" customWidth="1"/>
    <col min="1169" max="1169" width="0.7109375" style="3" customWidth="1"/>
    <col min="1170" max="1172" width="8.42578125" style="3" customWidth="1"/>
    <col min="1173" max="1416" width="9" style="3"/>
    <col min="1417" max="1417" width="10.85546875" style="3" customWidth="1"/>
    <col min="1418" max="1420" width="8.42578125" style="3" customWidth="1"/>
    <col min="1421" max="1421" width="0.7109375" style="3" customWidth="1"/>
    <col min="1422" max="1424" width="8.42578125" style="3" customWidth="1"/>
    <col min="1425" max="1425" width="0.7109375" style="3" customWidth="1"/>
    <col min="1426" max="1428" width="8.42578125" style="3" customWidth="1"/>
    <col min="1429" max="1672" width="9" style="3"/>
    <col min="1673" max="1673" width="10.85546875" style="3" customWidth="1"/>
    <col min="1674" max="1676" width="8.42578125" style="3" customWidth="1"/>
    <col min="1677" max="1677" width="0.7109375" style="3" customWidth="1"/>
    <col min="1678" max="1680" width="8.42578125" style="3" customWidth="1"/>
    <col min="1681" max="1681" width="0.7109375" style="3" customWidth="1"/>
    <col min="1682" max="1684" width="8.42578125" style="3" customWidth="1"/>
    <col min="1685" max="1928" width="9" style="3"/>
    <col min="1929" max="1929" width="10.85546875" style="3" customWidth="1"/>
    <col min="1930" max="1932" width="8.42578125" style="3" customWidth="1"/>
    <col min="1933" max="1933" width="0.7109375" style="3" customWidth="1"/>
    <col min="1934" max="1936" width="8.42578125" style="3" customWidth="1"/>
    <col min="1937" max="1937" width="0.7109375" style="3" customWidth="1"/>
    <col min="1938" max="1940" width="8.42578125" style="3" customWidth="1"/>
    <col min="1941" max="2184" width="9" style="3"/>
    <col min="2185" max="2185" width="10.85546875" style="3" customWidth="1"/>
    <col min="2186" max="2188" width="8.42578125" style="3" customWidth="1"/>
    <col min="2189" max="2189" width="0.7109375" style="3" customWidth="1"/>
    <col min="2190" max="2192" width="8.42578125" style="3" customWidth="1"/>
    <col min="2193" max="2193" width="0.7109375" style="3" customWidth="1"/>
    <col min="2194" max="2196" width="8.42578125" style="3" customWidth="1"/>
    <col min="2197" max="2440" width="9" style="3"/>
    <col min="2441" max="2441" width="10.85546875" style="3" customWidth="1"/>
    <col min="2442" max="2444" width="8.42578125" style="3" customWidth="1"/>
    <col min="2445" max="2445" width="0.7109375" style="3" customWidth="1"/>
    <col min="2446" max="2448" width="8.42578125" style="3" customWidth="1"/>
    <col min="2449" max="2449" width="0.7109375" style="3" customWidth="1"/>
    <col min="2450" max="2452" width="8.42578125" style="3" customWidth="1"/>
    <col min="2453" max="2696" width="9" style="3"/>
    <col min="2697" max="2697" width="10.85546875" style="3" customWidth="1"/>
    <col min="2698" max="2700" width="8.42578125" style="3" customWidth="1"/>
    <col min="2701" max="2701" width="0.7109375" style="3" customWidth="1"/>
    <col min="2702" max="2704" width="8.42578125" style="3" customWidth="1"/>
    <col min="2705" max="2705" width="0.7109375" style="3" customWidth="1"/>
    <col min="2706" max="2708" width="8.42578125" style="3" customWidth="1"/>
    <col min="2709" max="2952" width="9" style="3"/>
    <col min="2953" max="2953" width="10.85546875" style="3" customWidth="1"/>
    <col min="2954" max="2956" width="8.42578125" style="3" customWidth="1"/>
    <col min="2957" max="2957" width="0.7109375" style="3" customWidth="1"/>
    <col min="2958" max="2960" width="8.42578125" style="3" customWidth="1"/>
    <col min="2961" max="2961" width="0.7109375" style="3" customWidth="1"/>
    <col min="2962" max="2964" width="8.42578125" style="3" customWidth="1"/>
    <col min="2965" max="3208" width="9" style="3"/>
    <col min="3209" max="3209" width="10.85546875" style="3" customWidth="1"/>
    <col min="3210" max="3212" width="8.42578125" style="3" customWidth="1"/>
    <col min="3213" max="3213" width="0.7109375" style="3" customWidth="1"/>
    <col min="3214" max="3216" width="8.42578125" style="3" customWidth="1"/>
    <col min="3217" max="3217" width="0.7109375" style="3" customWidth="1"/>
    <col min="3218" max="3220" width="8.42578125" style="3" customWidth="1"/>
    <col min="3221" max="3464" width="9" style="3"/>
    <col min="3465" max="3465" width="10.85546875" style="3" customWidth="1"/>
    <col min="3466" max="3468" width="8.42578125" style="3" customWidth="1"/>
    <col min="3469" max="3469" width="0.7109375" style="3" customWidth="1"/>
    <col min="3470" max="3472" width="8.42578125" style="3" customWidth="1"/>
    <col min="3473" max="3473" width="0.7109375" style="3" customWidth="1"/>
    <col min="3474" max="3476" width="8.42578125" style="3" customWidth="1"/>
    <col min="3477" max="3720" width="9" style="3"/>
    <col min="3721" max="3721" width="10.85546875" style="3" customWidth="1"/>
    <col min="3722" max="3724" width="8.42578125" style="3" customWidth="1"/>
    <col min="3725" max="3725" width="0.7109375" style="3" customWidth="1"/>
    <col min="3726" max="3728" width="8.42578125" style="3" customWidth="1"/>
    <col min="3729" max="3729" width="0.7109375" style="3" customWidth="1"/>
    <col min="3730" max="3732" width="8.42578125" style="3" customWidth="1"/>
    <col min="3733" max="3976" width="9" style="3"/>
    <col min="3977" max="3977" width="10.85546875" style="3" customWidth="1"/>
    <col min="3978" max="3980" width="8.42578125" style="3" customWidth="1"/>
    <col min="3981" max="3981" width="0.7109375" style="3" customWidth="1"/>
    <col min="3982" max="3984" width="8.42578125" style="3" customWidth="1"/>
    <col min="3985" max="3985" width="0.7109375" style="3" customWidth="1"/>
    <col min="3986" max="3988" width="8.42578125" style="3" customWidth="1"/>
    <col min="3989" max="4232" width="9" style="3"/>
    <col min="4233" max="4233" width="10.85546875" style="3" customWidth="1"/>
    <col min="4234" max="4236" width="8.42578125" style="3" customWidth="1"/>
    <col min="4237" max="4237" width="0.7109375" style="3" customWidth="1"/>
    <col min="4238" max="4240" width="8.42578125" style="3" customWidth="1"/>
    <col min="4241" max="4241" width="0.7109375" style="3" customWidth="1"/>
    <col min="4242" max="4244" width="8.42578125" style="3" customWidth="1"/>
    <col min="4245" max="4488" width="9" style="3"/>
    <col min="4489" max="4489" width="10.85546875" style="3" customWidth="1"/>
    <col min="4490" max="4492" width="8.42578125" style="3" customWidth="1"/>
    <col min="4493" max="4493" width="0.7109375" style="3" customWidth="1"/>
    <col min="4494" max="4496" width="8.42578125" style="3" customWidth="1"/>
    <col min="4497" max="4497" width="0.7109375" style="3" customWidth="1"/>
    <col min="4498" max="4500" width="8.42578125" style="3" customWidth="1"/>
    <col min="4501" max="4744" width="9" style="3"/>
    <col min="4745" max="4745" width="10.85546875" style="3" customWidth="1"/>
    <col min="4746" max="4748" width="8.42578125" style="3" customWidth="1"/>
    <col min="4749" max="4749" width="0.7109375" style="3" customWidth="1"/>
    <col min="4750" max="4752" width="8.42578125" style="3" customWidth="1"/>
    <col min="4753" max="4753" width="0.7109375" style="3" customWidth="1"/>
    <col min="4754" max="4756" width="8.42578125" style="3" customWidth="1"/>
    <col min="4757" max="5000" width="9" style="3"/>
    <col min="5001" max="5001" width="10.85546875" style="3" customWidth="1"/>
    <col min="5002" max="5004" width="8.42578125" style="3" customWidth="1"/>
    <col min="5005" max="5005" width="0.7109375" style="3" customWidth="1"/>
    <col min="5006" max="5008" width="8.42578125" style="3" customWidth="1"/>
    <col min="5009" max="5009" width="0.7109375" style="3" customWidth="1"/>
    <col min="5010" max="5012" width="8.42578125" style="3" customWidth="1"/>
    <col min="5013" max="5256" width="9" style="3"/>
    <col min="5257" max="5257" width="10.85546875" style="3" customWidth="1"/>
    <col min="5258" max="5260" width="8.42578125" style="3" customWidth="1"/>
    <col min="5261" max="5261" width="0.7109375" style="3" customWidth="1"/>
    <col min="5262" max="5264" width="8.42578125" style="3" customWidth="1"/>
    <col min="5265" max="5265" width="0.7109375" style="3" customWidth="1"/>
    <col min="5266" max="5268" width="8.42578125" style="3" customWidth="1"/>
    <col min="5269" max="5512" width="9" style="3"/>
    <col min="5513" max="5513" width="10.85546875" style="3" customWidth="1"/>
    <col min="5514" max="5516" width="8.42578125" style="3" customWidth="1"/>
    <col min="5517" max="5517" width="0.7109375" style="3" customWidth="1"/>
    <col min="5518" max="5520" width="8.42578125" style="3" customWidth="1"/>
    <col min="5521" max="5521" width="0.7109375" style="3" customWidth="1"/>
    <col min="5522" max="5524" width="8.42578125" style="3" customWidth="1"/>
    <col min="5525" max="5768" width="9" style="3"/>
    <col min="5769" max="5769" width="10.85546875" style="3" customWidth="1"/>
    <col min="5770" max="5772" width="8.42578125" style="3" customWidth="1"/>
    <col min="5773" max="5773" width="0.7109375" style="3" customWidth="1"/>
    <col min="5774" max="5776" width="8.42578125" style="3" customWidth="1"/>
    <col min="5777" max="5777" width="0.7109375" style="3" customWidth="1"/>
    <col min="5778" max="5780" width="8.42578125" style="3" customWidth="1"/>
    <col min="5781" max="6024" width="9" style="3"/>
    <col min="6025" max="6025" width="10.85546875" style="3" customWidth="1"/>
    <col min="6026" max="6028" width="8.42578125" style="3" customWidth="1"/>
    <col min="6029" max="6029" width="0.7109375" style="3" customWidth="1"/>
    <col min="6030" max="6032" width="8.42578125" style="3" customWidth="1"/>
    <col min="6033" max="6033" width="0.7109375" style="3" customWidth="1"/>
    <col min="6034" max="6036" width="8.42578125" style="3" customWidth="1"/>
    <col min="6037" max="6280" width="9" style="3"/>
    <col min="6281" max="6281" width="10.85546875" style="3" customWidth="1"/>
    <col min="6282" max="6284" width="8.42578125" style="3" customWidth="1"/>
    <col min="6285" max="6285" width="0.7109375" style="3" customWidth="1"/>
    <col min="6286" max="6288" width="8.42578125" style="3" customWidth="1"/>
    <col min="6289" max="6289" width="0.7109375" style="3" customWidth="1"/>
    <col min="6290" max="6292" width="8.42578125" style="3" customWidth="1"/>
    <col min="6293" max="6536" width="9" style="3"/>
    <col min="6537" max="6537" width="10.85546875" style="3" customWidth="1"/>
    <col min="6538" max="6540" width="8.42578125" style="3" customWidth="1"/>
    <col min="6541" max="6541" width="0.7109375" style="3" customWidth="1"/>
    <col min="6542" max="6544" width="8.42578125" style="3" customWidth="1"/>
    <col min="6545" max="6545" width="0.7109375" style="3" customWidth="1"/>
    <col min="6546" max="6548" width="8.42578125" style="3" customWidth="1"/>
    <col min="6549" max="6792" width="9" style="3"/>
    <col min="6793" max="6793" width="10.85546875" style="3" customWidth="1"/>
    <col min="6794" max="6796" width="8.42578125" style="3" customWidth="1"/>
    <col min="6797" max="6797" width="0.7109375" style="3" customWidth="1"/>
    <col min="6798" max="6800" width="8.42578125" style="3" customWidth="1"/>
    <col min="6801" max="6801" width="0.7109375" style="3" customWidth="1"/>
    <col min="6802" max="6804" width="8.42578125" style="3" customWidth="1"/>
    <col min="6805" max="7048" width="9" style="3"/>
    <col min="7049" max="7049" width="10.85546875" style="3" customWidth="1"/>
    <col min="7050" max="7052" width="8.42578125" style="3" customWidth="1"/>
    <col min="7053" max="7053" width="0.7109375" style="3" customWidth="1"/>
    <col min="7054" max="7056" width="8.42578125" style="3" customWidth="1"/>
    <col min="7057" max="7057" width="0.7109375" style="3" customWidth="1"/>
    <col min="7058" max="7060" width="8.42578125" style="3" customWidth="1"/>
    <col min="7061" max="7304" width="9" style="3"/>
    <col min="7305" max="7305" width="10.85546875" style="3" customWidth="1"/>
    <col min="7306" max="7308" width="8.42578125" style="3" customWidth="1"/>
    <col min="7309" max="7309" width="0.7109375" style="3" customWidth="1"/>
    <col min="7310" max="7312" width="8.42578125" style="3" customWidth="1"/>
    <col min="7313" max="7313" width="0.7109375" style="3" customWidth="1"/>
    <col min="7314" max="7316" width="8.42578125" style="3" customWidth="1"/>
    <col min="7317" max="7560" width="9" style="3"/>
    <col min="7561" max="7561" width="10.85546875" style="3" customWidth="1"/>
    <col min="7562" max="7564" width="8.42578125" style="3" customWidth="1"/>
    <col min="7565" max="7565" width="0.7109375" style="3" customWidth="1"/>
    <col min="7566" max="7568" width="8.42578125" style="3" customWidth="1"/>
    <col min="7569" max="7569" width="0.7109375" style="3" customWidth="1"/>
    <col min="7570" max="7572" width="8.42578125" style="3" customWidth="1"/>
    <col min="7573" max="7816" width="9" style="3"/>
    <col min="7817" max="7817" width="10.85546875" style="3" customWidth="1"/>
    <col min="7818" max="7820" width="8.42578125" style="3" customWidth="1"/>
    <col min="7821" max="7821" width="0.7109375" style="3" customWidth="1"/>
    <col min="7822" max="7824" width="8.42578125" style="3" customWidth="1"/>
    <col min="7825" max="7825" width="0.7109375" style="3" customWidth="1"/>
    <col min="7826" max="7828" width="8.42578125" style="3" customWidth="1"/>
    <col min="7829" max="8072" width="9" style="3"/>
    <col min="8073" max="8073" width="10.85546875" style="3" customWidth="1"/>
    <col min="8074" max="8076" width="8.42578125" style="3" customWidth="1"/>
    <col min="8077" max="8077" width="0.7109375" style="3" customWidth="1"/>
    <col min="8078" max="8080" width="8.42578125" style="3" customWidth="1"/>
    <col min="8081" max="8081" width="0.7109375" style="3" customWidth="1"/>
    <col min="8082" max="8084" width="8.42578125" style="3" customWidth="1"/>
    <col min="8085" max="8328" width="9" style="3"/>
    <col min="8329" max="8329" width="10.85546875" style="3" customWidth="1"/>
    <col min="8330" max="8332" width="8.42578125" style="3" customWidth="1"/>
    <col min="8333" max="8333" width="0.7109375" style="3" customWidth="1"/>
    <col min="8334" max="8336" width="8.42578125" style="3" customWidth="1"/>
    <col min="8337" max="8337" width="0.7109375" style="3" customWidth="1"/>
    <col min="8338" max="8340" width="8.42578125" style="3" customWidth="1"/>
    <col min="8341" max="8584" width="9" style="3"/>
    <col min="8585" max="8585" width="10.85546875" style="3" customWidth="1"/>
    <col min="8586" max="8588" width="8.42578125" style="3" customWidth="1"/>
    <col min="8589" max="8589" width="0.7109375" style="3" customWidth="1"/>
    <col min="8590" max="8592" width="8.42578125" style="3" customWidth="1"/>
    <col min="8593" max="8593" width="0.7109375" style="3" customWidth="1"/>
    <col min="8594" max="8596" width="8.42578125" style="3" customWidth="1"/>
    <col min="8597" max="8840" width="9" style="3"/>
    <col min="8841" max="8841" width="10.85546875" style="3" customWidth="1"/>
    <col min="8842" max="8844" width="8.42578125" style="3" customWidth="1"/>
    <col min="8845" max="8845" width="0.7109375" style="3" customWidth="1"/>
    <col min="8846" max="8848" width="8.42578125" style="3" customWidth="1"/>
    <col min="8849" max="8849" width="0.7109375" style="3" customWidth="1"/>
    <col min="8850" max="8852" width="8.42578125" style="3" customWidth="1"/>
    <col min="8853" max="9096" width="9" style="3"/>
    <col min="9097" max="9097" width="10.85546875" style="3" customWidth="1"/>
    <col min="9098" max="9100" width="8.42578125" style="3" customWidth="1"/>
    <col min="9101" max="9101" width="0.7109375" style="3" customWidth="1"/>
    <col min="9102" max="9104" width="8.42578125" style="3" customWidth="1"/>
    <col min="9105" max="9105" width="0.7109375" style="3" customWidth="1"/>
    <col min="9106" max="9108" width="8.42578125" style="3" customWidth="1"/>
    <col min="9109" max="9352" width="9" style="3"/>
    <col min="9353" max="9353" width="10.85546875" style="3" customWidth="1"/>
    <col min="9354" max="9356" width="8.42578125" style="3" customWidth="1"/>
    <col min="9357" max="9357" width="0.7109375" style="3" customWidth="1"/>
    <col min="9358" max="9360" width="8.42578125" style="3" customWidth="1"/>
    <col min="9361" max="9361" width="0.7109375" style="3" customWidth="1"/>
    <col min="9362" max="9364" width="8.42578125" style="3" customWidth="1"/>
    <col min="9365" max="9608" width="9" style="3"/>
    <col min="9609" max="9609" width="10.85546875" style="3" customWidth="1"/>
    <col min="9610" max="9612" width="8.42578125" style="3" customWidth="1"/>
    <col min="9613" max="9613" width="0.7109375" style="3" customWidth="1"/>
    <col min="9614" max="9616" width="8.42578125" style="3" customWidth="1"/>
    <col min="9617" max="9617" width="0.7109375" style="3" customWidth="1"/>
    <col min="9618" max="9620" width="8.42578125" style="3" customWidth="1"/>
    <col min="9621" max="9864" width="9" style="3"/>
    <col min="9865" max="9865" width="10.85546875" style="3" customWidth="1"/>
    <col min="9866" max="9868" width="8.42578125" style="3" customWidth="1"/>
    <col min="9869" max="9869" width="0.7109375" style="3" customWidth="1"/>
    <col min="9870" max="9872" width="8.42578125" style="3" customWidth="1"/>
    <col min="9873" max="9873" width="0.7109375" style="3" customWidth="1"/>
    <col min="9874" max="9876" width="8.42578125" style="3" customWidth="1"/>
    <col min="9877" max="10120" width="9" style="3"/>
    <col min="10121" max="10121" width="10.85546875" style="3" customWidth="1"/>
    <col min="10122" max="10124" width="8.42578125" style="3" customWidth="1"/>
    <col min="10125" max="10125" width="0.7109375" style="3" customWidth="1"/>
    <col min="10126" max="10128" width="8.42578125" style="3" customWidth="1"/>
    <col min="10129" max="10129" width="0.7109375" style="3" customWidth="1"/>
    <col min="10130" max="10132" width="8.42578125" style="3" customWidth="1"/>
    <col min="10133" max="10376" width="9" style="3"/>
    <col min="10377" max="10377" width="10.85546875" style="3" customWidth="1"/>
    <col min="10378" max="10380" width="8.42578125" style="3" customWidth="1"/>
    <col min="10381" max="10381" width="0.7109375" style="3" customWidth="1"/>
    <col min="10382" max="10384" width="8.42578125" style="3" customWidth="1"/>
    <col min="10385" max="10385" width="0.7109375" style="3" customWidth="1"/>
    <col min="10386" max="10388" width="8.42578125" style="3" customWidth="1"/>
    <col min="10389" max="10632" width="9" style="3"/>
    <col min="10633" max="10633" width="10.85546875" style="3" customWidth="1"/>
    <col min="10634" max="10636" width="8.42578125" style="3" customWidth="1"/>
    <col min="10637" max="10637" width="0.7109375" style="3" customWidth="1"/>
    <col min="10638" max="10640" width="8.42578125" style="3" customWidth="1"/>
    <col min="10641" max="10641" width="0.7109375" style="3" customWidth="1"/>
    <col min="10642" max="10644" width="8.42578125" style="3" customWidth="1"/>
    <col min="10645" max="10888" width="9" style="3"/>
    <col min="10889" max="10889" width="10.85546875" style="3" customWidth="1"/>
    <col min="10890" max="10892" width="8.42578125" style="3" customWidth="1"/>
    <col min="10893" max="10893" width="0.7109375" style="3" customWidth="1"/>
    <col min="10894" max="10896" width="8.42578125" style="3" customWidth="1"/>
    <col min="10897" max="10897" width="0.7109375" style="3" customWidth="1"/>
    <col min="10898" max="10900" width="8.42578125" style="3" customWidth="1"/>
    <col min="10901" max="11144" width="9" style="3"/>
    <col min="11145" max="11145" width="10.85546875" style="3" customWidth="1"/>
    <col min="11146" max="11148" width="8.42578125" style="3" customWidth="1"/>
    <col min="11149" max="11149" width="0.7109375" style="3" customWidth="1"/>
    <col min="11150" max="11152" width="8.42578125" style="3" customWidth="1"/>
    <col min="11153" max="11153" width="0.7109375" style="3" customWidth="1"/>
    <col min="11154" max="11156" width="8.42578125" style="3" customWidth="1"/>
    <col min="11157" max="11400" width="9" style="3"/>
    <col min="11401" max="11401" width="10.85546875" style="3" customWidth="1"/>
    <col min="11402" max="11404" width="8.42578125" style="3" customWidth="1"/>
    <col min="11405" max="11405" width="0.7109375" style="3" customWidth="1"/>
    <col min="11406" max="11408" width="8.42578125" style="3" customWidth="1"/>
    <col min="11409" max="11409" width="0.7109375" style="3" customWidth="1"/>
    <col min="11410" max="11412" width="8.42578125" style="3" customWidth="1"/>
    <col min="11413" max="11656" width="9" style="3"/>
    <col min="11657" max="11657" width="10.85546875" style="3" customWidth="1"/>
    <col min="11658" max="11660" width="8.42578125" style="3" customWidth="1"/>
    <col min="11661" max="11661" width="0.7109375" style="3" customWidth="1"/>
    <col min="11662" max="11664" width="8.42578125" style="3" customWidth="1"/>
    <col min="11665" max="11665" width="0.7109375" style="3" customWidth="1"/>
    <col min="11666" max="11668" width="8.42578125" style="3" customWidth="1"/>
    <col min="11669" max="11912" width="9" style="3"/>
    <col min="11913" max="11913" width="10.85546875" style="3" customWidth="1"/>
    <col min="11914" max="11916" width="8.42578125" style="3" customWidth="1"/>
    <col min="11917" max="11917" width="0.7109375" style="3" customWidth="1"/>
    <col min="11918" max="11920" width="8.42578125" style="3" customWidth="1"/>
    <col min="11921" max="11921" width="0.7109375" style="3" customWidth="1"/>
    <col min="11922" max="11924" width="8.42578125" style="3" customWidth="1"/>
    <col min="11925" max="12168" width="9" style="3"/>
    <col min="12169" max="12169" width="10.85546875" style="3" customWidth="1"/>
    <col min="12170" max="12172" width="8.42578125" style="3" customWidth="1"/>
    <col min="12173" max="12173" width="0.7109375" style="3" customWidth="1"/>
    <col min="12174" max="12176" width="8.42578125" style="3" customWidth="1"/>
    <col min="12177" max="12177" width="0.7109375" style="3" customWidth="1"/>
    <col min="12178" max="12180" width="8.42578125" style="3" customWidth="1"/>
    <col min="12181" max="12424" width="9" style="3"/>
    <col min="12425" max="12425" width="10.85546875" style="3" customWidth="1"/>
    <col min="12426" max="12428" width="8.42578125" style="3" customWidth="1"/>
    <col min="12429" max="12429" width="0.7109375" style="3" customWidth="1"/>
    <col min="12430" max="12432" width="8.42578125" style="3" customWidth="1"/>
    <col min="12433" max="12433" width="0.7109375" style="3" customWidth="1"/>
    <col min="12434" max="12436" width="8.42578125" style="3" customWidth="1"/>
    <col min="12437" max="12680" width="9" style="3"/>
    <col min="12681" max="12681" width="10.85546875" style="3" customWidth="1"/>
    <col min="12682" max="12684" width="8.42578125" style="3" customWidth="1"/>
    <col min="12685" max="12685" width="0.7109375" style="3" customWidth="1"/>
    <col min="12686" max="12688" width="8.42578125" style="3" customWidth="1"/>
    <col min="12689" max="12689" width="0.7109375" style="3" customWidth="1"/>
    <col min="12690" max="12692" width="8.42578125" style="3" customWidth="1"/>
    <col min="12693" max="12936" width="9" style="3"/>
    <col min="12937" max="12937" width="10.85546875" style="3" customWidth="1"/>
    <col min="12938" max="12940" width="8.42578125" style="3" customWidth="1"/>
    <col min="12941" max="12941" width="0.7109375" style="3" customWidth="1"/>
    <col min="12942" max="12944" width="8.42578125" style="3" customWidth="1"/>
    <col min="12945" max="12945" width="0.7109375" style="3" customWidth="1"/>
    <col min="12946" max="12948" width="8.42578125" style="3" customWidth="1"/>
    <col min="12949" max="13192" width="9" style="3"/>
    <col min="13193" max="13193" width="10.85546875" style="3" customWidth="1"/>
    <col min="13194" max="13196" width="8.42578125" style="3" customWidth="1"/>
    <col min="13197" max="13197" width="0.7109375" style="3" customWidth="1"/>
    <col min="13198" max="13200" width="8.42578125" style="3" customWidth="1"/>
    <col min="13201" max="13201" width="0.7109375" style="3" customWidth="1"/>
    <col min="13202" max="13204" width="8.42578125" style="3" customWidth="1"/>
    <col min="13205" max="13448" width="9" style="3"/>
    <col min="13449" max="13449" width="10.85546875" style="3" customWidth="1"/>
    <col min="13450" max="13452" width="8.42578125" style="3" customWidth="1"/>
    <col min="13453" max="13453" width="0.7109375" style="3" customWidth="1"/>
    <col min="13454" max="13456" width="8.42578125" style="3" customWidth="1"/>
    <col min="13457" max="13457" width="0.7109375" style="3" customWidth="1"/>
    <col min="13458" max="13460" width="8.42578125" style="3" customWidth="1"/>
    <col min="13461" max="13704" width="9" style="3"/>
    <col min="13705" max="13705" width="10.85546875" style="3" customWidth="1"/>
    <col min="13706" max="13708" width="8.42578125" style="3" customWidth="1"/>
    <col min="13709" max="13709" width="0.7109375" style="3" customWidth="1"/>
    <col min="13710" max="13712" width="8.42578125" style="3" customWidth="1"/>
    <col min="13713" max="13713" width="0.7109375" style="3" customWidth="1"/>
    <col min="13714" max="13716" width="8.42578125" style="3" customWidth="1"/>
    <col min="13717" max="13960" width="9" style="3"/>
    <col min="13961" max="13961" width="10.85546875" style="3" customWidth="1"/>
    <col min="13962" max="13964" width="8.42578125" style="3" customWidth="1"/>
    <col min="13965" max="13965" width="0.7109375" style="3" customWidth="1"/>
    <col min="13966" max="13968" width="8.42578125" style="3" customWidth="1"/>
    <col min="13969" max="13969" width="0.7109375" style="3" customWidth="1"/>
    <col min="13970" max="13972" width="8.42578125" style="3" customWidth="1"/>
    <col min="13973" max="14216" width="9" style="3"/>
    <col min="14217" max="14217" width="10.85546875" style="3" customWidth="1"/>
    <col min="14218" max="14220" width="8.42578125" style="3" customWidth="1"/>
    <col min="14221" max="14221" width="0.7109375" style="3" customWidth="1"/>
    <col min="14222" max="14224" width="8.42578125" style="3" customWidth="1"/>
    <col min="14225" max="14225" width="0.7109375" style="3" customWidth="1"/>
    <col min="14226" max="14228" width="8.42578125" style="3" customWidth="1"/>
    <col min="14229" max="14472" width="9" style="3"/>
    <col min="14473" max="14473" width="10.85546875" style="3" customWidth="1"/>
    <col min="14474" max="14476" width="8.42578125" style="3" customWidth="1"/>
    <col min="14477" max="14477" width="0.7109375" style="3" customWidth="1"/>
    <col min="14478" max="14480" width="8.42578125" style="3" customWidth="1"/>
    <col min="14481" max="14481" width="0.7109375" style="3" customWidth="1"/>
    <col min="14482" max="14484" width="8.42578125" style="3" customWidth="1"/>
    <col min="14485" max="14728" width="9" style="3"/>
    <col min="14729" max="14729" width="10.85546875" style="3" customWidth="1"/>
    <col min="14730" max="14732" width="8.42578125" style="3" customWidth="1"/>
    <col min="14733" max="14733" width="0.7109375" style="3" customWidth="1"/>
    <col min="14734" max="14736" width="8.42578125" style="3" customWidth="1"/>
    <col min="14737" max="14737" width="0.7109375" style="3" customWidth="1"/>
    <col min="14738" max="14740" width="8.42578125" style="3" customWidth="1"/>
    <col min="14741" max="14984" width="9" style="3"/>
    <col min="14985" max="14985" width="10.85546875" style="3" customWidth="1"/>
    <col min="14986" max="14988" width="8.42578125" style="3" customWidth="1"/>
    <col min="14989" max="14989" width="0.7109375" style="3" customWidth="1"/>
    <col min="14990" max="14992" width="8.42578125" style="3" customWidth="1"/>
    <col min="14993" max="14993" width="0.7109375" style="3" customWidth="1"/>
    <col min="14994" max="14996" width="8.42578125" style="3" customWidth="1"/>
    <col min="14997" max="15240" width="9" style="3"/>
    <col min="15241" max="15241" width="10.85546875" style="3" customWidth="1"/>
    <col min="15242" max="15244" width="8.42578125" style="3" customWidth="1"/>
    <col min="15245" max="15245" width="0.7109375" style="3" customWidth="1"/>
    <col min="15246" max="15248" width="8.42578125" style="3" customWidth="1"/>
    <col min="15249" max="15249" width="0.7109375" style="3" customWidth="1"/>
    <col min="15250" max="15252" width="8.42578125" style="3" customWidth="1"/>
    <col min="15253" max="15496" width="9" style="3"/>
    <col min="15497" max="15497" width="10.85546875" style="3" customWidth="1"/>
    <col min="15498" max="15500" width="8.42578125" style="3" customWidth="1"/>
    <col min="15501" max="15501" width="0.7109375" style="3" customWidth="1"/>
    <col min="15502" max="15504" width="8.42578125" style="3" customWidth="1"/>
    <col min="15505" max="15505" width="0.7109375" style="3" customWidth="1"/>
    <col min="15506" max="15508" width="8.42578125" style="3" customWidth="1"/>
    <col min="15509" max="15752" width="9" style="3"/>
    <col min="15753" max="15753" width="10.85546875" style="3" customWidth="1"/>
    <col min="15754" max="15756" width="8.42578125" style="3" customWidth="1"/>
    <col min="15757" max="15757" width="0.7109375" style="3" customWidth="1"/>
    <col min="15758" max="15760" width="8.42578125" style="3" customWidth="1"/>
    <col min="15761" max="15761" width="0.7109375" style="3" customWidth="1"/>
    <col min="15762" max="15764" width="8.42578125" style="3" customWidth="1"/>
    <col min="15765" max="16384" width="9" style="3"/>
  </cols>
  <sheetData>
    <row r="1" spans="1:28" ht="30" customHeight="1" thickBot="1" x14ac:dyDescent="0.25">
      <c r="A1" s="54" t="s">
        <v>72</v>
      </c>
      <c r="B1" s="55"/>
      <c r="C1" s="55"/>
      <c r="D1" s="55"/>
      <c r="E1" s="55"/>
      <c r="F1" s="55"/>
      <c r="G1" s="55"/>
      <c r="H1" s="55"/>
      <c r="I1" s="55"/>
      <c r="J1" s="55"/>
    </row>
    <row r="2" spans="1:28" ht="11.1" customHeight="1" x14ac:dyDescent="0.2">
      <c r="A2" s="261" t="s">
        <v>61</v>
      </c>
      <c r="B2" s="259"/>
      <c r="C2" s="259"/>
      <c r="D2" s="259"/>
      <c r="E2" s="259"/>
      <c r="F2" s="259"/>
      <c r="G2" s="259"/>
      <c r="H2" s="259"/>
      <c r="I2" s="259"/>
      <c r="J2" s="260"/>
      <c r="K2" s="261" t="s">
        <v>62</v>
      </c>
      <c r="L2" s="259"/>
      <c r="M2" s="259"/>
      <c r="N2" s="259"/>
      <c r="O2" s="259"/>
      <c r="P2" s="259"/>
      <c r="Q2" s="259"/>
      <c r="R2" s="259"/>
      <c r="S2" s="260"/>
      <c r="T2" s="261" t="s">
        <v>63</v>
      </c>
      <c r="U2" s="259"/>
      <c r="V2" s="259"/>
      <c r="W2" s="259"/>
      <c r="X2" s="259"/>
      <c r="Y2" s="259"/>
      <c r="Z2" s="259"/>
      <c r="AA2" s="259"/>
      <c r="AB2" s="260"/>
    </row>
    <row r="3" spans="1:28" ht="17.25" customHeight="1" thickBot="1" x14ac:dyDescent="0.25">
      <c r="A3" s="267" t="s">
        <v>25</v>
      </c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10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ht="12.75" customHeight="1" thickBot="1" x14ac:dyDescent="0.25">
      <c r="A4" s="262"/>
      <c r="B4" s="7" t="s">
        <v>0</v>
      </c>
      <c r="C4" s="8" t="s">
        <v>3</v>
      </c>
      <c r="D4" s="15" t="s">
        <v>4</v>
      </c>
      <c r="E4" s="16" t="s">
        <v>0</v>
      </c>
      <c r="F4" s="8" t="s">
        <v>3</v>
      </c>
      <c r="G4" s="15" t="s">
        <v>4</v>
      </c>
      <c r="H4" s="16" t="s">
        <v>0</v>
      </c>
      <c r="I4" s="8" t="s">
        <v>3</v>
      </c>
      <c r="J4" s="17" t="s">
        <v>4</v>
      </c>
      <c r="K4" s="7" t="s">
        <v>0</v>
      </c>
      <c r="L4" s="8" t="s">
        <v>3</v>
      </c>
      <c r="M4" s="8" t="s">
        <v>4</v>
      </c>
      <c r="N4" s="18" t="s">
        <v>0</v>
      </c>
      <c r="O4" s="19" t="s">
        <v>3</v>
      </c>
      <c r="P4" s="20" t="s">
        <v>4</v>
      </c>
      <c r="Q4" s="16" t="s">
        <v>0</v>
      </c>
      <c r="R4" s="8" t="s">
        <v>3</v>
      </c>
      <c r="S4" s="17" t="s">
        <v>4</v>
      </c>
      <c r="T4" s="7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ht="16.5" customHeight="1" thickBot="1" x14ac:dyDescent="0.25">
      <c r="A5" s="21" t="s">
        <v>60</v>
      </c>
      <c r="B5" s="203">
        <f>+B6+B7+B8+B9+B10+B11+B12+B13+B14+B15+B16+B17+B18+B19+B20+B21+B22+B23+B24+B25</f>
        <v>421276.67349284206</v>
      </c>
      <c r="C5" s="203">
        <f t="shared" ref="C5:J5" si="0">+C6+C7+C8+C9+C10+C11+C12+C13+C14+C15+C16+C17+C18+C19+C20+C21+C22+C23+C24+C25</f>
        <v>205909.66578836201</v>
      </c>
      <c r="D5" s="203">
        <f t="shared" si="0"/>
        <v>215367.00770429528</v>
      </c>
      <c r="E5" s="204">
        <f t="shared" si="0"/>
        <v>224368.36909886004</v>
      </c>
      <c r="F5" s="203">
        <f t="shared" si="0"/>
        <v>110209.93966736273</v>
      </c>
      <c r="G5" s="203">
        <f t="shared" si="0"/>
        <v>114158.42943151246</v>
      </c>
      <c r="H5" s="204">
        <f t="shared" si="0"/>
        <v>196908.30439380032</v>
      </c>
      <c r="I5" s="203">
        <f t="shared" si="0"/>
        <v>95699.726121012398</v>
      </c>
      <c r="J5" s="205">
        <f t="shared" si="0"/>
        <v>101208.57827279321</v>
      </c>
      <c r="K5" s="203">
        <f>+K6+K7+K8+K9+K10+K11+K12+K13+K14+K15+K16+K17+K18+K19+K20+K21+K22+K23+K24+K25</f>
        <v>435487.08303433232</v>
      </c>
      <c r="L5" s="203">
        <f t="shared" ref="L5:S5" si="1">+L6+L7+L8+L9+L10+L11+L12+L13+L14+L15+L16+L17+L18+L19+L20+L21+L22+L23+L24+L25</f>
        <v>212855.36409915099</v>
      </c>
      <c r="M5" s="206">
        <f t="shared" si="1"/>
        <v>222631.7189352327</v>
      </c>
      <c r="N5" s="203">
        <f t="shared" si="1"/>
        <v>231936.71221805</v>
      </c>
      <c r="O5" s="203">
        <f t="shared" si="1"/>
        <v>113927.5164447649</v>
      </c>
      <c r="P5" s="206">
        <f t="shared" si="1"/>
        <v>118009.19577327884</v>
      </c>
      <c r="Q5" s="203">
        <f t="shared" si="1"/>
        <v>203550.37081632906</v>
      </c>
      <c r="R5" s="203">
        <f t="shared" si="1"/>
        <v>98927.847654376572</v>
      </c>
      <c r="S5" s="205">
        <f t="shared" si="1"/>
        <v>104622.52316193558</v>
      </c>
      <c r="T5" s="203">
        <f>+T6+T7+T8+T9+T10+T11+T12+T13+T14+T15+T16+T17+T18+T19+T20+T21+T22+T23+T24+T25</f>
        <v>450133.50611168798</v>
      </c>
      <c r="U5" s="203">
        <f t="shared" ref="U5:AB5" si="2">+U6+U7+U8+U9+U10+U11+U12+U13+U14+U15+U16+U17+U18+U19+U20+U21+U22+U23+U24+U25</f>
        <v>220014.17509117138</v>
      </c>
      <c r="V5" s="207">
        <f t="shared" si="2"/>
        <v>230119.33102069361</v>
      </c>
      <c r="W5" s="204">
        <f t="shared" si="2"/>
        <v>239737.2724337019</v>
      </c>
      <c r="X5" s="203">
        <f t="shared" si="2"/>
        <v>117759.15846362156</v>
      </c>
      <c r="Y5" s="203">
        <f t="shared" si="2"/>
        <v>121978.11397009999</v>
      </c>
      <c r="Z5" s="204">
        <f t="shared" si="2"/>
        <v>210396.23367816088</v>
      </c>
      <c r="AA5" s="203">
        <f t="shared" si="2"/>
        <v>102255.01662756967</v>
      </c>
      <c r="AB5" s="205">
        <f t="shared" si="2"/>
        <v>108141.21705061357</v>
      </c>
    </row>
    <row r="6" spans="1:28" ht="12" customHeight="1" x14ac:dyDescent="0.2">
      <c r="A6" s="26" t="s">
        <v>5</v>
      </c>
      <c r="B6" s="208">
        <v>70932.962518471017</v>
      </c>
      <c r="C6" s="208">
        <v>33849.16850840026</v>
      </c>
      <c r="D6" s="209">
        <v>37083.794010085956</v>
      </c>
      <c r="E6" s="208">
        <v>33794.950849974419</v>
      </c>
      <c r="F6" s="208">
        <v>16255.538349214952</v>
      </c>
      <c r="G6" s="209">
        <v>17539.412500738661</v>
      </c>
      <c r="H6" s="208">
        <v>37138.011668511797</v>
      </c>
      <c r="I6" s="208">
        <v>17593.630159164502</v>
      </c>
      <c r="J6" s="210">
        <v>19544.381509326275</v>
      </c>
      <c r="K6" s="208">
        <v>73325.657179269707</v>
      </c>
      <c r="L6" s="208">
        <v>34990.961010577601</v>
      </c>
      <c r="M6" s="208">
        <v>38334.696168662907</v>
      </c>
      <c r="N6" s="211">
        <v>34934.914494350895</v>
      </c>
      <c r="O6" s="208">
        <v>16803.866495063168</v>
      </c>
      <c r="P6" s="209">
        <v>18131.047999307269</v>
      </c>
      <c r="Q6" s="208">
        <v>38390.742684889614</v>
      </c>
      <c r="R6" s="208">
        <v>18187.094515533794</v>
      </c>
      <c r="S6" s="210">
        <v>20203.648169364147</v>
      </c>
      <c r="T6" s="208">
        <v>75791.76613938596</v>
      </c>
      <c r="U6" s="208">
        <v>36167.786773765787</v>
      </c>
      <c r="V6" s="208">
        <v>39623.979365579959</v>
      </c>
      <c r="W6" s="211">
        <v>36109.855285468533</v>
      </c>
      <c r="X6" s="208">
        <v>17369.018821306876</v>
      </c>
      <c r="Y6" s="209">
        <v>18740.83646418585</v>
      </c>
      <c r="Z6" s="208">
        <v>39681.910853877213</v>
      </c>
      <c r="AA6" s="208">
        <v>18798.767952483104</v>
      </c>
      <c r="AB6" s="210">
        <v>20883.142901418301</v>
      </c>
    </row>
    <row r="7" spans="1:28" ht="12" customHeight="1" x14ac:dyDescent="0.2">
      <c r="A7" s="26" t="s">
        <v>6</v>
      </c>
      <c r="B7" s="208">
        <v>63694.878808705827</v>
      </c>
      <c r="C7" s="208">
        <v>31460.623772947551</v>
      </c>
      <c r="D7" s="209">
        <v>32234.25503567946</v>
      </c>
      <c r="E7" s="208">
        <v>33755.234667434699</v>
      </c>
      <c r="F7" s="208">
        <v>16793.626347299018</v>
      </c>
      <c r="G7" s="209">
        <v>16961.60832015218</v>
      </c>
      <c r="H7" s="208">
        <v>29939.644141195451</v>
      </c>
      <c r="I7" s="208">
        <v>14666.997425665437</v>
      </c>
      <c r="J7" s="210">
        <v>15272.646715545148</v>
      </c>
      <c r="K7" s="208">
        <v>65843.420065514452</v>
      </c>
      <c r="L7" s="208">
        <v>32521.846423973988</v>
      </c>
      <c r="M7" s="208">
        <v>33321.573641619427</v>
      </c>
      <c r="N7" s="211">
        <v>34893.85861456635</v>
      </c>
      <c r="O7" s="208">
        <v>17360.105155877885</v>
      </c>
      <c r="P7" s="209">
        <v>17533.753458675714</v>
      </c>
      <c r="Q7" s="208">
        <v>30949.561451022222</v>
      </c>
      <c r="R7" s="208">
        <v>15161.741268078687</v>
      </c>
      <c r="S7" s="210">
        <v>15787.820182927037</v>
      </c>
      <c r="T7" s="208">
        <v>68057.88433943523</v>
      </c>
      <c r="U7" s="208">
        <v>33615.630236490368</v>
      </c>
      <c r="V7" s="208">
        <v>34442.254103042185</v>
      </c>
      <c r="W7" s="211">
        <v>36067.418602865626</v>
      </c>
      <c r="X7" s="208">
        <v>17943.965055954948</v>
      </c>
      <c r="Y7" s="209">
        <v>18123.453546920206</v>
      </c>
      <c r="Z7" s="208">
        <v>31990.465736664613</v>
      </c>
      <c r="AA7" s="208">
        <v>15671.665180537642</v>
      </c>
      <c r="AB7" s="210">
        <v>16318.800556126665</v>
      </c>
    </row>
    <row r="8" spans="1:28" ht="12" customHeight="1" x14ac:dyDescent="0.2">
      <c r="A8" s="26" t="s">
        <v>7</v>
      </c>
      <c r="B8" s="208">
        <v>55287.781024456526</v>
      </c>
      <c r="C8" s="208">
        <v>27934.145077540354</v>
      </c>
      <c r="D8" s="209">
        <v>27353.63594686412</v>
      </c>
      <c r="E8" s="208">
        <v>30683.564306688026</v>
      </c>
      <c r="F8" s="208">
        <v>15684.031138859669</v>
      </c>
      <c r="G8" s="209">
        <v>14999.533167844675</v>
      </c>
      <c r="H8" s="208">
        <v>24604.216717716448</v>
      </c>
      <c r="I8" s="208">
        <v>12250.113938692626</v>
      </c>
      <c r="J8" s="210">
        <v>12354.102779030463</v>
      </c>
      <c r="K8" s="208">
        <v>57152.735958848003</v>
      </c>
      <c r="L8" s="208">
        <v>28876.413346191006</v>
      </c>
      <c r="M8" s="208">
        <v>28276.322612712796</v>
      </c>
      <c r="N8" s="211">
        <v>31718.575363412605</v>
      </c>
      <c r="O8" s="208">
        <v>16213.081332635349</v>
      </c>
      <c r="P8" s="209">
        <v>15505.494030759573</v>
      </c>
      <c r="Q8" s="208">
        <v>25434.160595491197</v>
      </c>
      <c r="R8" s="208">
        <v>12663.332013542351</v>
      </c>
      <c r="S8" s="210">
        <v>12770.828581940841</v>
      </c>
      <c r="T8" s="208">
        <v>59074.91272020078</v>
      </c>
      <c r="U8" s="208">
        <v>29847.592936365112</v>
      </c>
      <c r="V8" s="208">
        <v>29227.319783913747</v>
      </c>
      <c r="W8" s="211">
        <v>32785.343339510699</v>
      </c>
      <c r="X8" s="208">
        <v>16758.364207470153</v>
      </c>
      <c r="Y8" s="209">
        <v>16026.979132040295</v>
      </c>
      <c r="Z8" s="208">
        <v>26289.569380768105</v>
      </c>
      <c r="AA8" s="208">
        <v>13089.228728894654</v>
      </c>
      <c r="AB8" s="210">
        <v>13200.340651873146</v>
      </c>
    </row>
    <row r="9" spans="1:28" ht="12" customHeight="1" x14ac:dyDescent="0.2">
      <c r="A9" s="26" t="s">
        <v>8</v>
      </c>
      <c r="B9" s="208">
        <v>48568.309481401753</v>
      </c>
      <c r="C9" s="208">
        <v>23787.409728578561</v>
      </c>
      <c r="D9" s="209">
        <v>24780.899752776571</v>
      </c>
      <c r="E9" s="208">
        <v>27419.589656750079</v>
      </c>
      <c r="F9" s="208">
        <v>13602.605707392053</v>
      </c>
      <c r="G9" s="209">
        <v>13816.983949358331</v>
      </c>
      <c r="H9" s="208">
        <v>21148.719824605054</v>
      </c>
      <c r="I9" s="208">
        <v>10184.804021186814</v>
      </c>
      <c r="J9" s="210">
        <v>10963.915803418546</v>
      </c>
      <c r="K9" s="208">
        <v>50206.60472037107</v>
      </c>
      <c r="L9" s="208">
        <v>24589.801257587136</v>
      </c>
      <c r="M9" s="208">
        <v>25616.803462751857</v>
      </c>
      <c r="N9" s="211">
        <v>28344.501058220179</v>
      </c>
      <c r="O9" s="208">
        <v>14061.445728928446</v>
      </c>
      <c r="P9" s="209">
        <v>14283.055329303395</v>
      </c>
      <c r="Q9" s="208">
        <v>21862.103662118814</v>
      </c>
      <c r="R9" s="208">
        <v>10528.355528664959</v>
      </c>
      <c r="S9" s="210">
        <v>11333.748133456205</v>
      </c>
      <c r="T9" s="208">
        <v>51895.167257917165</v>
      </c>
      <c r="U9" s="208">
        <v>25416.812314044353</v>
      </c>
      <c r="V9" s="208">
        <v>26478.354943908605</v>
      </c>
      <c r="W9" s="211">
        <v>29297.791225940171</v>
      </c>
      <c r="X9" s="208">
        <v>14534.364194822023</v>
      </c>
      <c r="Y9" s="209">
        <v>14763.427031105606</v>
      </c>
      <c r="Z9" s="208">
        <v>22597.376032012788</v>
      </c>
      <c r="AA9" s="208">
        <v>10882.448119215182</v>
      </c>
      <c r="AB9" s="210">
        <v>11714.927912794376</v>
      </c>
    </row>
    <row r="10" spans="1:28" ht="12" customHeight="1" x14ac:dyDescent="0.2">
      <c r="A10" s="26" t="s">
        <v>9</v>
      </c>
      <c r="B10" s="208">
        <v>42976.570101768193</v>
      </c>
      <c r="C10" s="208">
        <v>20316.673178688467</v>
      </c>
      <c r="D10" s="209">
        <v>22659.896923060678</v>
      </c>
      <c r="E10" s="208">
        <v>23430.989720729489</v>
      </c>
      <c r="F10" s="208">
        <v>11174.606951318428</v>
      </c>
      <c r="G10" s="209">
        <v>12256.38276940562</v>
      </c>
      <c r="H10" s="208">
        <v>19545.580381019656</v>
      </c>
      <c r="I10" s="208">
        <v>9142.0662273691378</v>
      </c>
      <c r="J10" s="210">
        <v>10403.514153650742</v>
      </c>
      <c r="K10" s="208">
        <v>44426.246051717142</v>
      </c>
      <c r="L10" s="208">
        <v>21001.990606785177</v>
      </c>
      <c r="M10" s="208">
        <v>23424.255444931878</v>
      </c>
      <c r="N10" s="211">
        <v>24221.358570583987</v>
      </c>
      <c r="O10" s="208">
        <v>11551.546267540834</v>
      </c>
      <c r="P10" s="209">
        <v>12669.812303043065</v>
      </c>
      <c r="Q10" s="208">
        <v>20204.887481133068</v>
      </c>
      <c r="R10" s="208">
        <v>9450.4443392442554</v>
      </c>
      <c r="S10" s="210">
        <v>10754.443141888725</v>
      </c>
      <c r="T10" s="208">
        <v>45920.401953850451</v>
      </c>
      <c r="U10" s="208">
        <v>21708.335414427638</v>
      </c>
      <c r="V10" s="208">
        <v>24212.06653942274</v>
      </c>
      <c r="W10" s="211">
        <v>25035.97805978854</v>
      </c>
      <c r="X10" s="208">
        <v>11940.051094492012</v>
      </c>
      <c r="Y10" s="209">
        <v>13095.926965296459</v>
      </c>
      <c r="Z10" s="208">
        <v>20884.423894061838</v>
      </c>
      <c r="AA10" s="208">
        <v>9768.2843199355575</v>
      </c>
      <c r="AB10" s="210">
        <v>11116.139574126211</v>
      </c>
    </row>
    <row r="11" spans="1:28" ht="12" customHeight="1" x14ac:dyDescent="0.2">
      <c r="A11" s="31" t="s">
        <v>10</v>
      </c>
      <c r="B11" s="208">
        <v>30317.172811885099</v>
      </c>
      <c r="C11" s="208">
        <v>15159.834128908382</v>
      </c>
      <c r="D11" s="209">
        <v>15157.338682961237</v>
      </c>
      <c r="E11" s="212">
        <v>16595.963271490418</v>
      </c>
      <c r="F11" s="212">
        <v>8301.1009431814018</v>
      </c>
      <c r="G11" s="213">
        <v>8294.8623283135403</v>
      </c>
      <c r="H11" s="212">
        <v>13721.20954037951</v>
      </c>
      <c r="I11" s="212">
        <v>6858.7331857308409</v>
      </c>
      <c r="J11" s="214">
        <v>6862.4763546515605</v>
      </c>
      <c r="K11" s="208">
        <v>31339.824833486884</v>
      </c>
      <c r="L11" s="208">
        <v>15671.202227626331</v>
      </c>
      <c r="M11" s="208">
        <v>15668.622605860466</v>
      </c>
      <c r="N11" s="215">
        <v>17155.774553881311</v>
      </c>
      <c r="O11" s="212">
        <v>8581.1118041479422</v>
      </c>
      <c r="P11" s="213">
        <v>8574.6627497332811</v>
      </c>
      <c r="Q11" s="212">
        <v>14184.050279605486</v>
      </c>
      <c r="R11" s="212">
        <v>7090.090423478302</v>
      </c>
      <c r="S11" s="214">
        <v>7093.9598561270986</v>
      </c>
      <c r="T11" s="208">
        <v>32393.854566097361</v>
      </c>
      <c r="U11" s="208">
        <v>16198.26047321105</v>
      </c>
      <c r="V11" s="208">
        <v>16195.594092886242</v>
      </c>
      <c r="W11" s="215">
        <v>17732.762350138291</v>
      </c>
      <c r="X11" s="212">
        <v>8869.7141504751216</v>
      </c>
      <c r="Y11" s="213">
        <v>8863.0481996631006</v>
      </c>
      <c r="Z11" s="212">
        <v>14661.092215958999</v>
      </c>
      <c r="AA11" s="212">
        <v>7328.5463227358587</v>
      </c>
      <c r="AB11" s="214">
        <v>7332.5458932230713</v>
      </c>
    </row>
    <row r="12" spans="1:28" ht="12" customHeight="1" x14ac:dyDescent="0.2">
      <c r="A12" s="31" t="s">
        <v>11</v>
      </c>
      <c r="B12" s="212">
        <v>24503.188218211559</v>
      </c>
      <c r="C12" s="212">
        <v>12223.833211880714</v>
      </c>
      <c r="D12" s="213">
        <v>12279.355006336258</v>
      </c>
      <c r="E12" s="208">
        <v>13449.186303469354</v>
      </c>
      <c r="F12" s="208">
        <v>6774.9501281030425</v>
      </c>
      <c r="G12" s="209">
        <v>6674.2361753696587</v>
      </c>
      <c r="H12" s="208">
        <v>11054.001914747618</v>
      </c>
      <c r="I12" s="208">
        <v>5448.8830837801552</v>
      </c>
      <c r="J12" s="210">
        <v>5605.1188309691224</v>
      </c>
      <c r="K12" s="212">
        <v>25329.724225486054</v>
      </c>
      <c r="L12" s="212">
        <v>12636.164791201149</v>
      </c>
      <c r="M12" s="212">
        <v>12693.559434279408</v>
      </c>
      <c r="N12" s="211">
        <v>13902.85121634693</v>
      </c>
      <c r="O12" s="208">
        <v>7003.4812146843651</v>
      </c>
      <c r="P12" s="209">
        <v>6899.3700016587554</v>
      </c>
      <c r="Q12" s="208">
        <v>11426.873009133627</v>
      </c>
      <c r="R12" s="208">
        <v>5632.6835765138376</v>
      </c>
      <c r="S12" s="210">
        <v>5794.189432617668</v>
      </c>
      <c r="T12" s="212">
        <v>26181.62057761394</v>
      </c>
      <c r="U12" s="212">
        <v>13061.147810947681</v>
      </c>
      <c r="V12" s="212">
        <v>13120.472766675042</v>
      </c>
      <c r="W12" s="211">
        <v>14370.43578734921</v>
      </c>
      <c r="X12" s="208">
        <v>7239.0242488677495</v>
      </c>
      <c r="Y12" s="209">
        <v>7131.4115384786537</v>
      </c>
      <c r="Z12" s="208">
        <v>11811.184790273513</v>
      </c>
      <c r="AA12" s="208">
        <v>5822.123562077988</v>
      </c>
      <c r="AB12" s="210">
        <v>5989.0612281944059</v>
      </c>
    </row>
    <row r="13" spans="1:28" ht="12" customHeight="1" x14ac:dyDescent="0.2">
      <c r="A13" s="31" t="s">
        <v>12</v>
      </c>
      <c r="B13" s="212">
        <v>17659.804250435169</v>
      </c>
      <c r="C13" s="212">
        <v>8306.3186914592861</v>
      </c>
      <c r="D13" s="213">
        <v>9353.485558981296</v>
      </c>
      <c r="E13" s="212">
        <v>9624.6385086479077</v>
      </c>
      <c r="F13" s="212">
        <v>4568.2815996241579</v>
      </c>
      <c r="G13" s="213">
        <v>5056.3569090244027</v>
      </c>
      <c r="H13" s="212">
        <v>8035.1657417925635</v>
      </c>
      <c r="I13" s="212">
        <v>3738.0370918348531</v>
      </c>
      <c r="J13" s="214">
        <v>4297.1286499573553</v>
      </c>
      <c r="K13" s="212">
        <v>18255.500776305191</v>
      </c>
      <c r="L13" s="212">
        <v>8586.5055563304431</v>
      </c>
      <c r="M13" s="212">
        <v>9668.9952199692507</v>
      </c>
      <c r="N13" s="215">
        <v>9949.2946396537754</v>
      </c>
      <c r="O13" s="212">
        <v>4722.3778421104298</v>
      </c>
      <c r="P13" s="213">
        <v>5226.9167975422306</v>
      </c>
      <c r="Q13" s="212">
        <v>8306.2061366459184</v>
      </c>
      <c r="R13" s="212">
        <v>3864.1277142198264</v>
      </c>
      <c r="S13" s="214">
        <v>4442.078422426096</v>
      </c>
      <c r="T13" s="212">
        <v>18869.474871693019</v>
      </c>
      <c r="U13" s="212">
        <v>8875.2893068357334</v>
      </c>
      <c r="V13" s="212">
        <v>9994.1855648564288</v>
      </c>
      <c r="W13" s="215">
        <v>10283.912092827262</v>
      </c>
      <c r="X13" s="212">
        <v>4881.2021712399965</v>
      </c>
      <c r="Y13" s="213">
        <v>5402.7099215871531</v>
      </c>
      <c r="Z13" s="212">
        <v>8585.5627788648999</v>
      </c>
      <c r="AA13" s="212">
        <v>3994.0871355965191</v>
      </c>
      <c r="AB13" s="214">
        <v>4591.4756432693539</v>
      </c>
    </row>
    <row r="14" spans="1:28" ht="12" customHeight="1" x14ac:dyDescent="0.2">
      <c r="A14" s="31" t="s">
        <v>13</v>
      </c>
      <c r="B14" s="212">
        <v>16143.930141346586</v>
      </c>
      <c r="C14" s="212">
        <v>7802.7489277924469</v>
      </c>
      <c r="D14" s="213">
        <v>8341.1812135592791</v>
      </c>
      <c r="E14" s="212">
        <v>8658.8175260258813</v>
      </c>
      <c r="F14" s="212">
        <v>4100.865562579479</v>
      </c>
      <c r="G14" s="213">
        <v>4557.951963446375</v>
      </c>
      <c r="H14" s="212">
        <v>7485.1126153256209</v>
      </c>
      <c r="I14" s="212">
        <v>3701.8833652126127</v>
      </c>
      <c r="J14" s="214">
        <v>3783.2292501126535</v>
      </c>
      <c r="K14" s="212">
        <v>16688.493544354562</v>
      </c>
      <c r="L14" s="212">
        <v>8065.9494912021255</v>
      </c>
      <c r="M14" s="212">
        <v>8622.5440531470249</v>
      </c>
      <c r="N14" s="215">
        <v>8950.8948019203253</v>
      </c>
      <c r="O14" s="212">
        <v>4239.1950329402925</v>
      </c>
      <c r="P14" s="213">
        <v>4711.699768979598</v>
      </c>
      <c r="Q14" s="212">
        <v>7737.5987424290488</v>
      </c>
      <c r="R14" s="212">
        <v>3826.7544582619153</v>
      </c>
      <c r="S14" s="214">
        <v>3910.8442841672154</v>
      </c>
      <c r="T14" s="212">
        <v>17249.765615324875</v>
      </c>
      <c r="U14" s="212">
        <v>8337.2257548898997</v>
      </c>
      <c r="V14" s="212">
        <v>8912.5398604319835</v>
      </c>
      <c r="W14" s="215">
        <v>9251.9337931978171</v>
      </c>
      <c r="X14" s="212">
        <v>4381.7688230239364</v>
      </c>
      <c r="Y14" s="213">
        <v>4870.1649701744482</v>
      </c>
      <c r="Z14" s="212">
        <v>7997.8318221241943</v>
      </c>
      <c r="AA14" s="212">
        <v>3955.4569318670874</v>
      </c>
      <c r="AB14" s="214">
        <v>4042.3748902583088</v>
      </c>
    </row>
    <row r="15" spans="1:28" ht="12" customHeight="1" x14ac:dyDescent="0.2">
      <c r="A15" s="31" t="s">
        <v>14</v>
      </c>
      <c r="B15" s="212">
        <v>12255.90340992784</v>
      </c>
      <c r="C15" s="212">
        <v>5913.4249146589973</v>
      </c>
      <c r="D15" s="213">
        <v>6342.4784952676673</v>
      </c>
      <c r="E15" s="212">
        <v>6543.6731121632583</v>
      </c>
      <c r="F15" s="212">
        <v>3210.6297599775944</v>
      </c>
      <c r="G15" s="213">
        <v>3333.0433521851069</v>
      </c>
      <c r="H15" s="212">
        <v>5712.2302977634063</v>
      </c>
      <c r="I15" s="212">
        <v>2702.7951546810823</v>
      </c>
      <c r="J15" s="214">
        <v>3009.4351430820789</v>
      </c>
      <c r="K15" s="212">
        <v>12669.316773918605</v>
      </c>
      <c r="L15" s="212">
        <v>6112.8952274467092</v>
      </c>
      <c r="M15" s="212">
        <v>6556.4215464704148</v>
      </c>
      <c r="N15" s="215">
        <v>6764.4028147131694</v>
      </c>
      <c r="O15" s="212">
        <v>3318.9299974389023</v>
      </c>
      <c r="P15" s="213">
        <v>3445.4728172733035</v>
      </c>
      <c r="Q15" s="212">
        <v>5904.9139592039546</v>
      </c>
      <c r="R15" s="212">
        <v>2793.9652300070798</v>
      </c>
      <c r="S15" s="214">
        <v>3110.9487291962232</v>
      </c>
      <c r="T15" s="212">
        <v>13095.414770393754</v>
      </c>
      <c r="U15" s="212">
        <v>6318.4858252326912</v>
      </c>
      <c r="V15" s="212">
        <v>6776.9289451614159</v>
      </c>
      <c r="W15" s="215">
        <v>6991.9050974443771</v>
      </c>
      <c r="X15" s="212">
        <v>3430.5531770941152</v>
      </c>
      <c r="Y15" s="213">
        <v>3561.3519203506157</v>
      </c>
      <c r="Z15" s="212">
        <v>6103.50967294973</v>
      </c>
      <c r="AA15" s="212">
        <v>2887.9326481389298</v>
      </c>
      <c r="AB15" s="214">
        <v>3215.5770248111539</v>
      </c>
    </row>
    <row r="16" spans="1:28" ht="12" customHeight="1" x14ac:dyDescent="0.2">
      <c r="A16" s="31" t="s">
        <v>15</v>
      </c>
      <c r="B16" s="212">
        <v>10241.533209443067</v>
      </c>
      <c r="C16" s="212">
        <v>5194.6995663512535</v>
      </c>
      <c r="D16" s="213">
        <v>5046.8336430906384</v>
      </c>
      <c r="E16" s="212">
        <v>5441.9507822952328</v>
      </c>
      <c r="F16" s="212">
        <v>2682.1908866857584</v>
      </c>
      <c r="G16" s="213">
        <v>2759.7598956093307</v>
      </c>
      <c r="H16" s="212">
        <v>4799.582427146659</v>
      </c>
      <c r="I16" s="212">
        <v>2512.5086796654441</v>
      </c>
      <c r="J16" s="214">
        <v>2287.0737474813122</v>
      </c>
      <c r="K16" s="212">
        <v>10586.998293078495</v>
      </c>
      <c r="L16" s="212">
        <v>5369.9259981216883</v>
      </c>
      <c r="M16" s="212">
        <v>5217.0722949553265</v>
      </c>
      <c r="N16" s="215">
        <v>5625.5174362031457</v>
      </c>
      <c r="O16" s="212">
        <v>2772.6659435002994</v>
      </c>
      <c r="P16" s="213">
        <v>2852.8514927022961</v>
      </c>
      <c r="Q16" s="212">
        <v>4961.480856873869</v>
      </c>
      <c r="R16" s="212">
        <v>2597.2600546209314</v>
      </c>
      <c r="S16" s="214">
        <v>2364.2208022526283</v>
      </c>
      <c r="T16" s="212">
        <v>10943.06317344025</v>
      </c>
      <c r="U16" s="212">
        <v>5550.5288474989802</v>
      </c>
      <c r="V16" s="212">
        <v>5392.5343259416231</v>
      </c>
      <c r="W16" s="215">
        <v>5814.7164081358724</v>
      </c>
      <c r="X16" s="212">
        <v>2865.9170180858555</v>
      </c>
      <c r="Y16" s="213">
        <v>2948.7993900503707</v>
      </c>
      <c r="Z16" s="212">
        <v>5128.346765304731</v>
      </c>
      <c r="AA16" s="212">
        <v>2684.6118294134785</v>
      </c>
      <c r="AB16" s="214">
        <v>2443.7349358916063</v>
      </c>
    </row>
    <row r="17" spans="1:28" ht="12" customHeight="1" x14ac:dyDescent="0.2">
      <c r="A17" s="31" t="s">
        <v>16</v>
      </c>
      <c r="B17" s="212">
        <v>7073.3240012197239</v>
      </c>
      <c r="C17" s="212">
        <v>3365.7677778247389</v>
      </c>
      <c r="D17" s="213">
        <v>3707.5562233942292</v>
      </c>
      <c r="E17" s="212">
        <v>3757.2488697358926</v>
      </c>
      <c r="F17" s="212">
        <v>1771.9670475981634</v>
      </c>
      <c r="G17" s="213">
        <v>1985.2818221380271</v>
      </c>
      <c r="H17" s="212">
        <v>3316.0751314830754</v>
      </c>
      <c r="I17" s="212">
        <v>1593.8007302267999</v>
      </c>
      <c r="J17" s="214">
        <v>1722.2744012564906</v>
      </c>
      <c r="K17" s="212">
        <v>7311.9197678582523</v>
      </c>
      <c r="L17" s="212">
        <v>3479.3010958428958</v>
      </c>
      <c r="M17" s="212">
        <v>3832.6186720141941</v>
      </c>
      <c r="N17" s="215">
        <v>3883.9875394717233</v>
      </c>
      <c r="O17" s="212">
        <v>1831.7386395831184</v>
      </c>
      <c r="P17" s="213">
        <v>2052.2488998886097</v>
      </c>
      <c r="Q17" s="212">
        <v>3427.9322283853667</v>
      </c>
      <c r="R17" s="212">
        <v>1647.562456259782</v>
      </c>
      <c r="S17" s="214">
        <v>1780.3697721255892</v>
      </c>
      <c r="T17" s="212">
        <v>7557.8362935145824</v>
      </c>
      <c r="U17" s="212">
        <v>3596.3179210231456</v>
      </c>
      <c r="V17" s="212">
        <v>3961.5183724917906</v>
      </c>
      <c r="W17" s="215">
        <v>4014.6148920315582</v>
      </c>
      <c r="X17" s="212">
        <v>1893.3441845647205</v>
      </c>
      <c r="Y17" s="213">
        <v>2121.2707074671644</v>
      </c>
      <c r="Z17" s="212">
        <v>3543.221401483378</v>
      </c>
      <c r="AA17" s="212">
        <v>1702.9737364586913</v>
      </c>
      <c r="AB17" s="214">
        <v>1840.2476650249437</v>
      </c>
    </row>
    <row r="18" spans="1:28" ht="12" customHeight="1" x14ac:dyDescent="0.2">
      <c r="A18" s="31" t="s">
        <v>17</v>
      </c>
      <c r="B18" s="212">
        <v>6775.1681231696311</v>
      </c>
      <c r="C18" s="212">
        <v>3225.1739491507642</v>
      </c>
      <c r="D18" s="213">
        <v>3549.994174018223</v>
      </c>
      <c r="E18" s="212">
        <v>3529.3899060228991</v>
      </c>
      <c r="F18" s="212">
        <v>1558.6522730582997</v>
      </c>
      <c r="G18" s="213">
        <v>1970.7376329648546</v>
      </c>
      <c r="H18" s="212">
        <v>3245.7782171460881</v>
      </c>
      <c r="I18" s="212">
        <v>1666.5216760926626</v>
      </c>
      <c r="J18" s="214">
        <v>1579.2565410536274</v>
      </c>
      <c r="K18" s="212">
        <v>7003.7065631129653</v>
      </c>
      <c r="L18" s="212">
        <v>3333.9647879142767</v>
      </c>
      <c r="M18" s="212">
        <v>3669.7417751976382</v>
      </c>
      <c r="N18" s="215">
        <v>3648.4424886908578</v>
      </c>
      <c r="O18" s="212">
        <v>1611.2283792776273</v>
      </c>
      <c r="P18" s="213">
        <v>2037.2141094132351</v>
      </c>
      <c r="Q18" s="212">
        <v>3355.2640744210571</v>
      </c>
      <c r="R18" s="212">
        <v>1722.736408636654</v>
      </c>
      <c r="S18" s="214">
        <v>1632.5276657844076</v>
      </c>
      <c r="T18" s="212">
        <v>7239.2571762759771</v>
      </c>
      <c r="U18" s="212">
        <v>3446.0936218374618</v>
      </c>
      <c r="V18" s="212">
        <v>3793.1635544388691</v>
      </c>
      <c r="W18" s="215">
        <v>3771.1479243857948</v>
      </c>
      <c r="X18" s="212">
        <v>1665.4176616622638</v>
      </c>
      <c r="Y18" s="213">
        <v>2105.7302627238178</v>
      </c>
      <c r="Z18" s="212">
        <v>3468.1092518905361</v>
      </c>
      <c r="AA18" s="212">
        <v>1780.6759601754379</v>
      </c>
      <c r="AB18" s="214">
        <v>1687.433291715342</v>
      </c>
    </row>
    <row r="19" spans="1:28" ht="12" customHeight="1" x14ac:dyDescent="0.2">
      <c r="A19" s="31" t="s">
        <v>18</v>
      </c>
      <c r="B19" s="212">
        <v>4431.3427231389569</v>
      </c>
      <c r="C19" s="212">
        <v>2242.8909114658977</v>
      </c>
      <c r="D19" s="213">
        <v>2188.4518116730355</v>
      </c>
      <c r="E19" s="212">
        <v>2257.4080047439943</v>
      </c>
      <c r="F19" s="212">
        <v>1154.1089156086541</v>
      </c>
      <c r="G19" s="213">
        <v>1103.2990891353161</v>
      </c>
      <c r="H19" s="212">
        <v>2173.934718394939</v>
      </c>
      <c r="I19" s="212">
        <v>1088.7819958572195</v>
      </c>
      <c r="J19" s="214">
        <v>1085.1527225376954</v>
      </c>
      <c r="K19" s="212">
        <v>4580.8197743923629</v>
      </c>
      <c r="L19" s="212">
        <v>2318.5476007980401</v>
      </c>
      <c r="M19" s="212">
        <v>2262.2721735941968</v>
      </c>
      <c r="N19" s="215">
        <v>2333.5543813857316</v>
      </c>
      <c r="O19" s="212">
        <v>1193.0390567213303</v>
      </c>
      <c r="P19" s="213">
        <v>1140.5153246644195</v>
      </c>
      <c r="Q19" s="212">
        <v>2247.2653930065053</v>
      </c>
      <c r="R19" s="212">
        <v>1125.5085440767307</v>
      </c>
      <c r="S19" s="214">
        <v>1121.7568489298085</v>
      </c>
      <c r="T19" s="212">
        <v>4734.8831830934496</v>
      </c>
      <c r="U19" s="212">
        <v>2396.5256405829164</v>
      </c>
      <c r="V19" s="212">
        <v>2338.357542510515</v>
      </c>
      <c r="W19" s="215">
        <v>2412.0371334022234</v>
      </c>
      <c r="X19" s="212">
        <v>1233.1636791348899</v>
      </c>
      <c r="Y19" s="213">
        <v>1178.8734542673153</v>
      </c>
      <c r="Z19" s="212">
        <v>2322.846049691208</v>
      </c>
      <c r="AA19" s="212">
        <v>1163.3619614480083</v>
      </c>
      <c r="AB19" s="214">
        <v>1159.4840882431815</v>
      </c>
    </row>
    <row r="20" spans="1:28" ht="12" customHeight="1" x14ac:dyDescent="0.2">
      <c r="A20" s="31" t="s">
        <v>19</v>
      </c>
      <c r="B20" s="212">
        <v>4338.1913746045038</v>
      </c>
      <c r="C20" s="212">
        <v>2241.681153692723</v>
      </c>
      <c r="D20" s="213">
        <v>2096.5102209117572</v>
      </c>
      <c r="E20" s="212">
        <v>2285.2324335270127</v>
      </c>
      <c r="F20" s="212">
        <v>1169.8357666599254</v>
      </c>
      <c r="G20" s="213">
        <v>1115.3966668670632</v>
      </c>
      <c r="H20" s="212">
        <v>2052.9589410774674</v>
      </c>
      <c r="I20" s="212">
        <v>1071.8453870327735</v>
      </c>
      <c r="J20" s="214">
        <v>981.11355404466997</v>
      </c>
      <c r="K20" s="212">
        <v>4484.5262656213772</v>
      </c>
      <c r="L20" s="212">
        <v>2317.2970357490658</v>
      </c>
      <c r="M20" s="212">
        <v>2167.2292298721504</v>
      </c>
      <c r="N20" s="215">
        <v>2362.3173775121404</v>
      </c>
      <c r="O20" s="212">
        <v>1209.2964023579932</v>
      </c>
      <c r="P20" s="213">
        <v>1153.0209751541602</v>
      </c>
      <c r="Q20" s="212">
        <v>2122.2088881090758</v>
      </c>
      <c r="R20" s="212">
        <v>1108.0006333910937</v>
      </c>
      <c r="S20" s="214">
        <v>1014.2082547180379</v>
      </c>
      <c r="T20" s="212">
        <v>4635.3511041695629</v>
      </c>
      <c r="U20" s="212">
        <v>2395.2330161813074</v>
      </c>
      <c r="V20" s="212">
        <v>2240.1180879882372</v>
      </c>
      <c r="W20" s="215">
        <v>2441.7674946392285</v>
      </c>
      <c r="X20" s="212">
        <v>1249.9677963558058</v>
      </c>
      <c r="Y20" s="213">
        <v>1191.7996982834045</v>
      </c>
      <c r="Z20" s="212">
        <v>2193.5836095303162</v>
      </c>
      <c r="AA20" s="212">
        <v>1145.2652198254834</v>
      </c>
      <c r="AB20" s="214">
        <v>1048.3183897048145</v>
      </c>
    </row>
    <row r="21" spans="1:28" ht="12" customHeight="1" x14ac:dyDescent="0.2">
      <c r="A21" s="31" t="s">
        <v>20</v>
      </c>
      <c r="B21" s="212">
        <v>2724.3745051894343</v>
      </c>
      <c r="C21" s="212">
        <v>1290.8115439773969</v>
      </c>
      <c r="D21" s="213">
        <v>1433.5629612120133</v>
      </c>
      <c r="E21" s="212">
        <v>1388.8019236045488</v>
      </c>
      <c r="F21" s="212">
        <v>626.65452650447844</v>
      </c>
      <c r="G21" s="213">
        <v>762.14739710004653</v>
      </c>
      <c r="H21" s="212">
        <v>1335.5725815848614</v>
      </c>
      <c r="I21" s="212">
        <v>664.15701747289461</v>
      </c>
      <c r="J21" s="214">
        <v>671.4155641119429</v>
      </c>
      <c r="K21" s="212">
        <v>2816.2724902898094</v>
      </c>
      <c r="L21" s="212">
        <v>1334.3529072553999</v>
      </c>
      <c r="M21" s="212">
        <v>1481.9195830343399</v>
      </c>
      <c r="N21" s="215">
        <v>1435.6486762222994</v>
      </c>
      <c r="O21" s="212">
        <v>647.79269536860284</v>
      </c>
      <c r="P21" s="213">
        <v>787.85598085371112</v>
      </c>
      <c r="Q21" s="212">
        <v>1380.6238140674404</v>
      </c>
      <c r="R21" s="212">
        <v>686.56021188680245</v>
      </c>
      <c r="S21" s="214">
        <v>694.06360218064754</v>
      </c>
      <c r="T21" s="212">
        <v>2910.990152423266</v>
      </c>
      <c r="U21" s="212">
        <v>1379.2302365166977</v>
      </c>
      <c r="V21" s="212">
        <v>1531.7599159065501</v>
      </c>
      <c r="W21" s="215">
        <v>1483.9328130470201</v>
      </c>
      <c r="X21" s="212">
        <v>669.57944003340151</v>
      </c>
      <c r="Y21" s="213">
        <v>814.35337301360039</v>
      </c>
      <c r="Z21" s="212">
        <v>1427.0573393762277</v>
      </c>
      <c r="AA21" s="212">
        <v>709.65079648327799</v>
      </c>
      <c r="AB21" s="214">
        <v>717.4065428929315</v>
      </c>
    </row>
    <row r="22" spans="1:28" ht="12" customHeight="1" x14ac:dyDescent="0.2">
      <c r="A22" s="31" t="s">
        <v>28</v>
      </c>
      <c r="B22" s="212">
        <v>2632.432914428156</v>
      </c>
      <c r="C22" s="212">
        <v>1265.4066307407279</v>
      </c>
      <c r="D22" s="213">
        <v>1367.026283687404</v>
      </c>
      <c r="E22" s="212">
        <v>1359.7677370483557</v>
      </c>
      <c r="F22" s="212">
        <v>623.02525318495429</v>
      </c>
      <c r="G22" s="213">
        <v>736.74248386337752</v>
      </c>
      <c r="H22" s="212">
        <v>1272.6651773797762</v>
      </c>
      <c r="I22" s="212">
        <v>642.38137755574974</v>
      </c>
      <c r="J22" s="214">
        <v>630.28379982400259</v>
      </c>
      <c r="K22" s="212">
        <v>2721.229546567763</v>
      </c>
      <c r="L22" s="212">
        <v>1308.0910412269445</v>
      </c>
      <c r="M22" s="212">
        <v>1413.1385053407662</v>
      </c>
      <c r="N22" s="215">
        <v>1405.6351150469218</v>
      </c>
      <c r="O22" s="212">
        <v>644.04100022168029</v>
      </c>
      <c r="P22" s="213">
        <v>761.59411482525331</v>
      </c>
      <c r="Q22" s="212">
        <v>1315.5944315207889</v>
      </c>
      <c r="R22" s="212">
        <v>664.05004100526719</v>
      </c>
      <c r="S22" s="214">
        <v>651.54439051552538</v>
      </c>
      <c r="T22" s="212">
        <v>2812.7506979009881</v>
      </c>
      <c r="U22" s="212">
        <v>1352.0851240829104</v>
      </c>
      <c r="V22" s="212">
        <v>1460.6655738180596</v>
      </c>
      <c r="W22" s="215">
        <v>1452.909827408406</v>
      </c>
      <c r="X22" s="212">
        <v>665.70156682857476</v>
      </c>
      <c r="Y22" s="213">
        <v>787.2082605798131</v>
      </c>
      <c r="Z22" s="212">
        <v>1359.8408704925639</v>
      </c>
      <c r="AA22" s="212">
        <v>686.38355725431745</v>
      </c>
      <c r="AB22" s="214">
        <v>673.45731323822827</v>
      </c>
    </row>
    <row r="23" spans="1:28" ht="12" customHeight="1" x14ac:dyDescent="0.2">
      <c r="A23" s="31" t="s">
        <v>29</v>
      </c>
      <c r="B23" s="212">
        <v>332.68338762303108</v>
      </c>
      <c r="C23" s="212">
        <v>140.33190168826039</v>
      </c>
      <c r="D23" s="213">
        <v>192.35148593477069</v>
      </c>
      <c r="E23" s="212">
        <v>181.46366597619877</v>
      </c>
      <c r="F23" s="212">
        <v>60.487888658732921</v>
      </c>
      <c r="G23" s="213">
        <v>120.97577731746584</v>
      </c>
      <c r="H23" s="212">
        <v>151.21972164683231</v>
      </c>
      <c r="I23" s="212">
        <v>79.84401302952746</v>
      </c>
      <c r="J23" s="214">
        <v>71.375708617304852</v>
      </c>
      <c r="K23" s="212">
        <v>343.90538846788451</v>
      </c>
      <c r="L23" s="212">
        <v>145.06554568099875</v>
      </c>
      <c r="M23" s="212">
        <v>198.83984278688609</v>
      </c>
      <c r="N23" s="215">
        <v>187.58475734611898</v>
      </c>
      <c r="O23" s="212">
        <v>62.528252448706546</v>
      </c>
      <c r="P23" s="213">
        <v>125.05650489741276</v>
      </c>
      <c r="Q23" s="212">
        <v>156.32063112176587</v>
      </c>
      <c r="R23" s="212">
        <v>82.537293232292541</v>
      </c>
      <c r="S23" s="214">
        <v>73.783337889473671</v>
      </c>
      <c r="T23" s="212">
        <v>355.47171044244124</v>
      </c>
      <c r="U23" s="212">
        <v>149.94443058662986</v>
      </c>
      <c r="V23" s="212">
        <v>205.52727985581214</v>
      </c>
      <c r="W23" s="215">
        <v>193.89366024133213</v>
      </c>
      <c r="X23" s="212">
        <v>64.631220080443811</v>
      </c>
      <c r="Y23" s="213">
        <v>129.26244016088762</v>
      </c>
      <c r="Z23" s="212">
        <v>161.57805020110987</v>
      </c>
      <c r="AA23" s="212">
        <v>85.313210506185825</v>
      </c>
      <c r="AB23" s="214">
        <v>76.264839694923694</v>
      </c>
    </row>
    <row r="24" spans="1:28" ht="12" customHeight="1" x14ac:dyDescent="0.2">
      <c r="A24" s="31" t="s">
        <v>30</v>
      </c>
      <c r="B24" s="212">
        <v>278.24428783017146</v>
      </c>
      <c r="C24" s="212">
        <v>128.2343239565138</v>
      </c>
      <c r="D24" s="213">
        <v>150.00996387365765</v>
      </c>
      <c r="E24" s="212">
        <v>147.59044832730834</v>
      </c>
      <c r="F24" s="212">
        <v>66.536677524606219</v>
      </c>
      <c r="G24" s="213">
        <v>81.053770802702118</v>
      </c>
      <c r="H24" s="212">
        <v>130.65383950286312</v>
      </c>
      <c r="I24" s="212">
        <v>61.697646431907579</v>
      </c>
      <c r="J24" s="214">
        <v>68.956193070955536</v>
      </c>
      <c r="K24" s="212">
        <v>287.62996126404892</v>
      </c>
      <c r="L24" s="212">
        <v>132.55989519125751</v>
      </c>
      <c r="M24" s="212">
        <v>155.07006607279175</v>
      </c>
      <c r="N24" s="215">
        <v>152.5689359748435</v>
      </c>
      <c r="O24" s="212">
        <v>68.781077693577174</v>
      </c>
      <c r="P24" s="213">
        <v>83.787858281266665</v>
      </c>
      <c r="Q24" s="212">
        <v>135.06102528920576</v>
      </c>
      <c r="R24" s="212">
        <v>63.778817497680677</v>
      </c>
      <c r="S24" s="214">
        <v>71.282207791525423</v>
      </c>
      <c r="T24" s="212">
        <v>297.30361237004246</v>
      </c>
      <c r="U24" s="212">
        <v>137.01818657054096</v>
      </c>
      <c r="V24" s="212">
        <v>160.28542579950098</v>
      </c>
      <c r="W24" s="215">
        <v>157.7001769962832</v>
      </c>
      <c r="X24" s="212">
        <v>71.09434208848819</v>
      </c>
      <c r="Y24" s="213">
        <v>86.605834907794701</v>
      </c>
      <c r="Z24" s="212">
        <v>139.60343537375874</v>
      </c>
      <c r="AA24" s="212">
        <v>65.923844482052687</v>
      </c>
      <c r="AB24" s="214">
        <v>73.679590891705942</v>
      </c>
    </row>
    <row r="25" spans="1:28" ht="12" customHeight="1" thickBot="1" x14ac:dyDescent="0.25">
      <c r="A25" s="36" t="s">
        <v>31</v>
      </c>
      <c r="B25" s="216">
        <v>108.87819958571926</v>
      </c>
      <c r="C25" s="216">
        <v>60.487888658732921</v>
      </c>
      <c r="D25" s="217">
        <v>48.390310926986338</v>
      </c>
      <c r="E25" s="216">
        <v>62.907404205082237</v>
      </c>
      <c r="F25" s="216">
        <v>30.24394432936646</v>
      </c>
      <c r="G25" s="217">
        <v>32.66345987571578</v>
      </c>
      <c r="H25" s="216">
        <v>45.970795380637021</v>
      </c>
      <c r="I25" s="216">
        <v>30.24394432936646</v>
      </c>
      <c r="J25" s="218">
        <v>15.726851051270559</v>
      </c>
      <c r="K25" s="216">
        <v>112.55085440767152</v>
      </c>
      <c r="L25" s="216">
        <v>62.528252448706546</v>
      </c>
      <c r="M25" s="216">
        <v>50.022601958965232</v>
      </c>
      <c r="N25" s="219">
        <v>65.029382546654801</v>
      </c>
      <c r="O25" s="216">
        <v>31.264126224353262</v>
      </c>
      <c r="P25" s="217">
        <v>33.765256322301525</v>
      </c>
      <c r="Q25" s="216">
        <v>47.52147186101697</v>
      </c>
      <c r="R25" s="216">
        <v>31.264126224353262</v>
      </c>
      <c r="S25" s="218">
        <v>16.257345636663686</v>
      </c>
      <c r="T25" s="216">
        <v>116.33619614479885</v>
      </c>
      <c r="U25" s="216">
        <v>64.631220080443811</v>
      </c>
      <c r="V25" s="216">
        <v>51.704976064355044</v>
      </c>
      <c r="W25" s="219">
        <v>67.216468883661562</v>
      </c>
      <c r="X25" s="216">
        <v>32.315610040221905</v>
      </c>
      <c r="Y25" s="217">
        <v>34.900858843439657</v>
      </c>
      <c r="Z25" s="216">
        <v>49.119727261137292</v>
      </c>
      <c r="AA25" s="216">
        <v>32.315610040221905</v>
      </c>
      <c r="AB25" s="218">
        <v>16.804117220915391</v>
      </c>
    </row>
    <row r="26" spans="1:28" ht="12" customHeight="1" x14ac:dyDescent="0.2">
      <c r="A26" s="41" t="s">
        <v>64</v>
      </c>
      <c r="B26" s="220">
        <v>220111.1039868505</v>
      </c>
      <c r="C26" s="220">
        <v>108319.01533401792</v>
      </c>
      <c r="D26" s="221">
        <v>111792.0886531967</v>
      </c>
      <c r="E26" s="220">
        <v>115290.90777352537</v>
      </c>
      <c r="F26" s="220">
        <v>57297.300347337557</v>
      </c>
      <c r="G26" s="221">
        <v>57993.607426221024</v>
      </c>
      <c r="H26" s="220">
        <v>104820.19621368725</v>
      </c>
      <c r="I26" s="220">
        <v>51021.714986704668</v>
      </c>
      <c r="J26" s="222">
        <v>53798.481227012788</v>
      </c>
      <c r="K26" s="220">
        <v>227535.84200220235</v>
      </c>
      <c r="L26" s="220">
        <v>111972.80787910301</v>
      </c>
      <c r="M26" s="220">
        <v>115563.03412257622</v>
      </c>
      <c r="N26" s="223">
        <v>119179.87461872966</v>
      </c>
      <c r="O26" s="220">
        <v>59230.039933399945</v>
      </c>
      <c r="P26" s="221">
        <v>59949.834685299924</v>
      </c>
      <c r="Q26" s="220">
        <v>108355.96738294946</v>
      </c>
      <c r="R26" s="220">
        <v>52742.767945674685</v>
      </c>
      <c r="S26" s="222">
        <v>55613.199437243318</v>
      </c>
      <c r="T26" s="220">
        <v>235188.39092189234</v>
      </c>
      <c r="U26" s="220">
        <v>115738.70859401851</v>
      </c>
      <c r="V26" s="220">
        <v>119449.68232818534</v>
      </c>
      <c r="W26" s="223">
        <v>123188.16541299617</v>
      </c>
      <c r="X26" s="220">
        <v>61222.081161571354</v>
      </c>
      <c r="Y26" s="221">
        <v>61966.084251388267</v>
      </c>
      <c r="Z26" s="220">
        <v>112000.22550920885</v>
      </c>
      <c r="AA26" s="220">
        <v>54516.627432418172</v>
      </c>
      <c r="AB26" s="222">
        <v>57483.598076756185</v>
      </c>
    </row>
    <row r="27" spans="1:28" ht="12" customHeight="1" x14ac:dyDescent="0.2">
      <c r="A27" s="41" t="s">
        <v>22</v>
      </c>
      <c r="B27" s="220">
        <v>9315.0408680664841</v>
      </c>
      <c r="C27" s="220">
        <v>4472.5426366796337</v>
      </c>
      <c r="D27" s="221">
        <v>4842.4982313871542</v>
      </c>
      <c r="E27" s="220">
        <v>5316.5804007640099</v>
      </c>
      <c r="F27" s="220">
        <v>2652.1651077545489</v>
      </c>
      <c r="G27" s="221">
        <v>2664.4152930097648</v>
      </c>
      <c r="H27" s="220">
        <v>3998.4604673027775</v>
      </c>
      <c r="I27" s="220">
        <v>1820.3775289253463</v>
      </c>
      <c r="J27" s="222">
        <v>2178.0829383776932</v>
      </c>
      <c r="K27" s="220">
        <v>9629.253721429448</v>
      </c>
      <c r="L27" s="220">
        <v>4623.4094341052869</v>
      </c>
      <c r="M27" s="220">
        <v>5005.8442873234972</v>
      </c>
      <c r="N27" s="223">
        <v>5495.9180892951772</v>
      </c>
      <c r="O27" s="220">
        <v>2741.6273417799212</v>
      </c>
      <c r="P27" s="221">
        <v>2754.2907475156235</v>
      </c>
      <c r="Q27" s="220">
        <v>4133.3356321336069</v>
      </c>
      <c r="R27" s="220">
        <v>1881.7820923257032</v>
      </c>
      <c r="S27" s="222">
        <v>2251.5535398082411</v>
      </c>
      <c r="T27" s="220">
        <v>9953.1074691503582</v>
      </c>
      <c r="U27" s="220">
        <v>4778.9052301251031</v>
      </c>
      <c r="V27" s="220">
        <v>5174.20223902619</v>
      </c>
      <c r="W27" s="223">
        <v>5680.7583398365232</v>
      </c>
      <c r="X27" s="220">
        <v>2833.8345174528681</v>
      </c>
      <c r="Y27" s="221">
        <v>2846.9238223833677</v>
      </c>
      <c r="Z27" s="220">
        <v>4272.3491293147699</v>
      </c>
      <c r="AA27" s="220">
        <v>1945.0707126719656</v>
      </c>
      <c r="AB27" s="222">
        <v>2327.2784166425349</v>
      </c>
    </row>
    <row r="28" spans="1:28" ht="12" customHeight="1" thickBot="1" x14ac:dyDescent="0.25">
      <c r="A28" s="46" t="s">
        <v>21</v>
      </c>
      <c r="B28" s="224">
        <v>201165.5695055878</v>
      </c>
      <c r="C28" s="224">
        <v>97590.65045434967</v>
      </c>
      <c r="D28" s="225">
        <v>103574.9190510749</v>
      </c>
      <c r="E28" s="224">
        <v>109077.46132530716</v>
      </c>
      <c r="F28" s="224">
        <v>52912.639320095936</v>
      </c>
      <c r="G28" s="225">
        <v>56164.822005369249</v>
      </c>
      <c r="H28" s="224">
        <v>92088.10818011724</v>
      </c>
      <c r="I28" s="224">
        <v>44678.011134357257</v>
      </c>
      <c r="J28" s="226">
        <v>47410.097045838986</v>
      </c>
      <c r="K28" s="224">
        <v>207951.24103252144</v>
      </c>
      <c r="L28" s="224">
        <v>100882.55621997359</v>
      </c>
      <c r="M28" s="224">
        <v>107068.68481256771</v>
      </c>
      <c r="N28" s="227">
        <v>112756.8375992192</v>
      </c>
      <c r="O28" s="224">
        <v>54697.476511364323</v>
      </c>
      <c r="P28" s="225">
        <v>58059.361087979742</v>
      </c>
      <c r="Q28" s="224">
        <v>95194.403433322543</v>
      </c>
      <c r="R28" s="224">
        <v>46185.079708699181</v>
      </c>
      <c r="S28" s="226">
        <v>49009.323724692549</v>
      </c>
      <c r="T28" s="224">
        <v>214945.11518942742</v>
      </c>
      <c r="U28" s="224">
        <v>104275.4664971293</v>
      </c>
      <c r="V28" s="224">
        <v>110669.64869250229</v>
      </c>
      <c r="W28" s="227">
        <v>116549.10702069556</v>
      </c>
      <c r="X28" s="224">
        <v>56537.077301975536</v>
      </c>
      <c r="Y28" s="225">
        <v>60012.029718636441</v>
      </c>
      <c r="Z28" s="224">
        <v>98396.008168936998</v>
      </c>
      <c r="AA28" s="224">
        <v>47738.389195092255</v>
      </c>
      <c r="AB28" s="226">
        <v>50657.618973792742</v>
      </c>
    </row>
    <row r="29" spans="1:28" s="1" customFormat="1" x14ac:dyDescent="0.2">
      <c r="A29" s="57" t="s">
        <v>82</v>
      </c>
    </row>
    <row r="30" spans="1:28" ht="11.1" customHeight="1" x14ac:dyDescent="0.2"/>
    <row r="31" spans="1:28" ht="11.1" customHeight="1" x14ac:dyDescent="0.2"/>
    <row r="32" spans="1:28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</sheetData>
  <mergeCells count="4">
    <mergeCell ref="A3:A4"/>
    <mergeCell ref="A2:J2"/>
    <mergeCell ref="K2:S2"/>
    <mergeCell ref="T2:AB2"/>
  </mergeCells>
  <pageMargins left="0.7" right="0.7" top="0.75" bottom="0.75" header="0.3" footer="0.3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16384" width="9.140625" style="1"/>
  </cols>
  <sheetData>
    <row r="1" spans="1:28" s="3" customFormat="1" ht="30" customHeight="1" thickBot="1" x14ac:dyDescent="0.25">
      <c r="A1" s="54" t="s">
        <v>73</v>
      </c>
      <c r="B1" s="55"/>
      <c r="C1" s="55"/>
      <c r="D1" s="55"/>
      <c r="E1" s="55"/>
      <c r="F1" s="55"/>
      <c r="G1" s="55"/>
      <c r="H1" s="55"/>
      <c r="I1" s="55"/>
      <c r="J1" s="55"/>
    </row>
    <row r="2" spans="1:28" s="3" customFormat="1" ht="11.1" customHeight="1" x14ac:dyDescent="0.2">
      <c r="A2" s="261" t="s">
        <v>24</v>
      </c>
      <c r="B2" s="259"/>
      <c r="C2" s="259"/>
      <c r="D2" s="259"/>
      <c r="E2" s="259"/>
      <c r="F2" s="259"/>
      <c r="G2" s="259"/>
      <c r="H2" s="259"/>
      <c r="I2" s="259"/>
      <c r="J2" s="260"/>
      <c r="K2" s="261" t="s">
        <v>26</v>
      </c>
      <c r="L2" s="259"/>
      <c r="M2" s="259"/>
      <c r="N2" s="259"/>
      <c r="O2" s="259"/>
      <c r="P2" s="259"/>
      <c r="Q2" s="259"/>
      <c r="R2" s="259"/>
      <c r="S2" s="260"/>
      <c r="T2" s="261" t="s">
        <v>27</v>
      </c>
      <c r="U2" s="259"/>
      <c r="V2" s="259"/>
      <c r="W2" s="259"/>
      <c r="X2" s="259"/>
      <c r="Y2" s="259"/>
      <c r="Z2" s="259"/>
      <c r="AA2" s="259"/>
      <c r="AB2" s="260"/>
    </row>
    <row r="3" spans="1:28" s="3" customFormat="1" ht="17.25" customHeight="1" thickBot="1" x14ac:dyDescent="0.25">
      <c r="A3" s="267" t="s">
        <v>25</v>
      </c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10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s="3" customFormat="1" ht="12.75" customHeight="1" thickBot="1" x14ac:dyDescent="0.25">
      <c r="A4" s="262"/>
      <c r="B4" s="7" t="s">
        <v>0</v>
      </c>
      <c r="C4" s="8" t="s">
        <v>3</v>
      </c>
      <c r="D4" s="15" t="s">
        <v>4</v>
      </c>
      <c r="E4" s="16" t="s">
        <v>0</v>
      </c>
      <c r="F4" s="8" t="s">
        <v>3</v>
      </c>
      <c r="G4" s="15" t="s">
        <v>4</v>
      </c>
      <c r="H4" s="16" t="s">
        <v>0</v>
      </c>
      <c r="I4" s="8" t="s">
        <v>3</v>
      </c>
      <c r="J4" s="17" t="s">
        <v>4</v>
      </c>
      <c r="K4" s="85" t="s">
        <v>0</v>
      </c>
      <c r="L4" s="19" t="s">
        <v>3</v>
      </c>
      <c r="M4" s="19" t="s">
        <v>4</v>
      </c>
      <c r="N4" s="18" t="s">
        <v>0</v>
      </c>
      <c r="O4" s="19" t="s">
        <v>3</v>
      </c>
      <c r="P4" s="20" t="s">
        <v>4</v>
      </c>
      <c r="Q4" s="86" t="s">
        <v>0</v>
      </c>
      <c r="R4" s="19" t="s">
        <v>3</v>
      </c>
      <c r="S4" s="87" t="s">
        <v>4</v>
      </c>
      <c r="T4" s="7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s="3" customFormat="1" ht="16.5" customHeight="1" thickBot="1" x14ac:dyDescent="0.25">
      <c r="A5" s="21" t="s">
        <v>23</v>
      </c>
      <c r="B5" s="22">
        <f>+B6+B7+B8+B9+B10+B11+B12+B13+B14+B15+B16+B17+B18+B19+B20+B21+B22+B23+B24+B25</f>
        <v>160871.02520339919</v>
      </c>
      <c r="C5" s="22">
        <f t="shared" ref="C5:J5" si="0">+C6+C7+C8+C9+C10+C11+C12+C13+C14+C15+C16+C17+C18+C19+C20+C21+C22+C23+C24+C25</f>
        <v>77824.937533529548</v>
      </c>
      <c r="D5" s="25">
        <f t="shared" si="0"/>
        <v>83046.087669873858</v>
      </c>
      <c r="E5" s="22">
        <f t="shared" si="0"/>
        <v>98831.653139131202</v>
      </c>
      <c r="F5" s="22">
        <f t="shared" si="0"/>
        <v>47661.007238568352</v>
      </c>
      <c r="G5" s="25">
        <f t="shared" si="0"/>
        <v>51170.645900557087</v>
      </c>
      <c r="H5" s="22">
        <f t="shared" si="0"/>
        <v>62039.372064271585</v>
      </c>
      <c r="I5" s="22">
        <f t="shared" si="0"/>
        <v>30163.930294958234</v>
      </c>
      <c r="J5" s="22">
        <f t="shared" si="0"/>
        <v>31875.441769313682</v>
      </c>
      <c r="K5" s="81">
        <f>+K6+K7+K8+K9+K10+K11+K12+K13+K14+K15+K16+K17+K18+K19+K20+K21+K22+K23+K24+K25</f>
        <v>166297.49026869974</v>
      </c>
      <c r="L5" s="24">
        <f t="shared" ref="L5:S5" si="1">+L6+L7+L8+L9+L10+L11+L12+L13+L14+L15+L16+L17+L18+L19+L20+L21+L22+L23+L24+L25</f>
        <v>80450.11073796956</v>
      </c>
      <c r="M5" s="25">
        <f t="shared" si="1"/>
        <v>85847.379530733044</v>
      </c>
      <c r="N5" s="24">
        <f t="shared" si="1"/>
        <v>102165.42012685705</v>
      </c>
      <c r="O5" s="24">
        <f t="shared" si="1"/>
        <v>49268.697563353788</v>
      </c>
      <c r="P5" s="25">
        <f t="shared" si="1"/>
        <v>52896.722563510142</v>
      </c>
      <c r="Q5" s="24">
        <f t="shared" si="1"/>
        <v>64132.070141846139</v>
      </c>
      <c r="R5" s="24">
        <f t="shared" si="1"/>
        <v>31181.413174620175</v>
      </c>
      <c r="S5" s="82">
        <f t="shared" si="1"/>
        <v>32950.656967227042</v>
      </c>
      <c r="T5" s="22">
        <f>+T6+T7+T8+T9+T10+T11+T12+T13+T14+T15+T16+T17+T18+T19+T20+T21+T22+T23+T24+T25</f>
        <v>171890.45385841886</v>
      </c>
      <c r="U5" s="22">
        <f t="shared" ref="U5:AB5" si="2">+U6+U7+U8+U9+U10+U11+U12+U13+U14+U15+U16+U17+U18+U19+U20+U21+U22+U23+U24+U25</f>
        <v>83155.831307898785</v>
      </c>
      <c r="V5" s="25">
        <f t="shared" si="2"/>
        <v>88734.622550538115</v>
      </c>
      <c r="W5" s="22">
        <f t="shared" si="2"/>
        <v>105601.47604072648</v>
      </c>
      <c r="X5" s="22">
        <f t="shared" si="2"/>
        <v>50925.716145773404</v>
      </c>
      <c r="Y5" s="25">
        <f t="shared" si="2"/>
        <v>54675.759894954383</v>
      </c>
      <c r="Z5" s="22">
        <f t="shared" si="2"/>
        <v>66288.977817709587</v>
      </c>
      <c r="AA5" s="22">
        <f t="shared" si="2"/>
        <v>32230.115162123886</v>
      </c>
      <c r="AB5" s="82">
        <f t="shared" si="2"/>
        <v>34058.862655582889</v>
      </c>
    </row>
    <row r="6" spans="1:28" s="3" customFormat="1" ht="12" customHeight="1" x14ac:dyDescent="0.2">
      <c r="A6" s="26" t="s">
        <v>5</v>
      </c>
      <c r="B6" s="27">
        <v>25302.296834150628</v>
      </c>
      <c r="C6" s="27">
        <v>12396.325422470038</v>
      </c>
      <c r="D6" s="28">
        <v>12905.971411672092</v>
      </c>
      <c r="E6" s="27">
        <v>15156.004236340734</v>
      </c>
      <c r="F6" s="27">
        <v>7406.132140963311</v>
      </c>
      <c r="G6" s="28">
        <v>7749.872095382857</v>
      </c>
      <c r="H6" s="27">
        <v>10146.292597801395</v>
      </c>
      <c r="I6" s="27">
        <v>4990.1932815098462</v>
      </c>
      <c r="J6" s="29">
        <v>5156.0993162927816</v>
      </c>
      <c r="K6" s="27">
        <v>26155.788192621054</v>
      </c>
      <c r="L6" s="27">
        <v>12814.475470053359</v>
      </c>
      <c r="M6" s="27">
        <v>13341.312722583545</v>
      </c>
      <c r="N6" s="30">
        <v>15667.243145988088</v>
      </c>
      <c r="O6" s="27">
        <v>7655.9541165556702</v>
      </c>
      <c r="P6" s="28">
        <v>8011.2890294324125</v>
      </c>
      <c r="Q6" s="27">
        <v>10488.545046648816</v>
      </c>
      <c r="R6" s="27">
        <v>5158.5213534976838</v>
      </c>
      <c r="S6" s="29">
        <v>5330.0236931511272</v>
      </c>
      <c r="T6" s="27">
        <v>27035.466958586672</v>
      </c>
      <c r="U6" s="27">
        <v>13245.455484303413</v>
      </c>
      <c r="V6" s="27">
        <v>13790.011474298455</v>
      </c>
      <c r="W6" s="30">
        <v>16194.168238638269</v>
      </c>
      <c r="X6" s="27">
        <v>7913.4413014157872</v>
      </c>
      <c r="Y6" s="28">
        <v>8280.7269372209539</v>
      </c>
      <c r="Z6" s="27">
        <v>10841.298719963599</v>
      </c>
      <c r="AA6" s="27">
        <v>5332.0141828860978</v>
      </c>
      <c r="AB6" s="29">
        <v>5509.2845370759733</v>
      </c>
    </row>
    <row r="7" spans="1:28" s="3" customFormat="1" ht="12" customHeight="1" x14ac:dyDescent="0.2">
      <c r="A7" s="26" t="s">
        <v>6</v>
      </c>
      <c r="B7" s="27">
        <v>24491.086001305135</v>
      </c>
      <c r="C7" s="27">
        <v>12181.549868140206</v>
      </c>
      <c r="D7" s="28">
        <v>12309.53613317139</v>
      </c>
      <c r="E7" s="27">
        <v>15071.525441924716</v>
      </c>
      <c r="F7" s="27">
        <v>7558.0460438891778</v>
      </c>
      <c r="G7" s="28">
        <v>7513.4793980301401</v>
      </c>
      <c r="H7" s="27">
        <v>9419.5605593868804</v>
      </c>
      <c r="I7" s="27">
        <v>4623.5038242479304</v>
      </c>
      <c r="J7" s="29">
        <v>4796.0567351380505</v>
      </c>
      <c r="K7" s="27">
        <v>25317.213779321231</v>
      </c>
      <c r="L7" s="27">
        <v>12592.455155257632</v>
      </c>
      <c r="M7" s="27">
        <v>12724.758624055774</v>
      </c>
      <c r="N7" s="30">
        <v>15579.914731958528</v>
      </c>
      <c r="O7" s="27">
        <v>7812.9923449244725</v>
      </c>
      <c r="P7" s="28">
        <v>7766.9223870393698</v>
      </c>
      <c r="Q7" s="27">
        <v>9737.299047354878</v>
      </c>
      <c r="R7" s="27">
        <v>4779.4628103361738</v>
      </c>
      <c r="S7" s="29">
        <v>4957.83623701952</v>
      </c>
      <c r="T7" s="27">
        <v>26168.689376648646</v>
      </c>
      <c r="U7" s="27">
        <v>13015.968120337406</v>
      </c>
      <c r="V7" s="27">
        <v>13152.721256310935</v>
      </c>
      <c r="W7" s="30">
        <v>16103.902771025405</v>
      </c>
      <c r="X7" s="27">
        <v>8075.7610832936552</v>
      </c>
      <c r="Y7" s="28">
        <v>8028.1416877314441</v>
      </c>
      <c r="Z7" s="27">
        <v>10064.786605622936</v>
      </c>
      <c r="AA7" s="27">
        <v>4940.2070370434449</v>
      </c>
      <c r="AB7" s="29">
        <v>5124.5795685791854</v>
      </c>
    </row>
    <row r="8" spans="1:28" s="3" customFormat="1" ht="12" customHeight="1" x14ac:dyDescent="0.2">
      <c r="A8" s="26" t="s">
        <v>7</v>
      </c>
      <c r="B8" s="27">
        <v>21637.677931819791</v>
      </c>
      <c r="C8" s="27">
        <v>10684.567661079032</v>
      </c>
      <c r="D8" s="28">
        <v>10953.110270742678</v>
      </c>
      <c r="E8" s="27">
        <v>13427.130483175839</v>
      </c>
      <c r="F8" s="27">
        <v>6617.5755428125631</v>
      </c>
      <c r="G8" s="28">
        <v>6809.5549403591867</v>
      </c>
      <c r="H8" s="27">
        <v>8210.5474486458716</v>
      </c>
      <c r="I8" s="27">
        <v>4066.9921182645626</v>
      </c>
      <c r="J8" s="29">
        <v>4143.5553303813713</v>
      </c>
      <c r="K8" s="27">
        <v>22367.555193700977</v>
      </c>
      <c r="L8" s="27">
        <v>11044.977082707939</v>
      </c>
      <c r="M8" s="27">
        <v>11322.578110989754</v>
      </c>
      <c r="N8" s="30">
        <v>13880.05141409669</v>
      </c>
      <c r="O8" s="27">
        <v>6840.7981054516649</v>
      </c>
      <c r="P8" s="28">
        <v>7039.2533086490303</v>
      </c>
      <c r="Q8" s="27">
        <v>8487.5037796010038</v>
      </c>
      <c r="R8" s="27">
        <v>4204.1789772580969</v>
      </c>
      <c r="S8" s="29">
        <v>4283.3248023427604</v>
      </c>
      <c r="T8" s="27">
        <v>23119.827050524513</v>
      </c>
      <c r="U8" s="27">
        <v>11416.44483350416</v>
      </c>
      <c r="V8" s="27">
        <v>11703.382217020047</v>
      </c>
      <c r="W8" s="30">
        <v>14346.869175794076</v>
      </c>
      <c r="X8" s="27">
        <v>7070.8697359167381</v>
      </c>
      <c r="Y8" s="28">
        <v>7275.9994398770323</v>
      </c>
      <c r="Z8" s="27">
        <v>8772.9578747301312</v>
      </c>
      <c r="AA8" s="27">
        <v>4345.575097587116</v>
      </c>
      <c r="AB8" s="29">
        <v>4427.3827771427095</v>
      </c>
    </row>
    <row r="9" spans="1:28" s="3" customFormat="1" ht="12" customHeight="1" x14ac:dyDescent="0.2">
      <c r="A9" s="26" t="s">
        <v>8</v>
      </c>
      <c r="B9" s="27">
        <v>18927.761237834409</v>
      </c>
      <c r="C9" s="27">
        <v>9074.9372370642523</v>
      </c>
      <c r="D9" s="28">
        <v>9852.8240007704626</v>
      </c>
      <c r="E9" s="27">
        <v>11799.378437824271</v>
      </c>
      <c r="F9" s="27">
        <v>5627.7351062464941</v>
      </c>
      <c r="G9" s="28">
        <v>6171.6433315780805</v>
      </c>
      <c r="H9" s="27">
        <v>7128.3828000104431</v>
      </c>
      <c r="I9" s="27">
        <v>3447.2021308180615</v>
      </c>
      <c r="J9" s="29">
        <v>3681.1806691926854</v>
      </c>
      <c r="K9" s="27">
        <v>19566.228202237631</v>
      </c>
      <c r="L9" s="27">
        <v>9381.0509690095041</v>
      </c>
      <c r="M9" s="27">
        <v>10185.177233227179</v>
      </c>
      <c r="N9" s="30">
        <v>12197.392404631724</v>
      </c>
      <c r="O9" s="27">
        <v>5817.5685949820163</v>
      </c>
      <c r="P9" s="28">
        <v>6379.8238096471996</v>
      </c>
      <c r="Q9" s="27">
        <v>7368.8357976055513</v>
      </c>
      <c r="R9" s="27">
        <v>3563.4823740270022</v>
      </c>
      <c r="S9" s="29">
        <v>3805.3534235789166</v>
      </c>
      <c r="T9" s="27">
        <v>20224.285048111567</v>
      </c>
      <c r="U9" s="27">
        <v>9696.5570925127449</v>
      </c>
      <c r="V9" s="27">
        <v>10527.72795559889</v>
      </c>
      <c r="W9" s="30">
        <v>12607.618509053826</v>
      </c>
      <c r="X9" s="27">
        <v>6013.2266850712122</v>
      </c>
      <c r="Y9" s="28">
        <v>6594.3918239853929</v>
      </c>
      <c r="Z9" s="27">
        <v>7616.666539057409</v>
      </c>
      <c r="AA9" s="27">
        <v>3683.3304074422899</v>
      </c>
      <c r="AB9" s="29">
        <v>3933.3361316148316</v>
      </c>
    </row>
    <row r="10" spans="1:28" s="3" customFormat="1" ht="12" customHeight="1" x14ac:dyDescent="0.2">
      <c r="A10" s="26" t="s">
        <v>9</v>
      </c>
      <c r="B10" s="27">
        <v>14602.10195972156</v>
      </c>
      <c r="C10" s="27">
        <v>6761.4107937921299</v>
      </c>
      <c r="D10" s="28">
        <v>7840.6911659329635</v>
      </c>
      <c r="E10" s="27">
        <v>9019.7893759590515</v>
      </c>
      <c r="F10" s="27">
        <v>4152.422056050531</v>
      </c>
      <c r="G10" s="28">
        <v>4867.3673199079849</v>
      </c>
      <c r="H10" s="27">
        <v>5582.3125837654388</v>
      </c>
      <c r="I10" s="27">
        <v>2608.9887377410023</v>
      </c>
      <c r="J10" s="29">
        <v>2973.3238460242492</v>
      </c>
      <c r="K10" s="27">
        <v>15094.65676295563</v>
      </c>
      <c r="L10" s="27">
        <v>6989.4851746095892</v>
      </c>
      <c r="M10" s="27">
        <v>8105.1715883459556</v>
      </c>
      <c r="N10" s="30">
        <v>9324.0428727168983</v>
      </c>
      <c r="O10" s="27">
        <v>4292.4906183983267</v>
      </c>
      <c r="P10" s="28">
        <v>5031.5522543184861</v>
      </c>
      <c r="Q10" s="27">
        <v>5770.6138902386456</v>
      </c>
      <c r="R10" s="27">
        <v>2696.9945562111766</v>
      </c>
      <c r="S10" s="29">
        <v>3073.6193340273835</v>
      </c>
      <c r="T10" s="27">
        <v>15602.32447061637</v>
      </c>
      <c r="U10" s="27">
        <v>7224.5574900683305</v>
      </c>
      <c r="V10" s="27">
        <v>8377.7669805479691</v>
      </c>
      <c r="W10" s="30">
        <v>9637.6316840199452</v>
      </c>
      <c r="X10" s="27">
        <v>4436.8568604811326</v>
      </c>
      <c r="Y10" s="28">
        <v>5200.7748235387435</v>
      </c>
      <c r="Z10" s="27">
        <v>5964.6927865963544</v>
      </c>
      <c r="AA10" s="27">
        <v>2787.7006295871279</v>
      </c>
      <c r="AB10" s="29">
        <v>3176.9921570091565</v>
      </c>
    </row>
    <row r="11" spans="1:28" s="3" customFormat="1" ht="12" customHeight="1" x14ac:dyDescent="0.2">
      <c r="A11" s="31" t="s">
        <v>10</v>
      </c>
      <c r="B11" s="27">
        <v>10694.23360649309</v>
      </c>
      <c r="C11" s="27">
        <v>5242.9319349535235</v>
      </c>
      <c r="D11" s="28">
        <v>5451.3016715402509</v>
      </c>
      <c r="E11" s="32">
        <v>6738.951780267812</v>
      </c>
      <c r="F11" s="32">
        <v>3285.25458941744</v>
      </c>
      <c r="G11" s="33">
        <v>3453.697190849763</v>
      </c>
      <c r="H11" s="32">
        <v>3955.2818262260139</v>
      </c>
      <c r="I11" s="32">
        <v>1957.6773455360035</v>
      </c>
      <c r="J11" s="34">
        <v>1997.6044806903392</v>
      </c>
      <c r="K11" s="27">
        <v>11054.969077611931</v>
      </c>
      <c r="L11" s="27">
        <v>5419.785330081083</v>
      </c>
      <c r="M11" s="27">
        <v>5635.183747530763</v>
      </c>
      <c r="N11" s="35">
        <v>6966.2685787168093</v>
      </c>
      <c r="O11" s="32">
        <v>3396.0720547604374</v>
      </c>
      <c r="P11" s="33">
        <v>3570.1965239562865</v>
      </c>
      <c r="Q11" s="32">
        <v>4088.7004988950371</v>
      </c>
      <c r="R11" s="32">
        <v>2023.7132753205603</v>
      </c>
      <c r="S11" s="34">
        <v>2064.987223574391</v>
      </c>
      <c r="T11" s="27">
        <v>11426.772881966392</v>
      </c>
      <c r="U11" s="27">
        <v>5602.0650624224099</v>
      </c>
      <c r="V11" s="27">
        <v>5824.7078195439126</v>
      </c>
      <c r="W11" s="35">
        <v>7200.5600671450547</v>
      </c>
      <c r="X11" s="32">
        <v>3510.2896976102083</v>
      </c>
      <c r="Y11" s="33">
        <v>3690.2703695347764</v>
      </c>
      <c r="Z11" s="32">
        <v>4226.2128148212678</v>
      </c>
      <c r="AA11" s="32">
        <v>2091.7753648121316</v>
      </c>
      <c r="AB11" s="34">
        <v>2134.4374500090662</v>
      </c>
    </row>
    <row r="12" spans="1:28" s="3" customFormat="1" ht="12" customHeight="1" x14ac:dyDescent="0.2">
      <c r="A12" s="31" t="s">
        <v>11</v>
      </c>
      <c r="B12" s="32">
        <v>8716.9217295258695</v>
      </c>
      <c r="C12" s="32">
        <v>4298.4198544795781</v>
      </c>
      <c r="D12" s="33">
        <v>4418.501875046305</v>
      </c>
      <c r="E12" s="27">
        <v>5438.5534476023722</v>
      </c>
      <c r="F12" s="27">
        <v>2662.4637248232025</v>
      </c>
      <c r="G12" s="28">
        <v>2776.089722778815</v>
      </c>
      <c r="H12" s="27">
        <v>3278.3682819235114</v>
      </c>
      <c r="I12" s="27">
        <v>1635.9561296560937</v>
      </c>
      <c r="J12" s="29">
        <v>1642.4121522672069</v>
      </c>
      <c r="K12" s="32">
        <v>9010.9589632812949</v>
      </c>
      <c r="L12" s="32">
        <v>4443.41318156745</v>
      </c>
      <c r="M12" s="32">
        <v>4567.5457817133693</v>
      </c>
      <c r="N12" s="30">
        <v>5622.0055033830058</v>
      </c>
      <c r="O12" s="27">
        <v>2752.2733494719691</v>
      </c>
      <c r="P12" s="28">
        <v>2869.7321539111185</v>
      </c>
      <c r="Q12" s="27">
        <v>3388.953459897813</v>
      </c>
      <c r="R12" s="27">
        <v>1691.1398320955625</v>
      </c>
      <c r="S12" s="29">
        <v>1697.8136278023323</v>
      </c>
      <c r="T12" s="32">
        <v>9314.0180491915671</v>
      </c>
      <c r="U12" s="32">
        <v>4592.8552934025474</v>
      </c>
      <c r="V12" s="32">
        <v>4721.1627557895463</v>
      </c>
      <c r="W12" s="30">
        <v>5811.0863610124397</v>
      </c>
      <c r="X12" s="27">
        <v>2844.8385746459248</v>
      </c>
      <c r="Y12" s="28">
        <v>2966.247786366996</v>
      </c>
      <c r="Z12" s="27">
        <v>3502.9316881794584</v>
      </c>
      <c r="AA12" s="27">
        <v>1748.0167187567022</v>
      </c>
      <c r="AB12" s="29">
        <v>1754.9149694226721</v>
      </c>
    </row>
    <row r="13" spans="1:28" s="3" customFormat="1" ht="12" customHeight="1" x14ac:dyDescent="0.2">
      <c r="A13" s="31" t="s">
        <v>12</v>
      </c>
      <c r="B13" s="32">
        <v>7066.7623501254111</v>
      </c>
      <c r="C13" s="32">
        <v>3279.6594864457343</v>
      </c>
      <c r="D13" s="33">
        <v>3787.1028636793221</v>
      </c>
      <c r="E13" s="32">
        <v>4347.4856263240472</v>
      </c>
      <c r="F13" s="32">
        <v>2028.482304411777</v>
      </c>
      <c r="G13" s="33">
        <v>2319.0033219119191</v>
      </c>
      <c r="H13" s="32">
        <v>2719.2767238010088</v>
      </c>
      <c r="I13" s="32">
        <v>1251.1771820337462</v>
      </c>
      <c r="J13" s="34">
        <v>1468.0995417671502</v>
      </c>
      <c r="K13" s="32">
        <v>7305.1367806303624</v>
      </c>
      <c r="L13" s="32">
        <v>3390.288219039167</v>
      </c>
      <c r="M13" s="32">
        <v>3914.8485615912773</v>
      </c>
      <c r="N13" s="35">
        <v>4494.1340289389009</v>
      </c>
      <c r="O13" s="32">
        <v>2096.9066110671697</v>
      </c>
      <c r="P13" s="33">
        <v>2397.227417871813</v>
      </c>
      <c r="Q13" s="32">
        <v>2811.0027516915438</v>
      </c>
      <c r="R13" s="32">
        <v>1293.3816079720793</v>
      </c>
      <c r="S13" s="34">
        <v>1517.6211437195464</v>
      </c>
      <c r="T13" s="32">
        <v>7550.8251789694887</v>
      </c>
      <c r="U13" s="32">
        <v>3504.3113383126524</v>
      </c>
      <c r="V13" s="32">
        <v>4046.5138406578908</v>
      </c>
      <c r="W13" s="35">
        <v>4645.2819984639018</v>
      </c>
      <c r="X13" s="32">
        <v>2167.4303592476754</v>
      </c>
      <c r="Y13" s="33">
        <v>2477.8516392163233</v>
      </c>
      <c r="Z13" s="32">
        <v>2905.5431805064604</v>
      </c>
      <c r="AA13" s="32">
        <v>1336.8809790648929</v>
      </c>
      <c r="AB13" s="34">
        <v>1568.6622014414834</v>
      </c>
    </row>
    <row r="14" spans="1:28" s="3" customFormat="1" ht="12" customHeight="1" x14ac:dyDescent="0.2">
      <c r="A14" s="31" t="s">
        <v>13</v>
      </c>
      <c r="B14" s="32">
        <v>6453.4402020695479</v>
      </c>
      <c r="C14" s="32">
        <v>3040.7866498345034</v>
      </c>
      <c r="D14" s="33">
        <v>3412.6535522346899</v>
      </c>
      <c r="E14" s="32">
        <v>3894.2728390238203</v>
      </c>
      <c r="F14" s="32">
        <v>1799.9391039783693</v>
      </c>
      <c r="G14" s="33">
        <v>2094.3337350451397</v>
      </c>
      <c r="H14" s="32">
        <v>2559.1673630453729</v>
      </c>
      <c r="I14" s="32">
        <v>1240.8475458559651</v>
      </c>
      <c r="J14" s="34">
        <v>1318.3198171893237</v>
      </c>
      <c r="K14" s="32">
        <v>6671.1261884872265</v>
      </c>
      <c r="L14" s="32">
        <v>3143.3577778886824</v>
      </c>
      <c r="M14" s="32">
        <v>3527.7684105986259</v>
      </c>
      <c r="N14" s="35">
        <v>4025.6335703236568</v>
      </c>
      <c r="O14" s="32">
        <v>1860.6542430475167</v>
      </c>
      <c r="P14" s="33">
        <v>2164.9793272762222</v>
      </c>
      <c r="Q14" s="32">
        <v>2645.4926181636515</v>
      </c>
      <c r="R14" s="32">
        <v>1282.7035348412476</v>
      </c>
      <c r="S14" s="34">
        <v>1362.7890833224858</v>
      </c>
      <c r="T14" s="32">
        <v>6895.4913657025591</v>
      </c>
      <c r="U14" s="32">
        <v>3249.0760636717641</v>
      </c>
      <c r="V14" s="32">
        <v>3646.4153020316335</v>
      </c>
      <c r="W14" s="35">
        <v>4161.0248017129707</v>
      </c>
      <c r="X14" s="32">
        <v>1923.232285672339</v>
      </c>
      <c r="Y14" s="33">
        <v>2237.7925160405689</v>
      </c>
      <c r="Z14" s="32">
        <v>2734.4665639904056</v>
      </c>
      <c r="AA14" s="32">
        <v>1325.843777999341</v>
      </c>
      <c r="AB14" s="34">
        <v>1408.6227859909804</v>
      </c>
    </row>
    <row r="15" spans="1:28" s="3" customFormat="1" ht="12" customHeight="1" x14ac:dyDescent="0.2">
      <c r="A15" s="31" t="s">
        <v>14</v>
      </c>
      <c r="B15" s="32">
        <v>5391.0461201891194</v>
      </c>
      <c r="C15" s="32">
        <v>2557.3532629493843</v>
      </c>
      <c r="D15" s="33">
        <v>2833.6928572396105</v>
      </c>
      <c r="E15" s="32">
        <v>3244.5662013816573</v>
      </c>
      <c r="F15" s="32">
        <v>1575.6204937603343</v>
      </c>
      <c r="G15" s="33">
        <v>1668.9457076215247</v>
      </c>
      <c r="H15" s="32">
        <v>2146.4799188073375</v>
      </c>
      <c r="I15" s="32">
        <v>981.73276918912279</v>
      </c>
      <c r="J15" s="34">
        <v>1164.7471496182104</v>
      </c>
      <c r="K15" s="32">
        <v>5572.8956695393163</v>
      </c>
      <c r="L15" s="32">
        <v>2643.6173252533358</v>
      </c>
      <c r="M15" s="32">
        <v>2929.2783442854493</v>
      </c>
      <c r="N15" s="35">
        <v>3354.0111752147759</v>
      </c>
      <c r="O15" s="32">
        <v>1628.768968165564</v>
      </c>
      <c r="P15" s="33">
        <v>1725.2422070492164</v>
      </c>
      <c r="Q15" s="32">
        <v>2218.8844943240092</v>
      </c>
      <c r="R15" s="32">
        <v>1014.8483570877763</v>
      </c>
      <c r="S15" s="34">
        <v>1204.0361372362374</v>
      </c>
      <c r="T15" s="32">
        <v>5760.3248515341593</v>
      </c>
      <c r="U15" s="32">
        <v>2732.5282007054639</v>
      </c>
      <c r="V15" s="32">
        <v>3027.7966508290492</v>
      </c>
      <c r="W15" s="35">
        <v>3466.8142148285906</v>
      </c>
      <c r="X15" s="32">
        <v>1683.5481805295046</v>
      </c>
      <c r="Y15" s="33">
        <v>1783.2660342993295</v>
      </c>
      <c r="Z15" s="32">
        <v>2293.5106367059225</v>
      </c>
      <c r="AA15" s="32">
        <v>1048.9800201760738</v>
      </c>
      <c r="AB15" s="34">
        <v>1244.5306165298862</v>
      </c>
    </row>
    <row r="16" spans="1:28" s="3" customFormat="1" ht="12" customHeight="1" x14ac:dyDescent="0.2">
      <c r="A16" s="31" t="s">
        <v>15</v>
      </c>
      <c r="B16" s="32">
        <v>4141.4578670604787</v>
      </c>
      <c r="C16" s="32">
        <v>2027.7023738931136</v>
      </c>
      <c r="D16" s="33">
        <v>2113.7554931677055</v>
      </c>
      <c r="E16" s="32">
        <v>2545.2331053050762</v>
      </c>
      <c r="F16" s="32">
        <v>1221.7118905464695</v>
      </c>
      <c r="G16" s="33">
        <v>1323.5212147586772</v>
      </c>
      <c r="H16" s="32">
        <v>1596.224761755662</v>
      </c>
      <c r="I16" s="32">
        <v>805.99048334662143</v>
      </c>
      <c r="J16" s="34">
        <v>790.23427840901786</v>
      </c>
      <c r="K16" s="32">
        <v>4281.1565878629308</v>
      </c>
      <c r="L16" s="32">
        <v>2096.1003721084517</v>
      </c>
      <c r="M16" s="32">
        <v>2185.0562157544168</v>
      </c>
      <c r="N16" s="35">
        <v>2631.0883331905238</v>
      </c>
      <c r="O16" s="32">
        <v>1262.9223999314538</v>
      </c>
      <c r="P16" s="33">
        <v>1368.1659332590746</v>
      </c>
      <c r="Q16" s="32">
        <v>1650.0682546723444</v>
      </c>
      <c r="R16" s="32">
        <v>833.1779721770024</v>
      </c>
      <c r="S16" s="34">
        <v>816.89028249534681</v>
      </c>
      <c r="T16" s="32">
        <v>4425.1416406682974</v>
      </c>
      <c r="U16" s="32">
        <v>2166.5970046352586</v>
      </c>
      <c r="V16" s="32">
        <v>2258.5446360333926</v>
      </c>
      <c r="W16" s="35">
        <v>2719.5778300860084</v>
      </c>
      <c r="X16" s="32">
        <v>1305.3973584413377</v>
      </c>
      <c r="Y16" s="33">
        <v>1414.180471644783</v>
      </c>
      <c r="Z16" s="32">
        <v>1705.5638105825828</v>
      </c>
      <c r="AA16" s="32">
        <v>861.19964619393625</v>
      </c>
      <c r="AB16" s="34">
        <v>844.36416438864114</v>
      </c>
    </row>
    <row r="17" spans="1:28" s="3" customFormat="1" ht="12" customHeight="1" x14ac:dyDescent="0.2">
      <c r="A17" s="31" t="s">
        <v>16</v>
      </c>
      <c r="B17" s="32">
        <v>3300.3189265454748</v>
      </c>
      <c r="C17" s="32">
        <v>1498.0514848367475</v>
      </c>
      <c r="D17" s="33">
        <v>1802.2674417089395</v>
      </c>
      <c r="E17" s="32">
        <v>2008.3101216622169</v>
      </c>
      <c r="F17" s="32">
        <v>894.46763415008763</v>
      </c>
      <c r="G17" s="33">
        <v>1113.8424875121066</v>
      </c>
      <c r="H17" s="32">
        <v>1292.00880488347</v>
      </c>
      <c r="I17" s="32">
        <v>603.58385068663711</v>
      </c>
      <c r="J17" s="34">
        <v>688.42495419681018</v>
      </c>
      <c r="K17" s="32">
        <v>3411.6445387037111</v>
      </c>
      <c r="L17" s="32">
        <v>1548.5834189635673</v>
      </c>
      <c r="M17" s="32">
        <v>1863.0611197401483</v>
      </c>
      <c r="N17" s="35">
        <v>2076.0539848079525</v>
      </c>
      <c r="O17" s="32">
        <v>924.63961423552996</v>
      </c>
      <c r="P17" s="33">
        <v>1151.4143705724271</v>
      </c>
      <c r="Q17" s="32">
        <v>1335.5905538957634</v>
      </c>
      <c r="R17" s="32">
        <v>623.9438047280421</v>
      </c>
      <c r="S17" s="34">
        <v>711.64674916772606</v>
      </c>
      <c r="T17" s="32">
        <v>3526.3859196780859</v>
      </c>
      <c r="U17" s="32">
        <v>1600.6658085649749</v>
      </c>
      <c r="V17" s="32">
        <v>1925.720111113365</v>
      </c>
      <c r="W17" s="35">
        <v>2145.8764116441298</v>
      </c>
      <c r="X17" s="32">
        <v>955.73735171597798</v>
      </c>
      <c r="Y17" s="33">
        <v>1190.1390599281635</v>
      </c>
      <c r="Z17" s="32">
        <v>1380.5095080341928</v>
      </c>
      <c r="AA17" s="32">
        <v>644.92845684899146</v>
      </c>
      <c r="AB17" s="34">
        <v>735.58105118519586</v>
      </c>
    </row>
    <row r="18" spans="1:28" s="3" customFormat="1" ht="12" customHeight="1" x14ac:dyDescent="0.2">
      <c r="A18" s="31" t="s">
        <v>17</v>
      </c>
      <c r="B18" s="32">
        <v>3076.0960101257738</v>
      </c>
      <c r="C18" s="32">
        <v>1448.3588384950747</v>
      </c>
      <c r="D18" s="33">
        <v>1627.7371716308692</v>
      </c>
      <c r="E18" s="32">
        <v>1798.6313944156464</v>
      </c>
      <c r="F18" s="32">
        <v>822.95870404865605</v>
      </c>
      <c r="G18" s="33">
        <v>975.67269036696757</v>
      </c>
      <c r="H18" s="32">
        <v>1277.4646157102975</v>
      </c>
      <c r="I18" s="32">
        <v>625.4001344463959</v>
      </c>
      <c r="J18" s="34">
        <v>652.06448126387886</v>
      </c>
      <c r="K18" s="32">
        <v>3179.8581855416892</v>
      </c>
      <c r="L18" s="32">
        <v>1497.2145515060381</v>
      </c>
      <c r="M18" s="32">
        <v>1682.6436340356556</v>
      </c>
      <c r="N18" s="35">
        <v>1859.3024221213047</v>
      </c>
      <c r="O18" s="32">
        <v>850.71856106493919</v>
      </c>
      <c r="P18" s="33">
        <v>1008.5838610563703</v>
      </c>
      <c r="Q18" s="32">
        <v>1320.555763420389</v>
      </c>
      <c r="R18" s="32">
        <v>646.49599044110369</v>
      </c>
      <c r="S18" s="34">
        <v>674.05977297929007</v>
      </c>
      <c r="T18" s="32">
        <v>3286.8040632181592</v>
      </c>
      <c r="U18" s="32">
        <v>1547.569289025198</v>
      </c>
      <c r="V18" s="32">
        <v>1739.2347741931731</v>
      </c>
      <c r="W18" s="35">
        <v>1921.8349999275276</v>
      </c>
      <c r="X18" s="32">
        <v>879.33016506117713</v>
      </c>
      <c r="Y18" s="33">
        <v>1042.5048348663449</v>
      </c>
      <c r="Z18" s="32">
        <v>1364.9690632908435</v>
      </c>
      <c r="AA18" s="32">
        <v>668.23912396401545</v>
      </c>
      <c r="AB18" s="34">
        <v>696.72993932682255</v>
      </c>
    </row>
    <row r="19" spans="1:28" s="3" customFormat="1" ht="12" customHeight="1" x14ac:dyDescent="0.2">
      <c r="A19" s="31" t="s">
        <v>18</v>
      </c>
      <c r="B19" s="32">
        <v>2101.349252004456</v>
      </c>
      <c r="C19" s="32">
        <v>1037.9721693838815</v>
      </c>
      <c r="D19" s="33">
        <v>1063.3770826205505</v>
      </c>
      <c r="E19" s="32">
        <v>1282.3432395651739</v>
      </c>
      <c r="F19" s="32">
        <v>627.86428427765316</v>
      </c>
      <c r="G19" s="33">
        <v>654.47895528749689</v>
      </c>
      <c r="H19" s="32">
        <v>819.00601243925814</v>
      </c>
      <c r="I19" s="32">
        <v>410.10788510620921</v>
      </c>
      <c r="J19" s="34">
        <v>408.89812733303455</v>
      </c>
      <c r="K19" s="32">
        <v>2172.2314900680476</v>
      </c>
      <c r="L19" s="32">
        <v>1072.9848120198199</v>
      </c>
      <c r="M19" s="32">
        <v>1099.2466780482753</v>
      </c>
      <c r="N19" s="35">
        <v>1325.5989519125815</v>
      </c>
      <c r="O19" s="32">
        <v>649.04326041757702</v>
      </c>
      <c r="P19" s="33">
        <v>676.555691495009</v>
      </c>
      <c r="Q19" s="32">
        <v>846.63253815549763</v>
      </c>
      <c r="R19" s="32">
        <v>423.94155160222846</v>
      </c>
      <c r="S19" s="34">
        <v>422.69098655325433</v>
      </c>
      <c r="T19" s="32">
        <v>2245.2885855946729</v>
      </c>
      <c r="U19" s="32">
        <v>1109.0717365804337</v>
      </c>
      <c r="V19" s="32">
        <v>1136.216849014221</v>
      </c>
      <c r="W19" s="35">
        <v>1370.1818657054353</v>
      </c>
      <c r="X19" s="32">
        <v>670.87206443501043</v>
      </c>
      <c r="Y19" s="33">
        <v>699.30980127040664</v>
      </c>
      <c r="Z19" s="32">
        <v>875.10671988921956</v>
      </c>
      <c r="AA19" s="32">
        <v>438.19967214540839</v>
      </c>
      <c r="AB19" s="34">
        <v>436.90704774379952</v>
      </c>
    </row>
    <row r="20" spans="1:28" s="3" customFormat="1" ht="12" customHeight="1" x14ac:dyDescent="0.2">
      <c r="A20" s="31" t="s">
        <v>19</v>
      </c>
      <c r="B20" s="32">
        <v>1973.1149280479362</v>
      </c>
      <c r="C20" s="32">
        <v>920.62566538593421</v>
      </c>
      <c r="D20" s="33">
        <v>1052.489262661978</v>
      </c>
      <c r="E20" s="32">
        <v>1203.7089843088174</v>
      </c>
      <c r="F20" s="32">
        <v>557.69833343351968</v>
      </c>
      <c r="G20" s="33">
        <v>646.01065087527388</v>
      </c>
      <c r="H20" s="32">
        <v>769.40594373909482</v>
      </c>
      <c r="I20" s="32">
        <v>362.92733195239754</v>
      </c>
      <c r="J20" s="34">
        <v>406.47861178668524</v>
      </c>
      <c r="K20" s="32">
        <v>2039.671594876774</v>
      </c>
      <c r="L20" s="32">
        <v>951.68000226932884</v>
      </c>
      <c r="M20" s="32">
        <v>1087.9915926075087</v>
      </c>
      <c r="N20" s="35">
        <v>1244.3122237292671</v>
      </c>
      <c r="O20" s="32">
        <v>576.51048757707451</v>
      </c>
      <c r="P20" s="33">
        <v>667.80173615218973</v>
      </c>
      <c r="Q20" s="32">
        <v>795.3593711475562</v>
      </c>
      <c r="R20" s="32">
        <v>375.16951469223761</v>
      </c>
      <c r="S20" s="34">
        <v>420.18985645530609</v>
      </c>
      <c r="T20" s="32">
        <v>2108.2703990241275</v>
      </c>
      <c r="U20" s="32">
        <v>983.68716962436872</v>
      </c>
      <c r="V20" s="32">
        <v>1124.5832293997407</v>
      </c>
      <c r="W20" s="35">
        <v>1286.1612796008556</v>
      </c>
      <c r="X20" s="32">
        <v>595.89984914169315</v>
      </c>
      <c r="Y20" s="33">
        <v>690.26143045914421</v>
      </c>
      <c r="Z20" s="32">
        <v>822.1091194232539</v>
      </c>
      <c r="AA20" s="32">
        <v>387.78732048266278</v>
      </c>
      <c r="AB20" s="34">
        <v>434.3217989405818</v>
      </c>
    </row>
    <row r="21" spans="1:28" s="3" customFormat="1" ht="12" customHeight="1" x14ac:dyDescent="0.2">
      <c r="A21" s="31" t="s">
        <v>20</v>
      </c>
      <c r="B21" s="32">
        <v>1393.6409546972477</v>
      </c>
      <c r="C21" s="32">
        <v>648.43016642162331</v>
      </c>
      <c r="D21" s="33">
        <v>745.21078827560052</v>
      </c>
      <c r="E21" s="32">
        <v>841.99141012957773</v>
      </c>
      <c r="F21" s="32">
        <v>388.33224518906536</v>
      </c>
      <c r="G21" s="33">
        <v>453.65916494049691</v>
      </c>
      <c r="H21" s="32">
        <v>551.6495445676461</v>
      </c>
      <c r="I21" s="32">
        <v>260.09792123255158</v>
      </c>
      <c r="J21" s="34">
        <v>291.5516233350927</v>
      </c>
      <c r="K21" s="32">
        <v>1440.6509364181957</v>
      </c>
      <c r="L21" s="32">
        <v>670.30286625013809</v>
      </c>
      <c r="M21" s="32">
        <v>770.34807016807258</v>
      </c>
      <c r="N21" s="35">
        <v>870.39327408600707</v>
      </c>
      <c r="O21" s="32">
        <v>401.43138072069422</v>
      </c>
      <c r="P21" s="33">
        <v>468.96189336529693</v>
      </c>
      <c r="Q21" s="32">
        <v>570.25766233220361</v>
      </c>
      <c r="R21" s="32">
        <v>268.87148552943705</v>
      </c>
      <c r="S21" s="34">
        <v>301.38617680276428</v>
      </c>
      <c r="T21" s="32">
        <v>1489.1033106534558</v>
      </c>
      <c r="U21" s="32">
        <v>692.84667926236204</v>
      </c>
      <c r="V21" s="32">
        <v>796.25663139107553</v>
      </c>
      <c r="W21" s="35">
        <v>899.66658351978901</v>
      </c>
      <c r="X21" s="32">
        <v>414.93243291644887</v>
      </c>
      <c r="Y21" s="33">
        <v>484.73415060332741</v>
      </c>
      <c r="Z21" s="32">
        <v>589.43672713364856</v>
      </c>
      <c r="AA21" s="32">
        <v>277.91424634590953</v>
      </c>
      <c r="AB21" s="34">
        <v>311.52248078773994</v>
      </c>
    </row>
    <row r="22" spans="1:28" s="3" customFormat="1" ht="12" customHeight="1" x14ac:dyDescent="0.2">
      <c r="A22" s="31" t="s">
        <v>28</v>
      </c>
      <c r="B22" s="32">
        <v>1330.7335504921625</v>
      </c>
      <c r="C22" s="32">
        <v>623.02525318495429</v>
      </c>
      <c r="D22" s="33">
        <v>707.70829730718435</v>
      </c>
      <c r="E22" s="32">
        <v>822.63528575878229</v>
      </c>
      <c r="F22" s="32">
        <v>367.76636304509617</v>
      </c>
      <c r="G22" s="33">
        <v>454.86892271367157</v>
      </c>
      <c r="H22" s="32">
        <v>508.09826473335653</v>
      </c>
      <c r="I22" s="32">
        <v>255.25889013985292</v>
      </c>
      <c r="J22" s="34">
        <v>252.83937459350361</v>
      </c>
      <c r="K22" s="32">
        <v>1375.6215538715442</v>
      </c>
      <c r="L22" s="32">
        <v>644.04100022168029</v>
      </c>
      <c r="M22" s="32">
        <v>731.58055364987297</v>
      </c>
      <c r="N22" s="35">
        <v>850.38423330242017</v>
      </c>
      <c r="O22" s="32">
        <v>380.17177488813411</v>
      </c>
      <c r="P22" s="33">
        <v>470.21245841427105</v>
      </c>
      <c r="Q22" s="32">
        <v>525.23732056913309</v>
      </c>
      <c r="R22" s="32">
        <v>263.86922533354056</v>
      </c>
      <c r="S22" s="34">
        <v>261.36809523559231</v>
      </c>
      <c r="T22" s="32">
        <v>1421.886841769792</v>
      </c>
      <c r="U22" s="32">
        <v>665.70156682857476</v>
      </c>
      <c r="V22" s="32">
        <v>756.18527494119905</v>
      </c>
      <c r="W22" s="35">
        <v>878.98459309404632</v>
      </c>
      <c r="X22" s="32">
        <v>392.95781808909823</v>
      </c>
      <c r="Y22" s="33">
        <v>486.02677500493627</v>
      </c>
      <c r="Z22" s="32">
        <v>542.90224867572749</v>
      </c>
      <c r="AA22" s="32">
        <v>272.74374873947409</v>
      </c>
      <c r="AB22" s="34">
        <v>270.15849993625636</v>
      </c>
    </row>
    <row r="23" spans="1:28" s="3" customFormat="1" ht="12" customHeight="1" x14ac:dyDescent="0.2">
      <c r="A23" s="31" t="s">
        <v>29</v>
      </c>
      <c r="B23" s="32">
        <v>130.65383950286312</v>
      </c>
      <c r="C23" s="32">
        <v>50.809826473335654</v>
      </c>
      <c r="D23" s="33">
        <v>79.84401302952746</v>
      </c>
      <c r="E23" s="32">
        <v>93.151348534448701</v>
      </c>
      <c r="F23" s="32">
        <v>31.453702102541119</v>
      </c>
      <c r="G23" s="33">
        <v>61.697646431907579</v>
      </c>
      <c r="H23" s="32">
        <v>37.502490968414413</v>
      </c>
      <c r="I23" s="32">
        <v>19.356124370794536</v>
      </c>
      <c r="J23" s="34">
        <v>18.146366597619878</v>
      </c>
      <c r="K23" s="32">
        <v>135.06102528920576</v>
      </c>
      <c r="L23" s="32">
        <v>52.523732056913495</v>
      </c>
      <c r="M23" s="32">
        <v>82.537293232292541</v>
      </c>
      <c r="N23" s="35">
        <v>96.293508771007907</v>
      </c>
      <c r="O23" s="32">
        <v>32.514691273327394</v>
      </c>
      <c r="P23" s="33">
        <v>63.778817497680677</v>
      </c>
      <c r="Q23" s="32">
        <v>38.76751651819805</v>
      </c>
      <c r="R23" s="32">
        <v>20.00904078358608</v>
      </c>
      <c r="S23" s="34">
        <v>18.758475734611949</v>
      </c>
      <c r="T23" s="32">
        <v>139.60343537375874</v>
      </c>
      <c r="U23" s="32">
        <v>54.290224867572796</v>
      </c>
      <c r="V23" s="32">
        <v>85.313210506185825</v>
      </c>
      <c r="W23" s="35">
        <v>99.532078923883461</v>
      </c>
      <c r="X23" s="32">
        <v>33.608234441830781</v>
      </c>
      <c r="Y23" s="33">
        <v>65.923844482052687</v>
      </c>
      <c r="Z23" s="32">
        <v>40.071356449875161</v>
      </c>
      <c r="AA23" s="32">
        <v>20.681990425742018</v>
      </c>
      <c r="AB23" s="34">
        <v>19.389366024133142</v>
      </c>
    </row>
    <row r="24" spans="1:28" s="3" customFormat="1" ht="12" customHeight="1" x14ac:dyDescent="0.2">
      <c r="A24" s="31" t="s">
        <v>30</v>
      </c>
      <c r="B24" s="32">
        <v>104.03916849302063</v>
      </c>
      <c r="C24" s="32">
        <v>36.292733195239755</v>
      </c>
      <c r="D24" s="33">
        <v>67.746435297780877</v>
      </c>
      <c r="E24" s="32">
        <v>76.214739710003485</v>
      </c>
      <c r="F24" s="32">
        <v>25.404913236667827</v>
      </c>
      <c r="G24" s="33">
        <v>50.809826473335654</v>
      </c>
      <c r="H24" s="32">
        <v>27.824428783017144</v>
      </c>
      <c r="I24" s="32">
        <v>10.887819958571926</v>
      </c>
      <c r="J24" s="34">
        <v>16.936608824445219</v>
      </c>
      <c r="K24" s="32">
        <v>107.54859421177503</v>
      </c>
      <c r="L24" s="32">
        <v>37.516951469223919</v>
      </c>
      <c r="M24" s="32">
        <v>70.031642742551298</v>
      </c>
      <c r="N24" s="35">
        <v>78.785598085370168</v>
      </c>
      <c r="O24" s="32">
        <v>26.261866028456737</v>
      </c>
      <c r="P24" s="33">
        <v>52.523732056913495</v>
      </c>
      <c r="Q24" s="32">
        <v>28.762996126405</v>
      </c>
      <c r="R24" s="32">
        <v>11.255085440767166</v>
      </c>
      <c r="S24" s="34">
        <v>17.507910685637817</v>
      </c>
      <c r="T24" s="32">
        <v>111.16569853836334</v>
      </c>
      <c r="U24" s="32">
        <v>38.778732048266285</v>
      </c>
      <c r="V24" s="32">
        <v>72.386966490097066</v>
      </c>
      <c r="W24" s="35">
        <v>81.435337301359198</v>
      </c>
      <c r="X24" s="32">
        <v>27.145112433786398</v>
      </c>
      <c r="Y24" s="33">
        <v>54.290224867572796</v>
      </c>
      <c r="Z24" s="32">
        <v>29.73036123700415</v>
      </c>
      <c r="AA24" s="32">
        <v>11.633619614479885</v>
      </c>
      <c r="AB24" s="34">
        <v>18.096741622524267</v>
      </c>
    </row>
    <row r="25" spans="1:28" s="3" customFormat="1" ht="12" customHeight="1" thickBot="1" x14ac:dyDescent="0.25">
      <c r="A25" s="36" t="s">
        <v>31</v>
      </c>
      <c r="B25" s="37">
        <v>36.292733195239755</v>
      </c>
      <c r="C25" s="37">
        <v>15.726851051270559</v>
      </c>
      <c r="D25" s="38">
        <v>20.565882143969194</v>
      </c>
      <c r="E25" s="37">
        <v>21.775639917143852</v>
      </c>
      <c r="F25" s="37">
        <v>9.6780621853972679</v>
      </c>
      <c r="G25" s="38">
        <v>12.097577731746584</v>
      </c>
      <c r="H25" s="37">
        <v>14.517093278095901</v>
      </c>
      <c r="I25" s="37">
        <v>6.0487888658732931</v>
      </c>
      <c r="J25" s="39">
        <v>8.4683044122226097</v>
      </c>
      <c r="K25" s="37">
        <v>37.516951469223919</v>
      </c>
      <c r="L25" s="37">
        <v>16.257345636663686</v>
      </c>
      <c r="M25" s="37">
        <v>21.259605832560212</v>
      </c>
      <c r="N25" s="40">
        <v>22.510170881534343</v>
      </c>
      <c r="O25" s="37">
        <v>10.004520391793037</v>
      </c>
      <c r="P25" s="38">
        <v>12.505650489741296</v>
      </c>
      <c r="Q25" s="37">
        <v>15.006780587689555</v>
      </c>
      <c r="R25" s="37">
        <v>6.2528252448706478</v>
      </c>
      <c r="S25" s="39">
        <v>8.753955342818907</v>
      </c>
      <c r="T25" s="37">
        <v>38.778732048266285</v>
      </c>
      <c r="U25" s="37">
        <v>16.804117220915391</v>
      </c>
      <c r="V25" s="37">
        <v>21.974614827350894</v>
      </c>
      <c r="W25" s="40">
        <v>23.26723922895977</v>
      </c>
      <c r="X25" s="37">
        <v>10.340995212871009</v>
      </c>
      <c r="Y25" s="38">
        <v>12.926244016088761</v>
      </c>
      <c r="Z25" s="37">
        <v>15.511492819306513</v>
      </c>
      <c r="AA25" s="37">
        <v>6.4631220080443814</v>
      </c>
      <c r="AB25" s="39">
        <v>9.0483708112621333</v>
      </c>
    </row>
    <row r="26" spans="1:28" s="3" customFormat="1" ht="12" customHeight="1" x14ac:dyDescent="0.2">
      <c r="A26" s="51" t="s">
        <v>64</v>
      </c>
      <c r="B26" s="42">
        <v>83362.741205914877</v>
      </c>
      <c r="C26" s="42">
        <v>41077.605892353546</v>
      </c>
      <c r="D26" s="43">
        <v>42285.135313531478</v>
      </c>
      <c r="E26" s="42">
        <v>51057.447111199966</v>
      </c>
      <c r="F26" s="42">
        <v>25141.65756283094</v>
      </c>
      <c r="G26" s="43">
        <v>25915.789548333298</v>
      </c>
      <c r="H26" s="42">
        <v>32305.294094687051</v>
      </c>
      <c r="I26" s="42">
        <v>15935.948329509174</v>
      </c>
      <c r="J26" s="44">
        <v>16369.345765181921</v>
      </c>
      <c r="K26" s="42">
        <v>86174.714352215931</v>
      </c>
      <c r="L26" s="42">
        <v>42463.226410753326</v>
      </c>
      <c r="M26" s="42">
        <v>43711.48794146115</v>
      </c>
      <c r="N26" s="45">
        <v>52779.705378123203</v>
      </c>
      <c r="O26" s="42">
        <v>25989.730273723493</v>
      </c>
      <c r="P26" s="43">
        <v>26789.975104406887</v>
      </c>
      <c r="Q26" s="42">
        <v>33395.008974089993</v>
      </c>
      <c r="R26" s="42">
        <v>16473.496137032722</v>
      </c>
      <c r="S26" s="44">
        <v>16921.512837057671</v>
      </c>
      <c r="T26" s="42">
        <v>89072.966387986758</v>
      </c>
      <c r="U26" s="42">
        <v>43891.361488620933</v>
      </c>
      <c r="V26" s="42">
        <v>45181.604899392551</v>
      </c>
      <c r="W26" s="45">
        <v>54554.807154900605</v>
      </c>
      <c r="X26" s="42">
        <v>26863.824133426129</v>
      </c>
      <c r="Y26" s="43">
        <v>27690.983021523432</v>
      </c>
      <c r="Z26" s="42">
        <v>34518.159233112441</v>
      </c>
      <c r="AA26" s="42">
        <v>17027.537355221993</v>
      </c>
      <c r="AB26" s="44">
        <v>17490.621877898746</v>
      </c>
    </row>
    <row r="27" spans="1:28" s="3" customFormat="1" ht="12" customHeight="1" x14ac:dyDescent="0.2">
      <c r="A27" s="51" t="s">
        <v>22</v>
      </c>
      <c r="B27" s="42">
        <v>3578.2791130488717</v>
      </c>
      <c r="C27" s="42">
        <v>1684.4004725924244</v>
      </c>
      <c r="D27" s="43">
        <v>1893.8786404566554</v>
      </c>
      <c r="E27" s="42">
        <v>2219.7335682454273</v>
      </c>
      <c r="F27" s="42">
        <v>1073.116228357037</v>
      </c>
      <c r="G27" s="43">
        <v>1146.6173398883461</v>
      </c>
      <c r="H27" s="42">
        <v>1358.5455448036207</v>
      </c>
      <c r="I27" s="42">
        <v>611.28424423534966</v>
      </c>
      <c r="J27" s="44">
        <v>747.26130056825889</v>
      </c>
      <c r="K27" s="42">
        <v>3698.980815399017</v>
      </c>
      <c r="L27" s="42">
        <v>1741.2182886593821</v>
      </c>
      <c r="M27" s="42">
        <v>1957.7625267399308</v>
      </c>
      <c r="N27" s="45">
        <v>2294.609119309629</v>
      </c>
      <c r="O27" s="42">
        <v>1109.3143424477225</v>
      </c>
      <c r="P27" s="43">
        <v>1185.2947768619501</v>
      </c>
      <c r="Q27" s="42">
        <v>1404.3716960896397</v>
      </c>
      <c r="R27" s="42">
        <v>631.90394621165922</v>
      </c>
      <c r="S27" s="44">
        <v>772.46774987798028</v>
      </c>
      <c r="T27" s="42">
        <v>3823.3859701986353</v>
      </c>
      <c r="U27" s="42">
        <v>1799.7794279434456</v>
      </c>
      <c r="V27" s="42">
        <v>2023.6065422549493</v>
      </c>
      <c r="W27" s="45">
        <v>2371.7820534062334</v>
      </c>
      <c r="X27" s="42">
        <v>1146.6231119116308</v>
      </c>
      <c r="Y27" s="43">
        <v>1225.1589414946145</v>
      </c>
      <c r="Z27" s="42">
        <v>1451.6039167922177</v>
      </c>
      <c r="AA27" s="42">
        <v>653.15631603185068</v>
      </c>
      <c r="AB27" s="44">
        <v>798.44760076038324</v>
      </c>
    </row>
    <row r="28" spans="1:28" s="3" customFormat="1" ht="12" customHeight="1" thickBot="1" x14ac:dyDescent="0.25">
      <c r="A28" s="52" t="s">
        <v>21</v>
      </c>
      <c r="B28" s="47">
        <v>77508.283997550301</v>
      </c>
      <c r="C28" s="47">
        <v>36747.331641193072</v>
      </c>
      <c r="D28" s="48">
        <v>40760.952356367656</v>
      </c>
      <c r="E28" s="47">
        <v>47774.206027981803</v>
      </c>
      <c r="F28" s="47">
        <v>22519.349675736354</v>
      </c>
      <c r="G28" s="48">
        <v>25254.856352222392</v>
      </c>
      <c r="H28" s="47">
        <v>29734.077969582766</v>
      </c>
      <c r="I28" s="47">
        <v>14227.981965449348</v>
      </c>
      <c r="J28" s="49">
        <v>15506.096004131912</v>
      </c>
      <c r="K28" s="47">
        <v>80122.775916455706</v>
      </c>
      <c r="L28" s="47">
        <v>37986.884327213666</v>
      </c>
      <c r="M28" s="47">
        <v>42135.891589269406</v>
      </c>
      <c r="N28" s="50">
        <v>49385.714748731749</v>
      </c>
      <c r="O28" s="47">
        <v>23278.967289628479</v>
      </c>
      <c r="P28" s="48">
        <v>26106.747459100501</v>
      </c>
      <c r="Q28" s="47">
        <v>30737.061167752334</v>
      </c>
      <c r="R28" s="47">
        <v>14707.917037587727</v>
      </c>
      <c r="S28" s="49">
        <v>16029.144130170151</v>
      </c>
      <c r="T28" s="47">
        <v>82817.487470374064</v>
      </c>
      <c r="U28" s="47">
        <v>39264.469819245503</v>
      </c>
      <c r="V28" s="47">
        <v>43553.017651109738</v>
      </c>
      <c r="W28" s="50">
        <v>51046.668885767132</v>
      </c>
      <c r="X28" s="47">
        <v>24061.892012344357</v>
      </c>
      <c r="Y28" s="48">
        <v>26984.776873427709</v>
      </c>
      <c r="Z28" s="47">
        <v>31770.818584588178</v>
      </c>
      <c r="AA28" s="47">
        <v>15202.577806902351</v>
      </c>
      <c r="AB28" s="49">
        <v>16568.240777684336</v>
      </c>
    </row>
    <row r="29" spans="1:28" x14ac:dyDescent="0.2">
      <c r="A29" s="57" t="s">
        <v>82</v>
      </c>
    </row>
    <row r="30" spans="1:28" x14ac:dyDescent="0.2">
      <c r="A30" s="57"/>
    </row>
    <row r="32" spans="1:28" x14ac:dyDescent="0.2">
      <c r="B32" s="186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E6F4-91BA-473A-B441-BCE147C39D80}">
  <dimension ref="A1:AB31"/>
  <sheetViews>
    <sheetView workbookViewId="0">
      <selection activeCell="A29" sqref="A29:XFD29"/>
    </sheetView>
  </sheetViews>
  <sheetFormatPr defaultColWidth="9.140625" defaultRowHeight="12" x14ac:dyDescent="0.2"/>
  <cols>
    <col min="1" max="1" width="16.85546875" style="1" customWidth="1"/>
    <col min="2" max="16384" width="9.140625" style="1"/>
  </cols>
  <sheetData>
    <row r="1" spans="1:28" s="3" customFormat="1" ht="30" customHeight="1" thickBot="1" x14ac:dyDescent="0.25">
      <c r="A1" s="54" t="s">
        <v>74</v>
      </c>
      <c r="B1" s="55"/>
      <c r="C1" s="55"/>
      <c r="D1" s="55"/>
      <c r="E1" s="55"/>
      <c r="F1" s="55"/>
      <c r="G1" s="55"/>
      <c r="H1" s="55"/>
      <c r="I1" s="55"/>
      <c r="J1" s="55"/>
    </row>
    <row r="2" spans="1:28" s="3" customFormat="1" ht="11.1" customHeight="1" x14ac:dyDescent="0.2">
      <c r="A2" s="261" t="s">
        <v>66</v>
      </c>
      <c r="B2" s="259"/>
      <c r="C2" s="259"/>
      <c r="D2" s="259"/>
      <c r="E2" s="259"/>
      <c r="F2" s="259"/>
      <c r="G2" s="259"/>
      <c r="H2" s="259"/>
      <c r="I2" s="259"/>
      <c r="J2" s="260"/>
      <c r="K2" s="261" t="s">
        <v>67</v>
      </c>
      <c r="L2" s="259"/>
      <c r="M2" s="259"/>
      <c r="N2" s="259"/>
      <c r="O2" s="259"/>
      <c r="P2" s="259"/>
      <c r="Q2" s="259"/>
      <c r="R2" s="259"/>
      <c r="S2" s="260"/>
      <c r="T2" s="261" t="s">
        <v>68</v>
      </c>
      <c r="U2" s="259"/>
      <c r="V2" s="259"/>
      <c r="W2" s="259"/>
      <c r="X2" s="259"/>
      <c r="Y2" s="259"/>
      <c r="Z2" s="259"/>
      <c r="AA2" s="259"/>
      <c r="AB2" s="260"/>
    </row>
    <row r="3" spans="1:28" s="3" customFormat="1" ht="17.25" customHeight="1" thickBot="1" x14ac:dyDescent="0.25">
      <c r="A3" s="267" t="s">
        <v>25</v>
      </c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10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s="3" customFormat="1" ht="12.75" customHeight="1" thickBot="1" x14ac:dyDescent="0.25">
      <c r="A4" s="262"/>
      <c r="B4" s="7" t="s">
        <v>0</v>
      </c>
      <c r="C4" s="8" t="s">
        <v>3</v>
      </c>
      <c r="D4" s="15" t="s">
        <v>4</v>
      </c>
      <c r="E4" s="16" t="s">
        <v>0</v>
      </c>
      <c r="F4" s="8" t="s">
        <v>3</v>
      </c>
      <c r="G4" s="15" t="s">
        <v>4</v>
      </c>
      <c r="H4" s="16" t="s">
        <v>0</v>
      </c>
      <c r="I4" s="8" t="s">
        <v>3</v>
      </c>
      <c r="J4" s="17" t="s">
        <v>4</v>
      </c>
      <c r="K4" s="85" t="s">
        <v>0</v>
      </c>
      <c r="L4" s="19" t="s">
        <v>3</v>
      </c>
      <c r="M4" s="19" t="s">
        <v>4</v>
      </c>
      <c r="N4" s="18" t="s">
        <v>0</v>
      </c>
      <c r="O4" s="19" t="s">
        <v>3</v>
      </c>
      <c r="P4" s="20" t="s">
        <v>4</v>
      </c>
      <c r="Q4" s="86" t="s">
        <v>0</v>
      </c>
      <c r="R4" s="19" t="s">
        <v>3</v>
      </c>
      <c r="S4" s="87" t="s">
        <v>4</v>
      </c>
      <c r="T4" s="7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s="3" customFormat="1" ht="16.5" customHeight="1" thickBot="1" x14ac:dyDescent="0.25">
      <c r="A5" s="21" t="s">
        <v>65</v>
      </c>
      <c r="B5" s="22">
        <f>+B6+B7+B8+B9+B10+B11+B12+B13+B14+B15+B16+B17+B18+B19+B20+B21+B22+B23+B24+B25</f>
        <v>102802.54598121496</v>
      </c>
      <c r="C5" s="22">
        <f t="shared" ref="C5:J5" si="0">+C6+C7+C8+C9+C10+C11+C12+C13+C14+C15+C16+C17+C18+C19+C20+C21+C22+C23+C24+C25</f>
        <v>49584.285884649747</v>
      </c>
      <c r="D5" s="25">
        <f t="shared" si="0"/>
        <v>53218.260096559985</v>
      </c>
      <c r="E5" s="22">
        <f t="shared" si="0"/>
        <v>69934.206764678631</v>
      </c>
      <c r="F5" s="22">
        <f t="shared" si="0"/>
        <v>33912.374709012627</v>
      </c>
      <c r="G5" s="25">
        <f t="shared" si="0"/>
        <v>36021.832055662308</v>
      </c>
      <c r="H5" s="22">
        <f t="shared" si="0"/>
        <v>32868.339216533801</v>
      </c>
      <c r="I5" s="22">
        <f t="shared" si="0"/>
        <v>15671.911175636973</v>
      </c>
      <c r="J5" s="22">
        <f t="shared" si="0"/>
        <v>17196.428040897226</v>
      </c>
      <c r="K5" s="81">
        <f>+K6+K7+K8+K9+K10+K11+K12+K13+K14+K15+K16+K17+K18+K19+K20+K21+K22+K23+K24+K25</f>
        <v>106270.25822886883</v>
      </c>
      <c r="L5" s="24">
        <f t="shared" ref="L5:S5" si="1">+L6+L7+L8+L9+L10+L11+L12+L13+L14+L15+L16+L17+L18+L19+L20+L21+L22+L23+L24+L25</f>
        <v>51256.851810063803</v>
      </c>
      <c r="M5" s="25">
        <f t="shared" si="1"/>
        <v>55013.406418811639</v>
      </c>
      <c r="N5" s="24">
        <f t="shared" si="1"/>
        <v>72293.211622130315</v>
      </c>
      <c r="O5" s="24">
        <f t="shared" si="1"/>
        <v>35056.299268501658</v>
      </c>
      <c r="P5" s="25">
        <f t="shared" si="1"/>
        <v>37236.912353631196</v>
      </c>
      <c r="Q5" s="24">
        <f t="shared" si="1"/>
        <v>33977.046606742355</v>
      </c>
      <c r="R5" s="24">
        <f t="shared" si="1"/>
        <v>16200.552541561745</v>
      </c>
      <c r="S5" s="82">
        <f t="shared" si="1"/>
        <v>17776.494065180163</v>
      </c>
      <c r="T5" s="22">
        <f>+T6+T7+T8+T9+T10+T11+T12+T13+T14+T15+T16+T17+T18+T19+T20+T21+T22+T23+T24+T25</f>
        <v>109844.36920303387</v>
      </c>
      <c r="U5" s="22">
        <f t="shared" ref="U5:AB5" si="2">+U6+U7+U8+U9+U10+U11+U12+U13+U14+U15+U16+U17+U18+U19+U20+U21+U22+U23+U24+U25</f>
        <v>52980.736550803857</v>
      </c>
      <c r="V5" s="25">
        <f t="shared" si="2"/>
        <v>56863.63265223238</v>
      </c>
      <c r="W5" s="22">
        <f t="shared" si="2"/>
        <v>74724.597085218003</v>
      </c>
      <c r="X5" s="22">
        <f t="shared" si="2"/>
        <v>36235.322506208213</v>
      </c>
      <c r="Y5" s="25">
        <f t="shared" si="2"/>
        <v>38489.274579008095</v>
      </c>
      <c r="Z5" s="22">
        <f t="shared" si="2"/>
        <v>35119.772117817112</v>
      </c>
      <c r="AA5" s="22">
        <f t="shared" si="2"/>
        <v>16745.414044593534</v>
      </c>
      <c r="AB5" s="82">
        <f t="shared" si="2"/>
        <v>18374.358073221963</v>
      </c>
    </row>
    <row r="6" spans="1:28" s="3" customFormat="1" ht="12" customHeight="1" x14ac:dyDescent="0.2">
      <c r="A6" s="26" t="s">
        <v>5</v>
      </c>
      <c r="B6" s="27">
        <v>14671.298370014525</v>
      </c>
      <c r="C6" s="27">
        <v>6947.4507506810778</v>
      </c>
      <c r="D6" s="28">
        <v>7723.8476193384749</v>
      </c>
      <c r="E6" s="27">
        <v>9605.2003667124063</v>
      </c>
      <c r="F6" s="27">
        <v>4570.548605294186</v>
      </c>
      <c r="G6" s="28">
        <v>5034.6517614189988</v>
      </c>
      <c r="H6" s="27">
        <v>5066.0980033059604</v>
      </c>
      <c r="I6" s="27">
        <v>2376.9021453864843</v>
      </c>
      <c r="J6" s="29">
        <v>2689.1958579190687</v>
      </c>
      <c r="K6" s="27">
        <v>15166.187290922146</v>
      </c>
      <c r="L6" s="27">
        <v>7181.8005892785031</v>
      </c>
      <c r="M6" s="27">
        <v>7984.386701643637</v>
      </c>
      <c r="N6" s="30">
        <v>9929.2008147071938</v>
      </c>
      <c r="O6" s="27">
        <v>4724.7213179036798</v>
      </c>
      <c r="P6" s="28">
        <v>5204.4794968035085</v>
      </c>
      <c r="Q6" s="27">
        <v>5236.9864762149455</v>
      </c>
      <c r="R6" s="27">
        <v>2457.0792713748169</v>
      </c>
      <c r="S6" s="29">
        <v>2779.9072048401222</v>
      </c>
      <c r="T6" s="27">
        <v>15676.260733260006</v>
      </c>
      <c r="U6" s="27">
        <v>7423.3409104202492</v>
      </c>
      <c r="V6" s="27">
        <v>8252.9198228382284</v>
      </c>
      <c r="W6" s="30">
        <v>10263.142466756097</v>
      </c>
      <c r="X6" s="27">
        <v>4883.6244634646482</v>
      </c>
      <c r="Y6" s="28">
        <v>5379.5180032899207</v>
      </c>
      <c r="Z6" s="27">
        <v>5413.1182665023807</v>
      </c>
      <c r="AA6" s="27">
        <v>2539.7164469546842</v>
      </c>
      <c r="AB6" s="29">
        <v>2873.4018195472599</v>
      </c>
    </row>
    <row r="7" spans="1:28" s="3" customFormat="1" ht="12" customHeight="1" x14ac:dyDescent="0.2">
      <c r="A7" s="26" t="s">
        <v>6</v>
      </c>
      <c r="B7" s="27">
        <v>15310.356954348979</v>
      </c>
      <c r="C7" s="27">
        <v>7322.6427349927226</v>
      </c>
      <c r="D7" s="28">
        <v>7987.7142193506688</v>
      </c>
      <c r="E7" s="27">
        <v>10621.717263072647</v>
      </c>
      <c r="F7" s="27">
        <v>5087.4540349856043</v>
      </c>
      <c r="G7" s="28">
        <v>5534.2632280851867</v>
      </c>
      <c r="H7" s="27">
        <v>4688.6396912726777</v>
      </c>
      <c r="I7" s="27">
        <v>2235.1887000071952</v>
      </c>
      <c r="J7" s="29">
        <v>2453.450991265559</v>
      </c>
      <c r="K7" s="27">
        <v>15826.802454983632</v>
      </c>
      <c r="L7" s="27">
        <v>7569.6484648134174</v>
      </c>
      <c r="M7" s="27">
        <v>8257.1539901756678</v>
      </c>
      <c r="N7" s="30">
        <v>10980.00662928028</v>
      </c>
      <c r="O7" s="27">
        <v>5259.0628847298067</v>
      </c>
      <c r="P7" s="28">
        <v>5720.9437445522462</v>
      </c>
      <c r="Q7" s="27">
        <v>4846.7958257067085</v>
      </c>
      <c r="R7" s="27">
        <v>2310.5855800832364</v>
      </c>
      <c r="S7" s="29">
        <v>2536.2102456230982</v>
      </c>
      <c r="T7" s="27">
        <v>16359.093890833152</v>
      </c>
      <c r="U7" s="27">
        <v>7824.2329939137708</v>
      </c>
      <c r="V7" s="27">
        <v>8534.8608969190755</v>
      </c>
      <c r="W7" s="30">
        <v>11349.289275660016</v>
      </c>
      <c r="X7" s="27">
        <v>5435.937154947489</v>
      </c>
      <c r="Y7" s="28">
        <v>5913.3521207122212</v>
      </c>
      <c r="Z7" s="27">
        <v>5009.8046151728304</v>
      </c>
      <c r="AA7" s="27">
        <v>2388.2958389659761</v>
      </c>
      <c r="AB7" s="29">
        <v>2621.5087762065486</v>
      </c>
    </row>
    <row r="8" spans="1:28" s="3" customFormat="1" ht="12" customHeight="1" x14ac:dyDescent="0.2">
      <c r="A8" s="26" t="s">
        <v>7</v>
      </c>
      <c r="B8" s="27">
        <v>13877.367879803398</v>
      </c>
      <c r="C8" s="27">
        <v>7063.2420014029394</v>
      </c>
      <c r="D8" s="28">
        <v>6814.1258783960111</v>
      </c>
      <c r="E8" s="27">
        <v>9716.6715317807011</v>
      </c>
      <c r="F8" s="27">
        <v>5022.318167960857</v>
      </c>
      <c r="G8" s="28">
        <v>4694.3533638187082</v>
      </c>
      <c r="H8" s="27">
        <v>4160.6963480194627</v>
      </c>
      <c r="I8" s="27">
        <v>2040.9238334421593</v>
      </c>
      <c r="J8" s="29">
        <v>2119.7725145773798</v>
      </c>
      <c r="K8" s="27">
        <v>14345.47611683301</v>
      </c>
      <c r="L8" s="27">
        <v>7301.4976843026916</v>
      </c>
      <c r="M8" s="27">
        <v>7043.9784325346818</v>
      </c>
      <c r="N8" s="30">
        <v>10044.432099921993</v>
      </c>
      <c r="O8" s="27">
        <v>5191.729869359272</v>
      </c>
      <c r="P8" s="28">
        <v>4852.7022305637729</v>
      </c>
      <c r="Q8" s="27">
        <v>4301.0440169139538</v>
      </c>
      <c r="R8" s="27">
        <v>2109.7678149430453</v>
      </c>
      <c r="S8" s="29">
        <v>2191.2762019705347</v>
      </c>
      <c r="T8" s="27">
        <v>14827.947171986671</v>
      </c>
      <c r="U8" s="27">
        <v>7547.0636915388495</v>
      </c>
      <c r="V8" s="27">
        <v>7280.8834804475155</v>
      </c>
      <c r="W8" s="30">
        <v>10382.249242704343</v>
      </c>
      <c r="X8" s="27">
        <v>5366.3395768181035</v>
      </c>
      <c r="Y8" s="28">
        <v>5015.9096658859344</v>
      </c>
      <c r="Z8" s="27">
        <v>4445.6979292820215</v>
      </c>
      <c r="AA8" s="27">
        <v>2180.7241147204404</v>
      </c>
      <c r="AB8" s="29">
        <v>2264.9738145612755</v>
      </c>
    </row>
    <row r="9" spans="1:28" s="3" customFormat="1" ht="12" customHeight="1" x14ac:dyDescent="0.2">
      <c r="A9" s="26" t="s">
        <v>8</v>
      </c>
      <c r="B9" s="27">
        <v>12780.618276767065</v>
      </c>
      <c r="C9" s="27">
        <v>6239.019350481768</v>
      </c>
      <c r="D9" s="28">
        <v>6541.598926285601</v>
      </c>
      <c r="E9" s="27">
        <v>8918.1348657974886</v>
      </c>
      <c r="F9" s="27">
        <v>4479.8927478327632</v>
      </c>
      <c r="G9" s="28">
        <v>4438.2421179650291</v>
      </c>
      <c r="H9" s="27">
        <v>3862.4834109698809</v>
      </c>
      <c r="I9" s="27">
        <v>1759.1266026492553</v>
      </c>
      <c r="J9" s="29">
        <v>2103.3568083208761</v>
      </c>
      <c r="K9" s="27">
        <v>13211.731204062209</v>
      </c>
      <c r="L9" s="27">
        <v>6449.4725411935624</v>
      </c>
      <c r="M9" s="27">
        <v>6762.2586628654099</v>
      </c>
      <c r="N9" s="30">
        <v>9218.9593755923979</v>
      </c>
      <c r="O9" s="27">
        <v>4631.0074775467083</v>
      </c>
      <c r="P9" s="28">
        <v>4587.9518980453204</v>
      </c>
      <c r="Q9" s="27">
        <v>3992.771828467311</v>
      </c>
      <c r="R9" s="27">
        <v>1818.4650636471802</v>
      </c>
      <c r="S9" s="29">
        <v>2174.3067648204569</v>
      </c>
      <c r="T9" s="27">
        <v>13656.071833986112</v>
      </c>
      <c r="U9" s="27">
        <v>6666.3830011031405</v>
      </c>
      <c r="V9" s="27">
        <v>6989.6888328864798</v>
      </c>
      <c r="W9" s="30">
        <v>9529.0139894024669</v>
      </c>
      <c r="X9" s="27">
        <v>4786.7588130834029</v>
      </c>
      <c r="Y9" s="28">
        <v>4742.2551763197043</v>
      </c>
      <c r="Z9" s="27">
        <v>4127.0578445862247</v>
      </c>
      <c r="AA9" s="27">
        <v>1879.6241880194791</v>
      </c>
      <c r="AB9" s="29">
        <v>2247.4336565664876</v>
      </c>
    </row>
    <row r="10" spans="1:28" s="3" customFormat="1" ht="12" customHeight="1" x14ac:dyDescent="0.2">
      <c r="A10" s="26" t="s">
        <v>9</v>
      </c>
      <c r="B10" s="27">
        <v>11701.146046165943</v>
      </c>
      <c r="C10" s="27">
        <v>5392.6586917823097</v>
      </c>
      <c r="D10" s="28">
        <v>6308.4873543850517</v>
      </c>
      <c r="E10" s="27">
        <v>7787.0390780693151</v>
      </c>
      <c r="F10" s="27">
        <v>3577.2217652334666</v>
      </c>
      <c r="G10" s="28">
        <v>4209.817312834899</v>
      </c>
      <c r="H10" s="27">
        <v>3914.1069680981127</v>
      </c>
      <c r="I10" s="27">
        <v>1815.4369265486825</v>
      </c>
      <c r="J10" s="29">
        <v>2098.6700415497421</v>
      </c>
      <c r="K10" s="27">
        <v>12095.846460138229</v>
      </c>
      <c r="L10" s="27">
        <v>5574.5626360329488</v>
      </c>
      <c r="M10" s="27">
        <v>6521.283824105195</v>
      </c>
      <c r="N10" s="30">
        <v>8049.7097203798703</v>
      </c>
      <c r="O10" s="27">
        <v>3697.8878013665758</v>
      </c>
      <c r="P10" s="28">
        <v>4351.8219190132086</v>
      </c>
      <c r="Q10" s="27">
        <v>4046.136739758274</v>
      </c>
      <c r="R10" s="27">
        <v>1876.6748346662878</v>
      </c>
      <c r="S10" s="29">
        <v>2169.4619050919005</v>
      </c>
      <c r="T10" s="27">
        <v>12502.657343026587</v>
      </c>
      <c r="U10" s="27">
        <v>5762.0478819109148</v>
      </c>
      <c r="V10" s="27">
        <v>6740.6094611156032</v>
      </c>
      <c r="W10" s="30">
        <v>8320.4398035645881</v>
      </c>
      <c r="X10" s="27">
        <v>3822.2561956127929</v>
      </c>
      <c r="Y10" s="28">
        <v>4498.1836079517261</v>
      </c>
      <c r="Z10" s="27">
        <v>4182.2175394619289</v>
      </c>
      <c r="AA10" s="27">
        <v>1939.7916862980519</v>
      </c>
      <c r="AB10" s="29">
        <v>2242.425853163807</v>
      </c>
    </row>
    <row r="11" spans="1:28" s="3" customFormat="1" ht="12" customHeight="1" x14ac:dyDescent="0.2">
      <c r="A11" s="31" t="s">
        <v>10</v>
      </c>
      <c r="B11" s="27">
        <v>8067.7767471232892</v>
      </c>
      <c r="C11" s="27">
        <v>3946.5477654110045</v>
      </c>
      <c r="D11" s="28">
        <v>4121.2289817112005</v>
      </c>
      <c r="E11" s="32">
        <v>5340.2543268922345</v>
      </c>
      <c r="F11" s="32">
        <v>2599.0069539524202</v>
      </c>
      <c r="G11" s="33">
        <v>2741.2473729397152</v>
      </c>
      <c r="H11" s="32">
        <v>2727.5224202304148</v>
      </c>
      <c r="I11" s="32">
        <v>1347.540811458811</v>
      </c>
      <c r="J11" s="34">
        <v>1379.9816087717088</v>
      </c>
      <c r="K11" s="27">
        <v>8339.9171690396179</v>
      </c>
      <c r="L11" s="27">
        <v>4079.6718227145116</v>
      </c>
      <c r="M11" s="27">
        <v>4260.2453463250213</v>
      </c>
      <c r="N11" s="35">
        <v>5520.3905789497958</v>
      </c>
      <c r="O11" s="32">
        <v>2686.6760691477189</v>
      </c>
      <c r="P11" s="33">
        <v>2833.7145098019914</v>
      </c>
      <c r="Q11" s="32">
        <v>2819.5265900897371</v>
      </c>
      <c r="R11" s="32">
        <v>1392.995753566707</v>
      </c>
      <c r="S11" s="34">
        <v>1426.5308365229446</v>
      </c>
      <c r="T11" s="27">
        <v>8620.4075901055348</v>
      </c>
      <c r="U11" s="27">
        <v>4216.8804836844383</v>
      </c>
      <c r="V11" s="27">
        <v>4403.5271064210274</v>
      </c>
      <c r="W11" s="35">
        <v>5706.0538950899381</v>
      </c>
      <c r="X11" s="32">
        <v>2777.0351082878942</v>
      </c>
      <c r="Y11" s="33">
        <v>2929.0187868019739</v>
      </c>
      <c r="Z11" s="32">
        <v>2914.3536950155276</v>
      </c>
      <c r="AA11" s="32">
        <v>1439.8453753964741</v>
      </c>
      <c r="AB11" s="34">
        <v>1474.5083196189835</v>
      </c>
    </row>
    <row r="12" spans="1:28" s="3" customFormat="1" ht="12" customHeight="1" x14ac:dyDescent="0.2">
      <c r="A12" s="31" t="s">
        <v>11</v>
      </c>
      <c r="B12" s="32">
        <v>6310.1165001028094</v>
      </c>
      <c r="C12" s="32">
        <v>3026.5834000900518</v>
      </c>
      <c r="D12" s="33">
        <v>3283.5331000124029</v>
      </c>
      <c r="E12" s="27">
        <v>4312.6231042240297</v>
      </c>
      <c r="F12" s="27">
        <v>2085.2953033895797</v>
      </c>
      <c r="G12" s="28">
        <v>2227.3278008340953</v>
      </c>
      <c r="H12" s="27">
        <v>1997.4933958784336</v>
      </c>
      <c r="I12" s="27">
        <v>941.28809670031194</v>
      </c>
      <c r="J12" s="29">
        <v>1056.2052991781272</v>
      </c>
      <c r="K12" s="32">
        <v>6522.9679237969358</v>
      </c>
      <c r="L12" s="32">
        <v>3128.6754273337888</v>
      </c>
      <c r="M12" s="32">
        <v>3394.2924964632289</v>
      </c>
      <c r="N12" s="30">
        <v>4458.0955321223437</v>
      </c>
      <c r="O12" s="27">
        <v>2155.6360132867444</v>
      </c>
      <c r="P12" s="28">
        <v>2302.4595188356811</v>
      </c>
      <c r="Q12" s="27">
        <v>2064.8723916746744</v>
      </c>
      <c r="R12" s="27">
        <v>973.03941404712214</v>
      </c>
      <c r="S12" s="29">
        <v>1091.8329776276298</v>
      </c>
      <c r="T12" s="32">
        <v>6742.3502009180766</v>
      </c>
      <c r="U12" s="32">
        <v>3233.8999122066302</v>
      </c>
      <c r="V12" s="32">
        <v>3508.4502887122344</v>
      </c>
      <c r="W12" s="30">
        <v>4608.0314448676763</v>
      </c>
      <c r="X12" s="27">
        <v>2228.134965108211</v>
      </c>
      <c r="Y12" s="28">
        <v>2379.8964797595499</v>
      </c>
      <c r="Z12" s="27">
        <v>2134.3187560510196</v>
      </c>
      <c r="AA12" s="27">
        <v>1005.7649470983367</v>
      </c>
      <c r="AB12" s="29">
        <v>1128.5538089526003</v>
      </c>
    </row>
    <row r="13" spans="1:28" s="3" customFormat="1" ht="12" customHeight="1" x14ac:dyDescent="0.2">
      <c r="A13" s="31" t="s">
        <v>12</v>
      </c>
      <c r="B13" s="32">
        <v>4288.0902183017952</v>
      </c>
      <c r="C13" s="32">
        <v>1940.6803969006373</v>
      </c>
      <c r="D13" s="33">
        <v>2347.4098214008222</v>
      </c>
      <c r="E13" s="32">
        <v>2929.7430609233365</v>
      </c>
      <c r="F13" s="32">
        <v>1331.2318624115501</v>
      </c>
      <c r="G13" s="33">
        <v>1598.5111985116371</v>
      </c>
      <c r="H13" s="32">
        <v>1358.3471573782256</v>
      </c>
      <c r="I13" s="32">
        <v>609.44853448909282</v>
      </c>
      <c r="J13" s="34">
        <v>748.89862288913821</v>
      </c>
      <c r="K13" s="32">
        <v>4432.7351084366182</v>
      </c>
      <c r="L13" s="32">
        <v>2006.1429894550995</v>
      </c>
      <c r="M13" s="32">
        <v>2426.5921189816004</v>
      </c>
      <c r="N13" s="35">
        <v>3028.568491732241</v>
      </c>
      <c r="O13" s="32">
        <v>1376.1366747360255</v>
      </c>
      <c r="P13" s="33">
        <v>1652.4318169962974</v>
      </c>
      <c r="Q13" s="32">
        <v>1404.1666167044589</v>
      </c>
      <c r="R13" s="32">
        <v>630.00631471912254</v>
      </c>
      <c r="S13" s="34">
        <v>774.16030198536362</v>
      </c>
      <c r="T13" s="32">
        <v>4581.8180923369991</v>
      </c>
      <c r="U13" s="32">
        <v>2073.614150190484</v>
      </c>
      <c r="V13" s="32">
        <v>2508.2039421465911</v>
      </c>
      <c r="W13" s="35">
        <v>3130.4261522170809</v>
      </c>
      <c r="X13" s="32">
        <v>1422.4192873229204</v>
      </c>
      <c r="Y13" s="33">
        <v>1708.0068648940764</v>
      </c>
      <c r="Z13" s="32">
        <v>1451.3919401199942</v>
      </c>
      <c r="AA13" s="32">
        <v>651.19486286751032</v>
      </c>
      <c r="AB13" s="34">
        <v>800.19707725244905</v>
      </c>
    </row>
    <row r="14" spans="1:28" s="3" customFormat="1" ht="12" customHeight="1" x14ac:dyDescent="0.2">
      <c r="A14" s="31" t="s">
        <v>13</v>
      </c>
      <c r="B14" s="32">
        <v>4117.6512213683764</v>
      </c>
      <c r="C14" s="32">
        <v>1934.2243742895241</v>
      </c>
      <c r="D14" s="33">
        <v>2183.4268470785178</v>
      </c>
      <c r="E14" s="32">
        <v>2781.2545408677065</v>
      </c>
      <c r="F14" s="32">
        <v>1292.4957267448708</v>
      </c>
      <c r="G14" s="33">
        <v>1488.7588141227125</v>
      </c>
      <c r="H14" s="32">
        <v>1336.3966805004407</v>
      </c>
      <c r="I14" s="32">
        <v>641.72864754465888</v>
      </c>
      <c r="J14" s="34">
        <v>694.66803295578723</v>
      </c>
      <c r="K14" s="32">
        <v>4256.5469017778942</v>
      </c>
      <c r="L14" s="32">
        <v>1999.4691937483296</v>
      </c>
      <c r="M14" s="32">
        <v>2257.0777080296461</v>
      </c>
      <c r="N14" s="35">
        <v>2875.0711904765344</v>
      </c>
      <c r="O14" s="32">
        <v>1336.0939004954064</v>
      </c>
      <c r="P14" s="33">
        <v>1538.9772899812099</v>
      </c>
      <c r="Q14" s="32">
        <v>1381.4757113014414</v>
      </c>
      <c r="R14" s="32">
        <v>663.37529325297464</v>
      </c>
      <c r="S14" s="34">
        <v>718.10041804849209</v>
      </c>
      <c r="T14" s="32">
        <v>4399.7042747554524</v>
      </c>
      <c r="U14" s="32">
        <v>2066.715899524514</v>
      </c>
      <c r="V14" s="32">
        <v>2332.9883752309543</v>
      </c>
      <c r="W14" s="35">
        <v>2971.766386899772</v>
      </c>
      <c r="X14" s="32">
        <v>1381.0297833271006</v>
      </c>
      <c r="Y14" s="33">
        <v>1590.7366035725872</v>
      </c>
      <c r="Z14" s="32">
        <v>1427.9378878556963</v>
      </c>
      <c r="AA14" s="32">
        <v>685.68611619735725</v>
      </c>
      <c r="AB14" s="34">
        <v>742.25177165830621</v>
      </c>
    </row>
    <row r="15" spans="1:28" s="3" customFormat="1" ht="12" customHeight="1" x14ac:dyDescent="0.2">
      <c r="A15" s="31" t="s">
        <v>14</v>
      </c>
      <c r="B15" s="32">
        <v>3068.8239155391889</v>
      </c>
      <c r="C15" s="32">
        <v>1508.9596267166269</v>
      </c>
      <c r="D15" s="33">
        <v>1559.8642888227307</v>
      </c>
      <c r="E15" s="32">
        <v>2130.7237138697369</v>
      </c>
      <c r="F15" s="32">
        <v>1036.2734785885198</v>
      </c>
      <c r="G15" s="33">
        <v>1094.4502352812099</v>
      </c>
      <c r="H15" s="32">
        <v>938.10020166960521</v>
      </c>
      <c r="I15" s="32">
        <v>472.68614812808619</v>
      </c>
      <c r="J15" s="34">
        <v>465.41405354150027</v>
      </c>
      <c r="K15" s="32">
        <v>3172.340790304002</v>
      </c>
      <c r="L15" s="32">
        <v>1559.8595118200981</v>
      </c>
      <c r="M15" s="32">
        <v>1612.4812784839085</v>
      </c>
      <c r="N15" s="35">
        <v>2202.5968046423536</v>
      </c>
      <c r="O15" s="32">
        <v>1071.2288213704303</v>
      </c>
      <c r="P15" s="33">
        <v>1131.3679832719279</v>
      </c>
      <c r="Q15" s="32">
        <v>969.74398566165314</v>
      </c>
      <c r="R15" s="32">
        <v>488.6306904496725</v>
      </c>
      <c r="S15" s="34">
        <v>481.1132952119853</v>
      </c>
      <c r="T15" s="32">
        <v>3279.0338408464859</v>
      </c>
      <c r="U15" s="32">
        <v>1612.3211421224869</v>
      </c>
      <c r="V15" s="32">
        <v>1666.7126987242095</v>
      </c>
      <c r="W15" s="35">
        <v>2276.6751549006303</v>
      </c>
      <c r="X15" s="32">
        <v>1107.2566879636338</v>
      </c>
      <c r="Y15" s="33">
        <v>1169.4184669370311</v>
      </c>
      <c r="Z15" s="32">
        <v>1002.358685946026</v>
      </c>
      <c r="AA15" s="32">
        <v>505.06445415884752</v>
      </c>
      <c r="AB15" s="34">
        <v>497.29423178717286</v>
      </c>
    </row>
    <row r="16" spans="1:28" s="3" customFormat="1" ht="12" customHeight="1" x14ac:dyDescent="0.2">
      <c r="A16" s="31" t="s">
        <v>15</v>
      </c>
      <c r="B16" s="32">
        <v>2609.4699408199094</v>
      </c>
      <c r="C16" s="32">
        <v>1362.3057192204706</v>
      </c>
      <c r="D16" s="33">
        <v>1247.1642215995214</v>
      </c>
      <c r="E16" s="32">
        <v>1775.6030948914565</v>
      </c>
      <c r="F16" s="32">
        <v>904.16376026553598</v>
      </c>
      <c r="G16" s="33">
        <v>871.4393346258978</v>
      </c>
      <c r="H16" s="32">
        <v>833.86684592853544</v>
      </c>
      <c r="I16" s="32">
        <v>458.14195895491434</v>
      </c>
      <c r="J16" s="34">
        <v>375.72488697360723</v>
      </c>
      <c r="K16" s="32">
        <v>2697.4919911234274</v>
      </c>
      <c r="L16" s="32">
        <v>1408.2587078600729</v>
      </c>
      <c r="M16" s="32">
        <v>1289.233283263359</v>
      </c>
      <c r="N16" s="35">
        <v>1835.497337201962</v>
      </c>
      <c r="O16" s="32">
        <v>934.66280788577956</v>
      </c>
      <c r="P16" s="33">
        <v>900.83452931618717</v>
      </c>
      <c r="Q16" s="32">
        <v>861.99465392146999</v>
      </c>
      <c r="R16" s="32">
        <v>473.59589997429811</v>
      </c>
      <c r="S16" s="34">
        <v>388.39875394717654</v>
      </c>
      <c r="T16" s="32">
        <v>2788.2147943691225</v>
      </c>
      <c r="U16" s="32">
        <v>1455.6216576270479</v>
      </c>
      <c r="V16" s="32">
        <v>1332.593136742199</v>
      </c>
      <c r="W16" s="35">
        <v>1897.2292957505579</v>
      </c>
      <c r="X16" s="32">
        <v>966.0976482115442</v>
      </c>
      <c r="Y16" s="33">
        <v>931.13164753900821</v>
      </c>
      <c r="Z16" s="32">
        <v>890.98549861868912</v>
      </c>
      <c r="AA16" s="32">
        <v>489.5240094154982</v>
      </c>
      <c r="AB16" s="34">
        <v>401.46148920318535</v>
      </c>
    </row>
    <row r="17" spans="1:28" s="3" customFormat="1" ht="12" customHeight="1" x14ac:dyDescent="0.2">
      <c r="A17" s="31" t="s">
        <v>16</v>
      </c>
      <c r="B17" s="32">
        <v>1584.1046041113516</v>
      </c>
      <c r="C17" s="32">
        <v>792.65830993787995</v>
      </c>
      <c r="D17" s="33">
        <v>791.4462941734489</v>
      </c>
      <c r="E17" s="32">
        <v>1076.2699988147442</v>
      </c>
      <c r="F17" s="32">
        <v>552.67918858053326</v>
      </c>
      <c r="G17" s="33">
        <v>523.59081023418821</v>
      </c>
      <c r="H17" s="32">
        <v>507.83460529658481</v>
      </c>
      <c r="I17" s="32">
        <v>239.97912135733665</v>
      </c>
      <c r="J17" s="34">
        <v>267.85548393924938</v>
      </c>
      <c r="K17" s="32">
        <v>1637.5392626095324</v>
      </c>
      <c r="L17" s="32">
        <v>819.39608090790921</v>
      </c>
      <c r="M17" s="32">
        <v>818.14318170162801</v>
      </c>
      <c r="N17" s="35">
        <v>1112.5744951777099</v>
      </c>
      <c r="O17" s="32">
        <v>571.32203806423172</v>
      </c>
      <c r="P17" s="33">
        <v>541.25245711348293</v>
      </c>
      <c r="Q17" s="32">
        <v>524.96476743182734</v>
      </c>
      <c r="R17" s="32">
        <v>248.07404284368201</v>
      </c>
      <c r="S17" s="34">
        <v>276.89072458814979</v>
      </c>
      <c r="T17" s="32">
        <v>1692.6134399631251</v>
      </c>
      <c r="U17" s="32">
        <v>846.9542385125327</v>
      </c>
      <c r="V17" s="32">
        <v>845.65920145058692</v>
      </c>
      <c r="W17" s="35">
        <v>1149.9929110078444</v>
      </c>
      <c r="X17" s="32">
        <v>590.53690024726882</v>
      </c>
      <c r="Y17" s="33">
        <v>559.45601076057017</v>
      </c>
      <c r="Z17" s="32">
        <v>542.62052895527506</v>
      </c>
      <c r="AA17" s="32">
        <v>256.41733826525831</v>
      </c>
      <c r="AB17" s="34">
        <v>286.20319069001118</v>
      </c>
    </row>
    <row r="18" spans="1:28" s="3" customFormat="1" ht="12" customHeight="1" x14ac:dyDescent="0.2">
      <c r="A18" s="31" t="s">
        <v>17</v>
      </c>
      <c r="B18" s="32">
        <v>1357.4576561627464</v>
      </c>
      <c r="C18" s="32">
        <v>603.58385068663711</v>
      </c>
      <c r="D18" s="33">
        <v>753.87380547608655</v>
      </c>
      <c r="E18" s="32">
        <v>901.7397287366739</v>
      </c>
      <c r="F18" s="32">
        <v>385.42101308905512</v>
      </c>
      <c r="G18" s="33">
        <v>516.31871564760195</v>
      </c>
      <c r="H18" s="32">
        <v>455.71792742605237</v>
      </c>
      <c r="I18" s="32">
        <v>218.16283759757889</v>
      </c>
      <c r="J18" s="34">
        <v>237.55508982847468</v>
      </c>
      <c r="K18" s="32">
        <v>1403.2471110349481</v>
      </c>
      <c r="L18" s="32">
        <v>623.9438047280421</v>
      </c>
      <c r="M18" s="32">
        <v>779.30330630691083</v>
      </c>
      <c r="N18" s="35">
        <v>932.15700947321716</v>
      </c>
      <c r="O18" s="32">
        <v>398.42194759742614</v>
      </c>
      <c r="P18" s="33">
        <v>533.73506187579574</v>
      </c>
      <c r="Q18" s="32">
        <v>471.09010156173571</v>
      </c>
      <c r="R18" s="32">
        <v>225.52185713061991</v>
      </c>
      <c r="S18" s="34">
        <v>245.56824443111955</v>
      </c>
      <c r="T18" s="32">
        <v>1450.4415093792647</v>
      </c>
      <c r="U18" s="32">
        <v>644.92845684899146</v>
      </c>
      <c r="V18" s="32">
        <v>805.51305253026783</v>
      </c>
      <c r="W18" s="35">
        <v>963.50757408765264</v>
      </c>
      <c r="X18" s="32">
        <v>411.82178569875157</v>
      </c>
      <c r="Y18" s="33">
        <v>551.6857883888955</v>
      </c>
      <c r="Z18" s="32">
        <v>486.93393529160664</v>
      </c>
      <c r="AA18" s="32">
        <v>233.1066711502348</v>
      </c>
      <c r="AB18" s="34">
        <v>253.82726414136678</v>
      </c>
    </row>
    <row r="19" spans="1:28" s="3" customFormat="1" ht="12" customHeight="1" x14ac:dyDescent="0.2">
      <c r="A19" s="31" t="s">
        <v>18</v>
      </c>
      <c r="B19" s="32">
        <v>981.11355404466997</v>
      </c>
      <c r="C19" s="32">
        <v>500.83971809430858</v>
      </c>
      <c r="D19" s="33">
        <v>480.27383595033939</v>
      </c>
      <c r="E19" s="32">
        <v>620.60573763860486</v>
      </c>
      <c r="F19" s="32">
        <v>319.37605211810984</v>
      </c>
      <c r="G19" s="33">
        <v>301.22968552048997</v>
      </c>
      <c r="H19" s="32">
        <v>360.50781640604822</v>
      </c>
      <c r="I19" s="32">
        <v>181.46366597619877</v>
      </c>
      <c r="J19" s="34">
        <v>179.04415042984945</v>
      </c>
      <c r="K19" s="32">
        <v>1014.2082547180379</v>
      </c>
      <c r="L19" s="32">
        <v>517.733930275288</v>
      </c>
      <c r="M19" s="32">
        <v>496.47432444272766</v>
      </c>
      <c r="N19" s="35">
        <v>641.53987012373193</v>
      </c>
      <c r="O19" s="32">
        <v>330.14917292916914</v>
      </c>
      <c r="P19" s="33">
        <v>311.39069719455728</v>
      </c>
      <c r="Q19" s="32">
        <v>372.66838459428936</v>
      </c>
      <c r="R19" s="32">
        <v>187.58475734611898</v>
      </c>
      <c r="S19" s="34">
        <v>185.08362724817073</v>
      </c>
      <c r="T19" s="32">
        <v>1048.3183897048145</v>
      </c>
      <c r="U19" s="32">
        <v>535.14650226607398</v>
      </c>
      <c r="V19" s="32">
        <v>513.17188743872237</v>
      </c>
      <c r="W19" s="35">
        <v>663.11631802535692</v>
      </c>
      <c r="X19" s="32">
        <v>341.25284202474376</v>
      </c>
      <c r="Y19" s="33">
        <v>321.86347600061083</v>
      </c>
      <c r="Z19" s="32">
        <v>385.20207167944505</v>
      </c>
      <c r="AA19" s="32">
        <v>193.89366024133213</v>
      </c>
      <c r="AB19" s="34">
        <v>191.30841143811435</v>
      </c>
    </row>
    <row r="20" spans="1:28" s="3" customFormat="1" ht="12" customHeight="1" x14ac:dyDescent="0.2">
      <c r="A20" s="31" t="s">
        <v>19</v>
      </c>
      <c r="B20" s="32">
        <v>873.44511223212032</v>
      </c>
      <c r="C20" s="32">
        <v>454.86892271367157</v>
      </c>
      <c r="D20" s="33">
        <v>418.57618951843182</v>
      </c>
      <c r="E20" s="32">
        <v>595.20082440193585</v>
      </c>
      <c r="F20" s="32">
        <v>304.85895884001394</v>
      </c>
      <c r="G20" s="33">
        <v>290.34186556191804</v>
      </c>
      <c r="H20" s="32">
        <v>278.24428783017146</v>
      </c>
      <c r="I20" s="32">
        <v>150.00996387365765</v>
      </c>
      <c r="J20" s="34">
        <v>128.2343239565138</v>
      </c>
      <c r="K20" s="32">
        <v>902.90796535933578</v>
      </c>
      <c r="L20" s="32">
        <v>470.21245841427105</v>
      </c>
      <c r="M20" s="32">
        <v>432.69550694504733</v>
      </c>
      <c r="N20" s="35">
        <v>615.27800409527413</v>
      </c>
      <c r="O20" s="32">
        <v>315.14239234147965</v>
      </c>
      <c r="P20" s="33">
        <v>300.13561175379016</v>
      </c>
      <c r="Q20" s="32">
        <v>287.62996126404892</v>
      </c>
      <c r="R20" s="32">
        <v>155.07006607279175</v>
      </c>
      <c r="S20" s="34">
        <v>132.55989519125751</v>
      </c>
      <c r="T20" s="32">
        <v>933.2748179616209</v>
      </c>
      <c r="U20" s="32">
        <v>486.02677500493627</v>
      </c>
      <c r="V20" s="32">
        <v>447.24804295667042</v>
      </c>
      <c r="W20" s="35">
        <v>635.97120559156963</v>
      </c>
      <c r="X20" s="32">
        <v>325.74134920543742</v>
      </c>
      <c r="Y20" s="33">
        <v>310.22985638613108</v>
      </c>
      <c r="Z20" s="32">
        <v>297.30361237004246</v>
      </c>
      <c r="AA20" s="32">
        <v>160.28542579950098</v>
      </c>
      <c r="AB20" s="34">
        <v>137.01818657054096</v>
      </c>
    </row>
    <row r="21" spans="1:28" s="3" customFormat="1" ht="12" customHeight="1" x14ac:dyDescent="0.2">
      <c r="A21" s="31" t="s">
        <v>20</v>
      </c>
      <c r="B21" s="32">
        <v>512.93729582605522</v>
      </c>
      <c r="C21" s="32">
        <v>222.59543026413715</v>
      </c>
      <c r="D21" s="33">
        <v>290.34186556191804</v>
      </c>
      <c r="E21" s="32">
        <v>345.99072312795232</v>
      </c>
      <c r="F21" s="32">
        <v>148.800206100483</v>
      </c>
      <c r="G21" s="33">
        <v>197.19051702746933</v>
      </c>
      <c r="H21" s="32">
        <v>166.94657269810287</v>
      </c>
      <c r="I21" s="32">
        <v>73.795224163654169</v>
      </c>
      <c r="J21" s="34">
        <v>93.151348534448701</v>
      </c>
      <c r="K21" s="32">
        <v>530.23958076502981</v>
      </c>
      <c r="L21" s="32">
        <v>230.1039690112392</v>
      </c>
      <c r="M21" s="32">
        <v>300.13561175379016</v>
      </c>
      <c r="N21" s="35">
        <v>357.66160400659987</v>
      </c>
      <c r="O21" s="32">
        <v>153.81950102381762</v>
      </c>
      <c r="P21" s="33">
        <v>203.84210298278259</v>
      </c>
      <c r="Q21" s="32">
        <v>172.57797675842949</v>
      </c>
      <c r="R21" s="32">
        <v>76.28446798742192</v>
      </c>
      <c r="S21" s="34">
        <v>96.293508771007907</v>
      </c>
      <c r="T21" s="32">
        <v>548.07274628216317</v>
      </c>
      <c r="U21" s="32">
        <v>237.84288989603439</v>
      </c>
      <c r="V21" s="32">
        <v>310.22985638613108</v>
      </c>
      <c r="W21" s="35">
        <v>369.69057886013871</v>
      </c>
      <c r="X21" s="32">
        <v>158.99280139789209</v>
      </c>
      <c r="Y21" s="33">
        <v>210.6977774622477</v>
      </c>
      <c r="Z21" s="32">
        <v>178.38216742202545</v>
      </c>
      <c r="AA21" s="32">
        <v>78.850088498141446</v>
      </c>
      <c r="AB21" s="34">
        <v>99.532078923883461</v>
      </c>
    </row>
    <row r="22" spans="1:28" s="3" customFormat="1" ht="12" customHeight="1" x14ac:dyDescent="0.2">
      <c r="A22" s="31" t="s">
        <v>28</v>
      </c>
      <c r="B22" s="32">
        <v>494.79092922843529</v>
      </c>
      <c r="C22" s="32">
        <v>237.11252354223305</v>
      </c>
      <c r="D22" s="33">
        <v>257.67840568620227</v>
      </c>
      <c r="E22" s="32">
        <v>341.15169203525369</v>
      </c>
      <c r="F22" s="32">
        <v>159.68802605905492</v>
      </c>
      <c r="G22" s="33">
        <v>181.46366597619877</v>
      </c>
      <c r="H22" s="32">
        <v>153.63923719318163</v>
      </c>
      <c r="I22" s="32">
        <v>77.424497483178143</v>
      </c>
      <c r="J22" s="34">
        <v>76.214739710003485</v>
      </c>
      <c r="K22" s="32">
        <v>511.48110503041715</v>
      </c>
      <c r="L22" s="32">
        <v>245.11074959892869</v>
      </c>
      <c r="M22" s="32">
        <v>266.3703554314888</v>
      </c>
      <c r="N22" s="35">
        <v>352.65934381070338</v>
      </c>
      <c r="O22" s="32">
        <v>165.07458646458474</v>
      </c>
      <c r="P22" s="33">
        <v>187.58475734611898</v>
      </c>
      <c r="Q22" s="32">
        <v>158.82176121971412</v>
      </c>
      <c r="R22" s="32">
        <v>80.036163134344292</v>
      </c>
      <c r="S22" s="34">
        <v>78.785598085370168</v>
      </c>
      <c r="T22" s="32">
        <v>528.68338025802939</v>
      </c>
      <c r="U22" s="32">
        <v>253.35438271534107</v>
      </c>
      <c r="V22" s="32">
        <v>275.32899754269181</v>
      </c>
      <c r="W22" s="35">
        <v>364.52008125370327</v>
      </c>
      <c r="X22" s="32">
        <v>170.62642101237211</v>
      </c>
      <c r="Y22" s="33">
        <v>193.89366024133213</v>
      </c>
      <c r="Z22" s="32">
        <v>164.16329900432765</v>
      </c>
      <c r="AA22" s="32">
        <v>82.727961702968074</v>
      </c>
      <c r="AB22" s="34">
        <v>81.435337301359198</v>
      </c>
    </row>
    <row r="23" spans="1:28" s="3" customFormat="1" ht="12" customHeight="1" x14ac:dyDescent="0.2">
      <c r="A23" s="31" t="s">
        <v>29</v>
      </c>
      <c r="B23" s="32">
        <v>78.634255256352802</v>
      </c>
      <c r="C23" s="32">
        <v>30.24394432936646</v>
      </c>
      <c r="D23" s="33">
        <v>48.390310926986338</v>
      </c>
      <c r="E23" s="32">
        <v>54.439099792859629</v>
      </c>
      <c r="F23" s="32">
        <v>16.936608824445219</v>
      </c>
      <c r="G23" s="33">
        <v>37.502490968414413</v>
      </c>
      <c r="H23" s="32">
        <v>24.195155463493169</v>
      </c>
      <c r="I23" s="32">
        <v>13.307335504921243</v>
      </c>
      <c r="J23" s="34">
        <v>10.887819958571926</v>
      </c>
      <c r="K23" s="32">
        <v>81.286728183318417</v>
      </c>
      <c r="L23" s="32">
        <v>31.264126224353262</v>
      </c>
      <c r="M23" s="32">
        <v>50.022601958965232</v>
      </c>
      <c r="N23" s="35">
        <v>56.275427203835889</v>
      </c>
      <c r="O23" s="32">
        <v>17.507910685637817</v>
      </c>
      <c r="P23" s="33">
        <v>38.76751651819805</v>
      </c>
      <c r="Q23" s="32">
        <v>25.011300979482606</v>
      </c>
      <c r="R23" s="32">
        <v>13.756215538715425</v>
      </c>
      <c r="S23" s="34">
        <v>11.255085440767166</v>
      </c>
      <c r="T23" s="32">
        <v>84.02058610457695</v>
      </c>
      <c r="U23" s="32">
        <v>32.315610040221905</v>
      </c>
      <c r="V23" s="32">
        <v>51.704976064355044</v>
      </c>
      <c r="W23" s="35">
        <v>58.168098072399424</v>
      </c>
      <c r="X23" s="32">
        <v>18.096741622524267</v>
      </c>
      <c r="Y23" s="33">
        <v>40.071356449875161</v>
      </c>
      <c r="Z23" s="32">
        <v>25.852488032177522</v>
      </c>
      <c r="AA23" s="32">
        <v>14.218868417697637</v>
      </c>
      <c r="AB23" s="34">
        <v>11.633619614479885</v>
      </c>
    </row>
    <row r="24" spans="1:28" s="3" customFormat="1" ht="12" customHeight="1" x14ac:dyDescent="0.2">
      <c r="A24" s="31" t="s">
        <v>30</v>
      </c>
      <c r="B24" s="32">
        <v>73.795224163654169</v>
      </c>
      <c r="C24" s="32">
        <v>35.082975422065097</v>
      </c>
      <c r="D24" s="33">
        <v>38.712248741589072</v>
      </c>
      <c r="E24" s="32">
        <v>47.18055315381168</v>
      </c>
      <c r="F24" s="32">
        <v>20.565882143969194</v>
      </c>
      <c r="G24" s="33">
        <v>26.614671009842485</v>
      </c>
      <c r="H24" s="32">
        <v>26.614671009842485</v>
      </c>
      <c r="I24" s="32">
        <v>14.517093278095901</v>
      </c>
      <c r="J24" s="34">
        <v>12.097577731746584</v>
      </c>
      <c r="K24" s="32">
        <v>76.28446798742192</v>
      </c>
      <c r="L24" s="32">
        <v>36.266386420249788</v>
      </c>
      <c r="M24" s="32">
        <v>40.018081567172182</v>
      </c>
      <c r="N24" s="35">
        <v>48.772036909991101</v>
      </c>
      <c r="O24" s="32">
        <v>21.259605832560212</v>
      </c>
      <c r="P24" s="33">
        <v>27.512431077430868</v>
      </c>
      <c r="Q24" s="32">
        <v>27.512431077430868</v>
      </c>
      <c r="R24" s="32">
        <v>15.006780587689555</v>
      </c>
      <c r="S24" s="34">
        <v>12.505650489741296</v>
      </c>
      <c r="T24" s="32">
        <v>78.850088498141446</v>
      </c>
      <c r="U24" s="32">
        <v>37.486107646657409</v>
      </c>
      <c r="V24" s="32">
        <v>41.363980851484037</v>
      </c>
      <c r="W24" s="35">
        <v>50.412351662746168</v>
      </c>
      <c r="X24" s="32">
        <v>21.974614827350894</v>
      </c>
      <c r="Y24" s="33">
        <v>28.437736835395274</v>
      </c>
      <c r="Z24" s="32">
        <v>28.437736835395274</v>
      </c>
      <c r="AA24" s="32">
        <v>15.511492819306513</v>
      </c>
      <c r="AB24" s="34">
        <v>12.926244016088761</v>
      </c>
    </row>
    <row r="25" spans="1:28" s="3" customFormat="1" ht="12" customHeight="1" thickBot="1" x14ac:dyDescent="0.25">
      <c r="A25" s="36" t="s">
        <v>31</v>
      </c>
      <c r="B25" s="37">
        <v>43.551279834287705</v>
      </c>
      <c r="C25" s="37">
        <v>22.985397690318511</v>
      </c>
      <c r="D25" s="38">
        <v>20.565882143969194</v>
      </c>
      <c r="E25" s="37">
        <v>32.66345987571578</v>
      </c>
      <c r="F25" s="37">
        <v>18.146366597619878</v>
      </c>
      <c r="G25" s="38">
        <v>14.517093278095901</v>
      </c>
      <c r="H25" s="37">
        <v>10.887819958571926</v>
      </c>
      <c r="I25" s="37">
        <v>4.8390310926986349</v>
      </c>
      <c r="J25" s="39">
        <v>6.0487888658732931</v>
      </c>
      <c r="K25" s="37">
        <v>45.020341763068707</v>
      </c>
      <c r="L25" s="37">
        <v>23.760735930508474</v>
      </c>
      <c r="M25" s="37">
        <v>21.259605832560212</v>
      </c>
      <c r="N25" s="40">
        <v>33.765256322301525</v>
      </c>
      <c r="O25" s="37">
        <v>18.758475734611949</v>
      </c>
      <c r="P25" s="38">
        <v>15.006780587689555</v>
      </c>
      <c r="Q25" s="37">
        <v>11.255085440767166</v>
      </c>
      <c r="R25" s="37">
        <v>5.0022601958965183</v>
      </c>
      <c r="S25" s="39">
        <v>6.2528252448706478</v>
      </c>
      <c r="T25" s="37">
        <v>46.534478457919541</v>
      </c>
      <c r="U25" s="37">
        <v>24.559863630568646</v>
      </c>
      <c r="V25" s="37">
        <v>21.974614827350894</v>
      </c>
      <c r="W25" s="40">
        <v>34.900858843439657</v>
      </c>
      <c r="X25" s="37">
        <v>19.389366024133142</v>
      </c>
      <c r="Y25" s="38">
        <v>15.511492819306513</v>
      </c>
      <c r="Z25" s="37">
        <v>11.633619614479885</v>
      </c>
      <c r="AA25" s="37">
        <v>5.1704976064355055</v>
      </c>
      <c r="AB25" s="39">
        <v>6.4631220080443814</v>
      </c>
    </row>
    <row r="26" spans="1:28" s="3" customFormat="1" ht="12" customHeight="1" x14ac:dyDescent="0.2">
      <c r="A26" s="51" t="s">
        <v>64</v>
      </c>
      <c r="B26" s="42">
        <v>51727.317193623487</v>
      </c>
      <c r="C26" s="42">
        <v>25288.920305986525</v>
      </c>
      <c r="D26" s="43">
        <v>26438.396887601062</v>
      </c>
      <c r="E26" s="42">
        <v>35505.173267436825</v>
      </c>
      <c r="F26" s="42">
        <v>17557.889324692478</v>
      </c>
      <c r="G26" s="43">
        <v>17947.283942742139</v>
      </c>
      <c r="H26" s="42">
        <v>16222.143926156847</v>
      </c>
      <c r="I26" s="42">
        <v>7731.0309812950563</v>
      </c>
      <c r="J26" s="44">
        <v>8491.1129448604006</v>
      </c>
      <c r="K26" s="42">
        <v>53472.171366776551</v>
      </c>
      <c r="L26" s="42">
        <v>26141.96045044918</v>
      </c>
      <c r="M26" s="42">
        <v>27330.210916333843</v>
      </c>
      <c r="N26" s="45">
        <v>36702.825747915165</v>
      </c>
      <c r="O26" s="42">
        <v>18150.148079306979</v>
      </c>
      <c r="P26" s="43">
        <v>18552.67766860954</v>
      </c>
      <c r="Q26" s="42">
        <v>16769.3456188661</v>
      </c>
      <c r="R26" s="42">
        <v>7991.812371143491</v>
      </c>
      <c r="S26" s="44">
        <v>8777.5332477251104</v>
      </c>
      <c r="T26" s="42">
        <v>55270.562352881112</v>
      </c>
      <c r="U26" s="42">
        <v>27021.174157927722</v>
      </c>
      <c r="V26" s="42">
        <v>28249.388195002328</v>
      </c>
      <c r="W26" s="45">
        <v>37937.22542354896</v>
      </c>
      <c r="X26" s="42">
        <v>18760.578923404511</v>
      </c>
      <c r="Y26" s="43">
        <v>19176.646500160281</v>
      </c>
      <c r="Z26" s="42">
        <v>17333.336929370482</v>
      </c>
      <c r="AA26" s="42">
        <v>8260.5952345259229</v>
      </c>
      <c r="AB26" s="44">
        <v>9072.7416948450918</v>
      </c>
    </row>
    <row r="27" spans="1:28" s="3" customFormat="1" ht="12" customHeight="1" x14ac:dyDescent="0.2">
      <c r="A27" s="51" t="s">
        <v>22</v>
      </c>
      <c r="B27" s="42">
        <v>2420.6366064309682</v>
      </c>
      <c r="C27" s="42">
        <v>1127.017043479997</v>
      </c>
      <c r="D27" s="43">
        <v>1293.6195629509643</v>
      </c>
      <c r="E27" s="42">
        <v>1623.1495463163335</v>
      </c>
      <c r="F27" s="42">
        <v>786.46189338495344</v>
      </c>
      <c r="G27" s="43">
        <v>836.68765293134334</v>
      </c>
      <c r="H27" s="42">
        <v>797.48706011464878</v>
      </c>
      <c r="I27" s="42">
        <v>340.55515009504501</v>
      </c>
      <c r="J27" s="44">
        <v>456.93191001961236</v>
      </c>
      <c r="K27" s="42">
        <v>2502.2889733751472</v>
      </c>
      <c r="L27" s="42">
        <v>1165.0333276848228</v>
      </c>
      <c r="M27" s="42">
        <v>1337.2556456904053</v>
      </c>
      <c r="N27" s="45">
        <v>1677.9012599808591</v>
      </c>
      <c r="O27" s="42">
        <v>812.990648232235</v>
      </c>
      <c r="P27" s="43">
        <v>864.91061174862386</v>
      </c>
      <c r="Q27" s="42">
        <v>824.38771339436914</v>
      </c>
      <c r="R27" s="42">
        <v>352.04267945258761</v>
      </c>
      <c r="S27" s="44">
        <v>472.34503394178131</v>
      </c>
      <c r="T27" s="42">
        <v>2586.4466542664263</v>
      </c>
      <c r="U27" s="42">
        <v>1204.2160536058188</v>
      </c>
      <c r="V27" s="42">
        <v>1382.230600660582</v>
      </c>
      <c r="W27" s="45">
        <v>1734.3329032909592</v>
      </c>
      <c r="X27" s="42">
        <v>840.33337653797821</v>
      </c>
      <c r="Y27" s="43">
        <v>893.99952675302177</v>
      </c>
      <c r="Z27" s="42">
        <v>852.1137509754268</v>
      </c>
      <c r="AA27" s="42">
        <v>363.88267706784183</v>
      </c>
      <c r="AB27" s="44">
        <v>488.2310739075715</v>
      </c>
    </row>
    <row r="28" spans="1:28" s="3" customFormat="1" ht="12" customHeight="1" thickBot="1" x14ac:dyDescent="0.25">
      <c r="A28" s="52" t="s">
        <v>21</v>
      </c>
      <c r="B28" s="47">
        <v>51075.228787649088</v>
      </c>
      <c r="C28" s="47">
        <v>24295.365578662913</v>
      </c>
      <c r="D28" s="48">
        <v>26779.863208958377</v>
      </c>
      <c r="E28" s="47">
        <v>34429.033497247532</v>
      </c>
      <c r="F28" s="47">
        <v>16354.485384319758</v>
      </c>
      <c r="G28" s="48">
        <v>18074.548112920202</v>
      </c>
      <c r="H28" s="47">
        <v>16646.195290376745</v>
      </c>
      <c r="I28" s="47">
        <v>7940.880194342456</v>
      </c>
      <c r="J28" s="49">
        <v>8705.3150960372259</v>
      </c>
      <c r="K28" s="47">
        <v>52798.086862093784</v>
      </c>
      <c r="L28" s="47">
        <v>25114.89135961256</v>
      </c>
      <c r="M28" s="47">
        <v>27683.195502475704</v>
      </c>
      <c r="N28" s="50">
        <v>35590.385874213644</v>
      </c>
      <c r="O28" s="47">
        <v>16906.1511891952</v>
      </c>
      <c r="P28" s="48">
        <v>18684.234685021769</v>
      </c>
      <c r="Q28" s="47">
        <v>17207.700987876364</v>
      </c>
      <c r="R28" s="47">
        <v>8208.7401704187159</v>
      </c>
      <c r="S28" s="49">
        <v>8998.9608174555706</v>
      </c>
      <c r="T28" s="47">
        <v>54573.806850094268</v>
      </c>
      <c r="U28" s="47">
        <v>25959.562392872936</v>
      </c>
      <c r="V28" s="47">
        <v>28614.244457226425</v>
      </c>
      <c r="W28" s="50">
        <v>36787.371661651938</v>
      </c>
      <c r="X28" s="47">
        <v>17474.743582803316</v>
      </c>
      <c r="Y28" s="48">
        <v>19312.628078847716</v>
      </c>
      <c r="Z28" s="47">
        <v>17786.435188446885</v>
      </c>
      <c r="AA28" s="47">
        <v>8484.8188100684802</v>
      </c>
      <c r="AB28" s="49">
        <v>9301.6163783778211</v>
      </c>
    </row>
    <row r="29" spans="1:28" x14ac:dyDescent="0.2">
      <c r="A29" s="57" t="s">
        <v>82</v>
      </c>
    </row>
    <row r="30" spans="1:28" x14ac:dyDescent="0.2">
      <c r="A30" s="57"/>
    </row>
    <row r="31" spans="1:28" x14ac:dyDescent="0.2">
      <c r="B31" s="186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0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" style="1" customWidth="1"/>
    <col min="2" max="16384" width="9.140625" style="1"/>
  </cols>
  <sheetData>
    <row r="1" spans="1:28" s="3" customFormat="1" ht="30" customHeight="1" thickBot="1" x14ac:dyDescent="0.25">
      <c r="A1" s="54" t="s">
        <v>75</v>
      </c>
      <c r="B1" s="56"/>
      <c r="C1" s="56"/>
      <c r="D1" s="56"/>
      <c r="E1" s="56"/>
      <c r="F1" s="56"/>
      <c r="G1" s="56"/>
      <c r="H1" s="56"/>
      <c r="I1" s="56"/>
      <c r="J1" s="56"/>
    </row>
    <row r="2" spans="1:28" s="3" customFormat="1" ht="11.1" customHeight="1" x14ac:dyDescent="0.2">
      <c r="A2" s="261" t="s">
        <v>33</v>
      </c>
      <c r="B2" s="259"/>
      <c r="C2" s="259"/>
      <c r="D2" s="259"/>
      <c r="E2" s="259"/>
      <c r="F2" s="259"/>
      <c r="G2" s="259"/>
      <c r="H2" s="259"/>
      <c r="I2" s="259"/>
      <c r="J2" s="260"/>
      <c r="K2" s="261" t="s">
        <v>35</v>
      </c>
      <c r="L2" s="259"/>
      <c r="M2" s="259"/>
      <c r="N2" s="259"/>
      <c r="O2" s="259"/>
      <c r="P2" s="259"/>
      <c r="Q2" s="259"/>
      <c r="R2" s="259"/>
      <c r="S2" s="260"/>
      <c r="T2" s="261" t="s">
        <v>36</v>
      </c>
      <c r="U2" s="259"/>
      <c r="V2" s="259"/>
      <c r="W2" s="259"/>
      <c r="X2" s="259"/>
      <c r="Y2" s="259"/>
      <c r="Z2" s="259"/>
      <c r="AA2" s="259"/>
      <c r="AB2" s="260"/>
    </row>
    <row r="3" spans="1:28" s="3" customFormat="1" ht="17.25" customHeight="1" thickBot="1" x14ac:dyDescent="0.25">
      <c r="A3" s="267" t="s">
        <v>34</v>
      </c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10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s="3" customFormat="1" ht="12.75" customHeight="1" thickBot="1" x14ac:dyDescent="0.25">
      <c r="A4" s="262"/>
      <c r="B4" s="7" t="s">
        <v>0</v>
      </c>
      <c r="C4" s="8" t="s">
        <v>3</v>
      </c>
      <c r="D4" s="15" t="s">
        <v>4</v>
      </c>
      <c r="E4" s="16" t="s">
        <v>0</v>
      </c>
      <c r="F4" s="8" t="s">
        <v>3</v>
      </c>
      <c r="G4" s="15" t="s">
        <v>4</v>
      </c>
      <c r="H4" s="16" t="s">
        <v>0</v>
      </c>
      <c r="I4" s="8" t="s">
        <v>3</v>
      </c>
      <c r="J4" s="17" t="s">
        <v>4</v>
      </c>
      <c r="K4" s="7" t="s">
        <v>0</v>
      </c>
      <c r="L4" s="8" t="s">
        <v>3</v>
      </c>
      <c r="M4" s="8" t="s">
        <v>4</v>
      </c>
      <c r="N4" s="18" t="s">
        <v>0</v>
      </c>
      <c r="O4" s="19" t="s">
        <v>3</v>
      </c>
      <c r="P4" s="20" t="s">
        <v>4</v>
      </c>
      <c r="Q4" s="16" t="s">
        <v>0</v>
      </c>
      <c r="R4" s="8" t="s">
        <v>3</v>
      </c>
      <c r="S4" s="17" t="s">
        <v>4</v>
      </c>
      <c r="T4" s="7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s="3" customFormat="1" ht="16.5" customHeight="1" thickBot="1" x14ac:dyDescent="0.25">
      <c r="A5" s="21" t="s">
        <v>32</v>
      </c>
      <c r="B5" s="22">
        <f>+B6+B7+B8+B9+B10+B11+B12+B13+B14+B15+B16+B17+B18+B19+B20+B21+B22+B23+B24+B25</f>
        <v>28491.463336088804</v>
      </c>
      <c r="C5" s="22">
        <f t="shared" ref="C5:AB5" si="0">+C6+C7+C8+C9+C10+C11+C12+C13+C14+C15+C16+C17+C18+C19+C20+C21+C22+C23+C24+C25</f>
        <v>14703.874597559136</v>
      </c>
      <c r="D5" s="22">
        <f t="shared" si="0"/>
        <v>13787.588738529712</v>
      </c>
      <c r="E5" s="23">
        <f t="shared" si="0"/>
        <v>19800.822832932194</v>
      </c>
      <c r="F5" s="22">
        <f t="shared" si="0"/>
        <v>10493.600510620196</v>
      </c>
      <c r="G5" s="25">
        <f t="shared" si="0"/>
        <v>9307.2223223117999</v>
      </c>
      <c r="H5" s="22">
        <f t="shared" si="0"/>
        <v>8690.6405031565882</v>
      </c>
      <c r="I5" s="22">
        <f t="shared" si="0"/>
        <v>4210.2740869388899</v>
      </c>
      <c r="J5" s="82">
        <f t="shared" si="0"/>
        <v>4480.3664162178065</v>
      </c>
      <c r="K5" s="22">
        <f>+K6+K7+K8+K9+K10+K11+K12+K13+K14+K15+K16+K17+K18+K19+K20+K21+K22+K23+K24+K25</f>
        <v>29452.530938271575</v>
      </c>
      <c r="L5" s="22">
        <f t="shared" si="0"/>
        <v>15199.862372408348</v>
      </c>
      <c r="M5" s="25">
        <f t="shared" si="0"/>
        <v>14252.668565862647</v>
      </c>
      <c r="N5" s="22">
        <f t="shared" si="0"/>
        <v>20468.73971374672</v>
      </c>
      <c r="O5" s="22">
        <f t="shared" si="0"/>
        <v>10847.568271490749</v>
      </c>
      <c r="P5" s="25">
        <f t="shared" si="0"/>
        <v>9621.1714422557961</v>
      </c>
      <c r="Q5" s="22">
        <f t="shared" si="0"/>
        <v>8983.7912245243588</v>
      </c>
      <c r="R5" s="22">
        <f t="shared" si="0"/>
        <v>4352.2941009175584</v>
      </c>
      <c r="S5" s="82">
        <f t="shared" si="0"/>
        <v>4631.4971236068441</v>
      </c>
      <c r="T5" s="22">
        <f t="shared" si="0"/>
        <v>30443.086676044382</v>
      </c>
      <c r="U5" s="22">
        <f t="shared" si="0"/>
        <v>15711.068384478573</v>
      </c>
      <c r="V5" s="22">
        <f t="shared" si="0"/>
        <v>14732.018291564051</v>
      </c>
      <c r="W5" s="23">
        <f t="shared" si="0"/>
        <v>21157.150078577681</v>
      </c>
      <c r="X5" s="22">
        <f t="shared" si="0"/>
        <v>11212.396714069004</v>
      </c>
      <c r="Y5" s="22">
        <f t="shared" si="0"/>
        <v>9944.7533645085241</v>
      </c>
      <c r="Z5" s="23">
        <f t="shared" si="0"/>
        <v>9285.9365974652737</v>
      </c>
      <c r="AA5" s="22">
        <f t="shared" si="0"/>
        <v>4498.6716704096943</v>
      </c>
      <c r="AB5" s="82">
        <f t="shared" si="0"/>
        <v>4787.2649270557094</v>
      </c>
    </row>
    <row r="6" spans="1:28" s="3" customFormat="1" ht="12" customHeight="1" x14ac:dyDescent="0.2">
      <c r="A6" s="26" t="s">
        <v>5</v>
      </c>
      <c r="B6" s="88">
        <v>5909.7247684113445</v>
      </c>
      <c r="C6" s="88">
        <v>2749.9196353559601</v>
      </c>
      <c r="D6" s="89">
        <v>3159.805133054977</v>
      </c>
      <c r="E6" s="88">
        <v>4011.0223703399724</v>
      </c>
      <c r="F6" s="88">
        <v>1873.7622751951349</v>
      </c>
      <c r="G6" s="89">
        <v>2137.2600951444665</v>
      </c>
      <c r="H6" s="88">
        <v>1898.7023980709957</v>
      </c>
      <c r="I6" s="88">
        <v>876.15736016069957</v>
      </c>
      <c r="J6" s="90">
        <v>1022.5450379103178</v>
      </c>
      <c r="K6" s="27">
        <v>6109.0702687010826</v>
      </c>
      <c r="L6" s="27">
        <v>2842.6793030139315</v>
      </c>
      <c r="M6" s="27">
        <v>3266.3909656871447</v>
      </c>
      <c r="N6" s="30">
        <v>4146.3212704450079</v>
      </c>
      <c r="O6" s="27">
        <v>1936.9676007918254</v>
      </c>
      <c r="P6" s="28">
        <v>2209.3536696531764</v>
      </c>
      <c r="Q6" s="27">
        <v>1962.7489982560685</v>
      </c>
      <c r="R6" s="27">
        <v>905.71170222210026</v>
      </c>
      <c r="S6" s="29">
        <v>1057.0372960339621</v>
      </c>
      <c r="T6" s="27">
        <v>6314.5322244090676</v>
      </c>
      <c r="U6" s="27">
        <v>2938.2850864402608</v>
      </c>
      <c r="V6" s="27">
        <v>3376.2471379680164</v>
      </c>
      <c r="W6" s="30">
        <v>4285.7715042360487</v>
      </c>
      <c r="X6" s="27">
        <v>2002.1122355555344</v>
      </c>
      <c r="Y6" s="28">
        <v>2283.6592686805202</v>
      </c>
      <c r="Z6" s="27">
        <v>2028.7607201723026</v>
      </c>
      <c r="AA6" s="27">
        <v>936.17285088479787</v>
      </c>
      <c r="AB6" s="29">
        <v>1092.5878692875763</v>
      </c>
    </row>
    <row r="7" spans="1:28" s="3" customFormat="1" ht="12" customHeight="1" x14ac:dyDescent="0.2">
      <c r="A7" s="26" t="s">
        <v>6</v>
      </c>
      <c r="B7" s="88">
        <v>4167.5527550746992</v>
      </c>
      <c r="C7" s="88">
        <v>2114.0588420313493</v>
      </c>
      <c r="D7" s="89">
        <v>2053.4939130434263</v>
      </c>
      <c r="E7" s="88">
        <v>2218.0476823691038</v>
      </c>
      <c r="F7" s="88">
        <v>1186.1584205560016</v>
      </c>
      <c r="G7" s="89">
        <v>1031.889261813179</v>
      </c>
      <c r="H7" s="88">
        <v>1949.5050727056719</v>
      </c>
      <c r="I7" s="88">
        <v>927.90042147541487</v>
      </c>
      <c r="J7" s="90">
        <v>1021.6046512303238</v>
      </c>
      <c r="K7" s="27">
        <v>4308.1317027424311</v>
      </c>
      <c r="L7" s="27">
        <v>2185.3697971134702</v>
      </c>
      <c r="M7" s="27">
        <v>2122.7619056285871</v>
      </c>
      <c r="N7" s="30">
        <v>2292.8663655120431</v>
      </c>
      <c r="O7" s="27">
        <v>1226.1696483263624</v>
      </c>
      <c r="P7" s="28">
        <v>1066.6967171856531</v>
      </c>
      <c r="Q7" s="27">
        <v>2015.2653372300204</v>
      </c>
      <c r="R7" s="27">
        <v>959.20014878710094</v>
      </c>
      <c r="S7" s="29">
        <v>1056.0651884429392</v>
      </c>
      <c r="T7" s="27">
        <v>4453.0239901377463</v>
      </c>
      <c r="U7" s="27">
        <v>2258.8687638481715</v>
      </c>
      <c r="V7" s="27">
        <v>2194.1552262892692</v>
      </c>
      <c r="W7" s="30">
        <v>2369.9806868266642</v>
      </c>
      <c r="X7" s="27">
        <v>1267.4085280402287</v>
      </c>
      <c r="Y7" s="28">
        <v>1102.5721587864516</v>
      </c>
      <c r="Z7" s="27">
        <v>2083.0433033107765</v>
      </c>
      <c r="AA7" s="27">
        <v>991.46023580797669</v>
      </c>
      <c r="AB7" s="29">
        <v>1091.5830675028665</v>
      </c>
    </row>
    <row r="8" spans="1:28" s="3" customFormat="1" ht="12" customHeight="1" x14ac:dyDescent="0.2">
      <c r="A8" s="26" t="s">
        <v>7</v>
      </c>
      <c r="B8" s="88">
        <v>3694.4606682633762</v>
      </c>
      <c r="C8" s="88">
        <v>1899.2247543006038</v>
      </c>
      <c r="D8" s="89">
        <v>1795.2359139628493</v>
      </c>
      <c r="E8" s="88">
        <v>2435.1672391182615</v>
      </c>
      <c r="F8" s="88">
        <v>1302.7173404950231</v>
      </c>
      <c r="G8" s="89">
        <v>1132.4498986233152</v>
      </c>
      <c r="H8" s="88">
        <v>1259.2934291451916</v>
      </c>
      <c r="I8" s="88">
        <v>596.50741380561487</v>
      </c>
      <c r="J8" s="90">
        <v>662.78601533957487</v>
      </c>
      <c r="K8" s="27">
        <v>3819.0813805774956</v>
      </c>
      <c r="L8" s="27">
        <v>1963.2889744878632</v>
      </c>
      <c r="M8" s="27">
        <v>1855.792406089311</v>
      </c>
      <c r="N8" s="30">
        <v>2517.309750080492</v>
      </c>
      <c r="O8" s="27">
        <v>1346.6603074104539</v>
      </c>
      <c r="P8" s="28">
        <v>1170.6494426699674</v>
      </c>
      <c r="Q8" s="27">
        <v>1301.7716304967728</v>
      </c>
      <c r="R8" s="27">
        <v>616.6286670774291</v>
      </c>
      <c r="S8" s="29">
        <v>685.14296341936347</v>
      </c>
      <c r="T8" s="27">
        <v>3947.5257910927357</v>
      </c>
      <c r="U8" s="27">
        <v>2029.318857035465</v>
      </c>
      <c r="V8" s="27">
        <v>1918.2069340569931</v>
      </c>
      <c r="W8" s="30">
        <v>2601.9726139246159</v>
      </c>
      <c r="X8" s="27">
        <v>1391.951562587527</v>
      </c>
      <c r="Y8" s="28">
        <v>1210.0210513370619</v>
      </c>
      <c r="Z8" s="27">
        <v>1345.5531771679453</v>
      </c>
      <c r="AA8" s="27">
        <v>637.36729444797811</v>
      </c>
      <c r="AB8" s="29">
        <v>708.18588271997783</v>
      </c>
    </row>
    <row r="9" spans="1:28" s="3" customFormat="1" ht="12" customHeight="1" x14ac:dyDescent="0.2">
      <c r="A9" s="26" t="s">
        <v>8</v>
      </c>
      <c r="B9" s="88">
        <v>3083.371628738149</v>
      </c>
      <c r="C9" s="88">
        <v>1662.3501391330317</v>
      </c>
      <c r="D9" s="89">
        <v>1421.0214896052335</v>
      </c>
      <c r="E9" s="88">
        <v>2228.3086979240784</v>
      </c>
      <c r="F9" s="88">
        <v>1220.1184514196552</v>
      </c>
      <c r="G9" s="89">
        <v>1008.190246504382</v>
      </c>
      <c r="H9" s="88">
        <v>855.06293081416891</v>
      </c>
      <c r="I9" s="88">
        <v>442.23168771335122</v>
      </c>
      <c r="J9" s="90">
        <v>412.83124310082894</v>
      </c>
      <c r="K9" s="27">
        <v>3187.3792236766431</v>
      </c>
      <c r="L9" s="27">
        <v>1718.4241583351138</v>
      </c>
      <c r="M9" s="27">
        <v>1468.9550653417332</v>
      </c>
      <c r="N9" s="30">
        <v>2303.4735033246207</v>
      </c>
      <c r="O9" s="27">
        <v>1261.2752112761777</v>
      </c>
      <c r="P9" s="28">
        <v>1042.1982920484882</v>
      </c>
      <c r="Q9" s="27">
        <v>883.90572035218077</v>
      </c>
      <c r="R9" s="27">
        <v>457.14894705893579</v>
      </c>
      <c r="S9" s="29">
        <v>426.75677329324475</v>
      </c>
      <c r="T9" s="27">
        <v>3294.5780510064528</v>
      </c>
      <c r="U9" s="27">
        <v>1776.2186790685505</v>
      </c>
      <c r="V9" s="27">
        <v>1518.3593719377538</v>
      </c>
      <c r="W9" s="30">
        <v>2380.9445668575831</v>
      </c>
      <c r="X9" s="27">
        <v>1303.6947710775983</v>
      </c>
      <c r="Y9" s="28">
        <v>1077.2497957799951</v>
      </c>
      <c r="Z9" s="27">
        <v>913.63348414876941</v>
      </c>
      <c r="AA9" s="27">
        <v>472.52390799097407</v>
      </c>
      <c r="AB9" s="29">
        <v>441.1095761577792</v>
      </c>
    </row>
    <row r="10" spans="1:28" s="3" customFormat="1" ht="12" customHeight="1" x14ac:dyDescent="0.2">
      <c r="A10" s="26" t="s">
        <v>9</v>
      </c>
      <c r="B10" s="88">
        <v>3096.8484204079527</v>
      </c>
      <c r="C10" s="88">
        <v>1663.2147237727777</v>
      </c>
      <c r="D10" s="89">
        <v>1433.6336966353474</v>
      </c>
      <c r="E10" s="88">
        <v>2487.9596093044443</v>
      </c>
      <c r="F10" s="88">
        <v>1366.2566560624059</v>
      </c>
      <c r="G10" s="89">
        <v>1121.7029532420997</v>
      </c>
      <c r="H10" s="88">
        <v>608.88881110360057</v>
      </c>
      <c r="I10" s="88">
        <v>296.95806771036274</v>
      </c>
      <c r="J10" s="90">
        <v>311.93074339323795</v>
      </c>
      <c r="K10" s="27">
        <v>3201.3106114376728</v>
      </c>
      <c r="L10" s="27">
        <v>1719.3179069485575</v>
      </c>
      <c r="M10" s="27">
        <v>1481.9927044890298</v>
      </c>
      <c r="N10" s="30">
        <v>2571.8829005667517</v>
      </c>
      <c r="O10" s="27">
        <v>1412.3429168106902</v>
      </c>
      <c r="P10" s="28">
        <v>1159.539983755976</v>
      </c>
      <c r="Q10" s="27">
        <v>629.42771087087021</v>
      </c>
      <c r="R10" s="27">
        <v>306.97499013784477</v>
      </c>
      <c r="S10" s="29">
        <v>322.45272073302999</v>
      </c>
      <c r="T10" s="27">
        <v>3308.977983087173</v>
      </c>
      <c r="U10" s="27">
        <v>1777.1424864847386</v>
      </c>
      <c r="V10" s="27">
        <v>1531.8354966023644</v>
      </c>
      <c r="W10" s="30">
        <v>2658.3811838339197</v>
      </c>
      <c r="X10" s="27">
        <v>1459.8432278325372</v>
      </c>
      <c r="Y10" s="28">
        <v>1198.5379560013125</v>
      </c>
      <c r="Z10" s="27">
        <v>650.59679925321518</v>
      </c>
      <c r="AA10" s="27">
        <v>317.29925865218343</v>
      </c>
      <c r="AB10" s="29">
        <v>333.29754060103323</v>
      </c>
    </row>
    <row r="11" spans="1:28" s="3" customFormat="1" ht="12" customHeight="1" x14ac:dyDescent="0.2">
      <c r="A11" s="31" t="s">
        <v>10</v>
      </c>
      <c r="B11" s="88">
        <v>2112.3949942590425</v>
      </c>
      <c r="C11" s="88">
        <v>1224.016237075085</v>
      </c>
      <c r="D11" s="89">
        <v>888.37875718395048</v>
      </c>
      <c r="E11" s="91">
        <v>1628.2784805127339</v>
      </c>
      <c r="F11" s="91">
        <v>966.9853045190489</v>
      </c>
      <c r="G11" s="92">
        <v>661.29317599366618</v>
      </c>
      <c r="H11" s="91">
        <v>484.11651374630281</v>
      </c>
      <c r="I11" s="91">
        <v>257.03093255602886</v>
      </c>
      <c r="J11" s="93">
        <v>227.08558119027776</v>
      </c>
      <c r="K11" s="27">
        <v>2183.6498248041548</v>
      </c>
      <c r="L11" s="27">
        <v>1265.3044761564176</v>
      </c>
      <c r="M11" s="27">
        <v>918.34534864766101</v>
      </c>
      <c r="N11" s="35">
        <v>1683.2032022264555</v>
      </c>
      <c r="O11" s="32">
        <v>999.60343427238342</v>
      </c>
      <c r="P11" s="33">
        <v>683.59976795401849</v>
      </c>
      <c r="Q11" s="32">
        <v>500.44662257766004</v>
      </c>
      <c r="R11" s="32">
        <v>265.70104188401751</v>
      </c>
      <c r="S11" s="34">
        <v>234.74558069364662</v>
      </c>
      <c r="T11" s="27">
        <v>2257.0909449502533</v>
      </c>
      <c r="U11" s="27">
        <v>1307.8595493184575</v>
      </c>
      <c r="V11" s="27">
        <v>949.2313956317322</v>
      </c>
      <c r="W11" s="35">
        <v>1739.8131619374208</v>
      </c>
      <c r="X11" s="32">
        <v>1033.2223758631908</v>
      </c>
      <c r="Y11" s="33">
        <v>706.59078607418712</v>
      </c>
      <c r="Z11" s="32">
        <v>517.2777830128058</v>
      </c>
      <c r="AA11" s="32">
        <v>274.6371734552506</v>
      </c>
      <c r="AB11" s="34">
        <v>242.6406095575513</v>
      </c>
    </row>
    <row r="12" spans="1:28" s="3" customFormat="1" ht="12" customHeight="1" x14ac:dyDescent="0.2">
      <c r="A12" s="31" t="s">
        <v>11</v>
      </c>
      <c r="B12" s="91">
        <v>1739.2524914339051</v>
      </c>
      <c r="C12" s="91">
        <v>1000.6835047225535</v>
      </c>
      <c r="D12" s="92">
        <v>738.56898671135707</v>
      </c>
      <c r="E12" s="88">
        <v>1389.336065911569</v>
      </c>
      <c r="F12" s="88">
        <v>813.45884900027033</v>
      </c>
      <c r="G12" s="89">
        <v>575.87721691130412</v>
      </c>
      <c r="H12" s="88">
        <v>349.91642552234168</v>
      </c>
      <c r="I12" s="88">
        <v>187.2246557222872</v>
      </c>
      <c r="J12" s="90">
        <v>162.69176980005645</v>
      </c>
      <c r="K12" s="32">
        <v>1797.9205634038801</v>
      </c>
      <c r="L12" s="32">
        <v>1034.4383345494091</v>
      </c>
      <c r="M12" s="32">
        <v>763.48222885453094</v>
      </c>
      <c r="N12" s="30">
        <v>1436.2008360969542</v>
      </c>
      <c r="O12" s="27">
        <v>840.89825905306782</v>
      </c>
      <c r="P12" s="28">
        <v>595.30257704391636</v>
      </c>
      <c r="Q12" s="27">
        <v>361.71972730695165</v>
      </c>
      <c r="R12" s="27">
        <v>193.5400754963384</v>
      </c>
      <c r="S12" s="29">
        <v>168.17965181061135</v>
      </c>
      <c r="T12" s="32">
        <v>1858.3887294122214</v>
      </c>
      <c r="U12" s="32">
        <v>1069.2288532252587</v>
      </c>
      <c r="V12" s="32">
        <v>789.15987618689803</v>
      </c>
      <c r="W12" s="30">
        <v>1484.5035433166499</v>
      </c>
      <c r="X12" s="27">
        <v>869.1795839121429</v>
      </c>
      <c r="Y12" s="28">
        <v>615.32395940446952</v>
      </c>
      <c r="Z12" s="27">
        <v>373.88518609554097</v>
      </c>
      <c r="AA12" s="27">
        <v>200.04926931311246</v>
      </c>
      <c r="AB12" s="29">
        <v>173.8359167824288</v>
      </c>
    </row>
    <row r="13" spans="1:28" s="3" customFormat="1" ht="12" customHeight="1" x14ac:dyDescent="0.2">
      <c r="A13" s="31" t="s">
        <v>12</v>
      </c>
      <c r="B13" s="91">
        <v>1138.8423886003764</v>
      </c>
      <c r="C13" s="91">
        <v>609.44853448909282</v>
      </c>
      <c r="D13" s="92">
        <v>529.39385411128899</v>
      </c>
      <c r="E13" s="91">
        <v>871.56305250028925</v>
      </c>
      <c r="F13" s="91">
        <v>481.61928678905122</v>
      </c>
      <c r="G13" s="92">
        <v>389.9437657112436</v>
      </c>
      <c r="H13" s="91">
        <v>267.27933610009256</v>
      </c>
      <c r="I13" s="91">
        <v>127.82924770004435</v>
      </c>
      <c r="J13" s="93">
        <v>139.45008840004837</v>
      </c>
      <c r="K13" s="32">
        <v>1177.2575626742839</v>
      </c>
      <c r="L13" s="32">
        <v>630.00631471912254</v>
      </c>
      <c r="M13" s="32">
        <v>547.25124795516933</v>
      </c>
      <c r="N13" s="35">
        <v>900.9624204140016</v>
      </c>
      <c r="O13" s="32">
        <v>497.86515972506822</v>
      </c>
      <c r="P13" s="33">
        <v>403.09726068892826</v>
      </c>
      <c r="Q13" s="32">
        <v>276.29514226029028</v>
      </c>
      <c r="R13" s="32">
        <v>132.14115499405185</v>
      </c>
      <c r="S13" s="34">
        <v>144.15398726623835</v>
      </c>
      <c r="T13" s="32">
        <v>1216.8514174770157</v>
      </c>
      <c r="U13" s="32">
        <v>651.19486286751032</v>
      </c>
      <c r="V13" s="32">
        <v>565.65655460948994</v>
      </c>
      <c r="W13" s="35">
        <v>931.26383990586737</v>
      </c>
      <c r="X13" s="32">
        <v>514.60949968131649</v>
      </c>
      <c r="Y13" s="33">
        <v>416.65434022455116</v>
      </c>
      <c r="Z13" s="32">
        <v>285.58757757113284</v>
      </c>
      <c r="AA13" s="32">
        <v>136.58536318619412</v>
      </c>
      <c r="AB13" s="34">
        <v>149.00221438493901</v>
      </c>
    </row>
    <row r="14" spans="1:28" s="3" customFormat="1" ht="12" customHeight="1" x14ac:dyDescent="0.2">
      <c r="A14" s="31" t="s">
        <v>13</v>
      </c>
      <c r="B14" s="91">
        <v>972.27700523365536</v>
      </c>
      <c r="C14" s="91">
        <v>494.53133201127764</v>
      </c>
      <c r="D14" s="92">
        <v>477.74567322238329</v>
      </c>
      <c r="E14" s="91">
        <v>751.48103193358349</v>
      </c>
      <c r="F14" s="91">
        <v>387.36135666679832</v>
      </c>
      <c r="G14" s="92">
        <v>364.11967526679075</v>
      </c>
      <c r="H14" s="91">
        <v>220.79597330007664</v>
      </c>
      <c r="I14" s="91">
        <v>107.16997534448161</v>
      </c>
      <c r="J14" s="93">
        <v>113.62599795559497</v>
      </c>
      <c r="K14" s="32">
        <v>1005.0736334396202</v>
      </c>
      <c r="L14" s="32">
        <v>511.21275113860906</v>
      </c>
      <c r="M14" s="32">
        <v>493.86088230100597</v>
      </c>
      <c r="N14" s="35">
        <v>776.82982026807178</v>
      </c>
      <c r="O14" s="32">
        <v>400.42774240622009</v>
      </c>
      <c r="P14" s="33">
        <v>376.40207786184658</v>
      </c>
      <c r="Q14" s="32">
        <v>228.24381317154385</v>
      </c>
      <c r="R14" s="32">
        <v>110.78500873238694</v>
      </c>
      <c r="S14" s="34">
        <v>117.45880443915722</v>
      </c>
      <c r="T14" s="32">
        <v>1038.8765502949909</v>
      </c>
      <c r="U14" s="32">
        <v>528.40600101325526</v>
      </c>
      <c r="V14" s="32">
        <v>510.4705492817348</v>
      </c>
      <c r="W14" s="35">
        <v>802.9563775188368</v>
      </c>
      <c r="X14" s="32">
        <v>413.89503995816341</v>
      </c>
      <c r="Y14" s="33">
        <v>389.06133756067362</v>
      </c>
      <c r="Z14" s="32">
        <v>235.92017277615327</v>
      </c>
      <c r="AA14" s="32">
        <v>114.51096105509207</v>
      </c>
      <c r="AB14" s="34">
        <v>121.40921172106145</v>
      </c>
    </row>
    <row r="15" spans="1:28" s="3" customFormat="1" ht="12" customHeight="1" x14ac:dyDescent="0.2">
      <c r="A15" s="31" t="s">
        <v>14</v>
      </c>
      <c r="B15" s="91">
        <v>500.56251070999889</v>
      </c>
      <c r="C15" s="91">
        <v>212.10275877542395</v>
      </c>
      <c r="D15" s="92">
        <v>288.45975193457616</v>
      </c>
      <c r="E15" s="91">
        <v>324.82022486750577</v>
      </c>
      <c r="F15" s="91">
        <v>147.86592326058164</v>
      </c>
      <c r="G15" s="92">
        <v>176.95430160692533</v>
      </c>
      <c r="H15" s="91">
        <v>175.74228584249434</v>
      </c>
      <c r="I15" s="91">
        <v>64.236835514842781</v>
      </c>
      <c r="J15" s="93">
        <v>111.50545032765183</v>
      </c>
      <c r="K15" s="32">
        <v>517.44737219414014</v>
      </c>
      <c r="L15" s="32">
        <v>219.25736109921377</v>
      </c>
      <c r="M15" s="32">
        <v>298.19001109493018</v>
      </c>
      <c r="N15" s="35">
        <v>335.77698728336617</v>
      </c>
      <c r="O15" s="32">
        <v>152.85370316630869</v>
      </c>
      <c r="P15" s="33">
        <v>182.92328411705816</v>
      </c>
      <c r="Q15" s="32">
        <v>181.67038491077693</v>
      </c>
      <c r="R15" s="32">
        <v>66.403657932904679</v>
      </c>
      <c r="S15" s="34">
        <v>115.26672697787201</v>
      </c>
      <c r="T15" s="32">
        <v>534.8503065836004</v>
      </c>
      <c r="U15" s="32">
        <v>226.63148584050606</v>
      </c>
      <c r="V15" s="32">
        <v>308.2188207430894</v>
      </c>
      <c r="W15" s="35">
        <v>347.06993260146271</v>
      </c>
      <c r="X15" s="32">
        <v>157.99452155738138</v>
      </c>
      <c r="Y15" s="33">
        <v>189.07541104407935</v>
      </c>
      <c r="Z15" s="32">
        <v>187.7803739821336</v>
      </c>
      <c r="AA15" s="32">
        <v>68.636964283124698</v>
      </c>
      <c r="AB15" s="34">
        <v>119.1434096990089</v>
      </c>
    </row>
    <row r="16" spans="1:28" s="3" customFormat="1" ht="12" customHeight="1" x14ac:dyDescent="0.2">
      <c r="A16" s="31" t="s">
        <v>15</v>
      </c>
      <c r="B16" s="91">
        <v>621.76408715310276</v>
      </c>
      <c r="C16" s="91">
        <v>323.60820910307478</v>
      </c>
      <c r="D16" s="92">
        <v>298.15587805002406</v>
      </c>
      <c r="E16" s="91">
        <v>439.96172248844954</v>
      </c>
      <c r="F16" s="91">
        <v>215.73880606871691</v>
      </c>
      <c r="G16" s="92">
        <v>224.22291641973382</v>
      </c>
      <c r="H16" s="91">
        <v>181.80236466464928</v>
      </c>
      <c r="I16" s="91">
        <v>107.86940303435883</v>
      </c>
      <c r="J16" s="93">
        <v>73.932961630290791</v>
      </c>
      <c r="K16" s="32">
        <v>642.73729282226009</v>
      </c>
      <c r="L16" s="32">
        <v>334.52408807708497</v>
      </c>
      <c r="M16" s="32">
        <v>308.21320474517978</v>
      </c>
      <c r="N16" s="35">
        <v>454.80241188008011</v>
      </c>
      <c r="O16" s="32">
        <v>223.01605871805745</v>
      </c>
      <c r="P16" s="33">
        <v>231.78635316202605</v>
      </c>
      <c r="Q16" s="32">
        <v>187.93488094218307</v>
      </c>
      <c r="R16" s="32">
        <v>111.50802935902837</v>
      </c>
      <c r="S16" s="34">
        <v>76.426851583154388</v>
      </c>
      <c r="T16" s="32">
        <v>664.35401277817812</v>
      </c>
      <c r="U16" s="32">
        <v>345.77489553951693</v>
      </c>
      <c r="V16" s="32">
        <v>318.57911723865561</v>
      </c>
      <c r="W16" s="35">
        <v>470.09845348631154</v>
      </c>
      <c r="X16" s="32">
        <v>230.51659702634331</v>
      </c>
      <c r="Y16" s="33">
        <v>239.58185645996355</v>
      </c>
      <c r="Z16" s="32">
        <v>194.25555929186234</v>
      </c>
      <c r="AA16" s="32">
        <v>115.25829851317165</v>
      </c>
      <c r="AB16" s="34">
        <v>78.997260778690688</v>
      </c>
    </row>
    <row r="17" spans="1:28" s="3" customFormat="1" ht="12" customHeight="1" x14ac:dyDescent="0.2">
      <c r="A17" s="31" t="s">
        <v>16</v>
      </c>
      <c r="B17" s="91">
        <v>326.03224063193676</v>
      </c>
      <c r="C17" s="91">
        <v>169.6822070203394</v>
      </c>
      <c r="D17" s="92">
        <v>156.35003361159855</v>
      </c>
      <c r="E17" s="91">
        <v>212.10275877542395</v>
      </c>
      <c r="F17" s="91">
        <v>117.56552914980684</v>
      </c>
      <c r="G17" s="92">
        <v>94.537229625617812</v>
      </c>
      <c r="H17" s="91">
        <v>113.92948185651383</v>
      </c>
      <c r="I17" s="91">
        <v>52.116677870532833</v>
      </c>
      <c r="J17" s="93">
        <v>61.812803985980786</v>
      </c>
      <c r="K17" s="32">
        <v>337.02988648964737</v>
      </c>
      <c r="L17" s="32">
        <v>175.40588887937079</v>
      </c>
      <c r="M17" s="32">
        <v>161.62399761027729</v>
      </c>
      <c r="N17" s="35">
        <v>219.25736109921377</v>
      </c>
      <c r="O17" s="32">
        <v>121.53122300927808</v>
      </c>
      <c r="P17" s="33">
        <v>97.72613808993502</v>
      </c>
      <c r="Q17" s="32">
        <v>117.77252539043444</v>
      </c>
      <c r="R17" s="32">
        <v>53.874665870092485</v>
      </c>
      <c r="S17" s="34">
        <v>63.897859520342251</v>
      </c>
      <c r="T17" s="32">
        <v>348.36496966340849</v>
      </c>
      <c r="U17" s="32">
        <v>181.30518867240485</v>
      </c>
      <c r="V17" s="32">
        <v>167.05978099100162</v>
      </c>
      <c r="W17" s="35">
        <v>226.63148584050606</v>
      </c>
      <c r="X17" s="32">
        <v>125.61859500873764</v>
      </c>
      <c r="Y17" s="33">
        <v>101.01289083176842</v>
      </c>
      <c r="Z17" s="32">
        <v>121.7334838229004</v>
      </c>
      <c r="AA17" s="32">
        <v>55.686593663667203</v>
      </c>
      <c r="AB17" s="34">
        <v>66.0468901592332</v>
      </c>
    </row>
    <row r="18" spans="1:28" s="3" customFormat="1" ht="12" customHeight="1" x14ac:dyDescent="0.2">
      <c r="A18" s="31" t="s">
        <v>17</v>
      </c>
      <c r="B18" s="91">
        <v>475.11017965694816</v>
      </c>
      <c r="C18" s="91">
        <v>187.86244348680421</v>
      </c>
      <c r="D18" s="92">
        <v>287.24773617014517</v>
      </c>
      <c r="E18" s="91">
        <v>378.1489185024692</v>
      </c>
      <c r="F18" s="91">
        <v>136.95778138070276</v>
      </c>
      <c r="G18" s="92">
        <v>241.19113712176764</v>
      </c>
      <c r="H18" s="91">
        <v>96.961261154479814</v>
      </c>
      <c r="I18" s="91">
        <v>50.904662106101839</v>
      </c>
      <c r="J18" s="93">
        <v>46.056599048377862</v>
      </c>
      <c r="K18" s="32">
        <v>491.1364888622349</v>
      </c>
      <c r="L18" s="32">
        <v>194.19937697358921</v>
      </c>
      <c r="M18" s="32">
        <v>296.93711188864899</v>
      </c>
      <c r="N18" s="35">
        <v>390.90455235973894</v>
      </c>
      <c r="O18" s="32">
        <v>141.57761030977764</v>
      </c>
      <c r="P18" s="33">
        <v>249.32694204996324</v>
      </c>
      <c r="Q18" s="32">
        <v>100.23193650249745</v>
      </c>
      <c r="R18" s="32">
        <v>52.621766663811265</v>
      </c>
      <c r="S18" s="34">
        <v>47.610169838686382</v>
      </c>
      <c r="T18" s="32">
        <v>507.65452828273908</v>
      </c>
      <c r="U18" s="32">
        <v>200.73074460159108</v>
      </c>
      <c r="V18" s="32">
        <v>306.92378368114362</v>
      </c>
      <c r="W18" s="35">
        <v>404.05156332707691</v>
      </c>
      <c r="X18" s="32">
        <v>146.33918799986964</v>
      </c>
      <c r="Y18" s="33">
        <v>257.71237532720409</v>
      </c>
      <c r="Z18" s="32">
        <v>103.60296495565991</v>
      </c>
      <c r="AA18" s="32">
        <v>54.391556601721454</v>
      </c>
      <c r="AB18" s="34">
        <v>49.211408353938459</v>
      </c>
    </row>
    <row r="19" spans="1:28" s="3" customFormat="1" ht="12" customHeight="1" x14ac:dyDescent="0.2">
      <c r="A19" s="31" t="s">
        <v>18</v>
      </c>
      <c r="B19" s="91">
        <v>137.91238614191107</v>
      </c>
      <c r="C19" s="91">
        <v>64.117161978256902</v>
      </c>
      <c r="D19" s="92">
        <v>73.795224163654169</v>
      </c>
      <c r="E19" s="91">
        <v>68.956193070955536</v>
      </c>
      <c r="F19" s="91">
        <v>35.082975422065097</v>
      </c>
      <c r="G19" s="92">
        <v>33.873217648890439</v>
      </c>
      <c r="H19" s="91">
        <v>68.956193070955536</v>
      </c>
      <c r="I19" s="91">
        <v>29.034186556191802</v>
      </c>
      <c r="J19" s="93">
        <v>39.92200651476373</v>
      </c>
      <c r="K19" s="32">
        <v>142.5644155830505</v>
      </c>
      <c r="L19" s="32">
        <v>66.279947595628926</v>
      </c>
      <c r="M19" s="32">
        <v>76.28446798742192</v>
      </c>
      <c r="N19" s="35">
        <v>71.282207791525423</v>
      </c>
      <c r="O19" s="32">
        <v>36.266386420249788</v>
      </c>
      <c r="P19" s="33">
        <v>35.015821371275656</v>
      </c>
      <c r="Q19" s="32">
        <v>71.282207791525423</v>
      </c>
      <c r="R19" s="32">
        <v>30.013561175379131</v>
      </c>
      <c r="S19" s="34">
        <v>41.268646616146313</v>
      </c>
      <c r="T19" s="32">
        <v>147.35918178341208</v>
      </c>
      <c r="U19" s="32">
        <v>68.509093285270438</v>
      </c>
      <c r="V19" s="32">
        <v>78.850088498141446</v>
      </c>
      <c r="W19" s="35">
        <v>73.679590891705942</v>
      </c>
      <c r="X19" s="32">
        <v>37.486107646657409</v>
      </c>
      <c r="Y19" s="33">
        <v>36.193483245048533</v>
      </c>
      <c r="Z19" s="32">
        <v>73.679590891705942</v>
      </c>
      <c r="AA19" s="32">
        <v>31.022985638613026</v>
      </c>
      <c r="AB19" s="34">
        <v>42.656605253092913</v>
      </c>
    </row>
    <row r="20" spans="1:28" s="3" customFormat="1" ht="12" customHeight="1" x14ac:dyDescent="0.2">
      <c r="A20" s="31" t="s">
        <v>19</v>
      </c>
      <c r="B20" s="91">
        <v>337.52241871572971</v>
      </c>
      <c r="C20" s="91">
        <v>239.53203908858237</v>
      </c>
      <c r="D20" s="92">
        <v>97.990379627147334</v>
      </c>
      <c r="E20" s="91">
        <v>257.67840568620227</v>
      </c>
      <c r="F20" s="91">
        <v>195.98075925429467</v>
      </c>
      <c r="G20" s="92">
        <v>61.697646431907579</v>
      </c>
      <c r="H20" s="91">
        <v>79.84401302952746</v>
      </c>
      <c r="I20" s="91">
        <v>43.551279834287705</v>
      </c>
      <c r="J20" s="93">
        <v>36.292733195239755</v>
      </c>
      <c r="K20" s="32">
        <v>348.907648663781</v>
      </c>
      <c r="L20" s="32">
        <v>247.61187969687694</v>
      </c>
      <c r="M20" s="32">
        <v>101.2957689669044</v>
      </c>
      <c r="N20" s="35">
        <v>266.3703554314888</v>
      </c>
      <c r="O20" s="32">
        <v>202.59153793380847</v>
      </c>
      <c r="P20" s="33">
        <v>63.778817497680677</v>
      </c>
      <c r="Q20" s="32">
        <v>82.537293232292541</v>
      </c>
      <c r="R20" s="32">
        <v>45.020341763068707</v>
      </c>
      <c r="S20" s="34">
        <v>37.516951469223919</v>
      </c>
      <c r="T20" s="32">
        <v>360.64220804887668</v>
      </c>
      <c r="U20" s="32">
        <v>255.93963151855885</v>
      </c>
      <c r="V20" s="32">
        <v>104.70257653031896</v>
      </c>
      <c r="W20" s="35">
        <v>275.32899754269181</v>
      </c>
      <c r="X20" s="32">
        <v>209.40515306063881</v>
      </c>
      <c r="Y20" s="33">
        <v>65.923844482052687</v>
      </c>
      <c r="Z20" s="32">
        <v>85.313210506185825</v>
      </c>
      <c r="AA20" s="32">
        <v>46.534478457919541</v>
      </c>
      <c r="AB20" s="34">
        <v>38.778732048266285</v>
      </c>
    </row>
    <row r="21" spans="1:28" s="3" customFormat="1" ht="12" customHeight="1" x14ac:dyDescent="0.2">
      <c r="A21" s="31" t="s">
        <v>20</v>
      </c>
      <c r="B21" s="91">
        <v>72.58546639047951</v>
      </c>
      <c r="C21" s="91">
        <v>39.92200651476373</v>
      </c>
      <c r="D21" s="92">
        <v>32.66345987571578</v>
      </c>
      <c r="E21" s="91">
        <v>38.712248741589072</v>
      </c>
      <c r="F21" s="91">
        <v>18.146366597619878</v>
      </c>
      <c r="G21" s="92">
        <v>20.565882143969194</v>
      </c>
      <c r="H21" s="91">
        <v>33.873217648890439</v>
      </c>
      <c r="I21" s="91">
        <v>21.775639917143852</v>
      </c>
      <c r="J21" s="93">
        <v>12.097577731746584</v>
      </c>
      <c r="K21" s="32">
        <v>75.033902938447795</v>
      </c>
      <c r="L21" s="32">
        <v>41.268646616146313</v>
      </c>
      <c r="M21" s="32">
        <v>33.765256322301525</v>
      </c>
      <c r="N21" s="35">
        <v>40.018081567172182</v>
      </c>
      <c r="O21" s="32">
        <v>18.758475734611949</v>
      </c>
      <c r="P21" s="33">
        <v>21.259605832560212</v>
      </c>
      <c r="Q21" s="32">
        <v>35.015821371275656</v>
      </c>
      <c r="R21" s="32">
        <v>22.510170881534343</v>
      </c>
      <c r="S21" s="34">
        <v>12.505650489741296</v>
      </c>
      <c r="T21" s="32">
        <v>77.55746409653257</v>
      </c>
      <c r="U21" s="32">
        <v>42.656605253092913</v>
      </c>
      <c r="V21" s="32">
        <v>34.900858843439657</v>
      </c>
      <c r="W21" s="35">
        <v>41.363980851484037</v>
      </c>
      <c r="X21" s="32">
        <v>19.389366024133142</v>
      </c>
      <c r="Y21" s="33">
        <v>21.974614827350894</v>
      </c>
      <c r="Z21" s="32">
        <v>36.193483245048533</v>
      </c>
      <c r="AA21" s="32">
        <v>23.26723922895977</v>
      </c>
      <c r="AB21" s="34">
        <v>12.926244016088761</v>
      </c>
    </row>
    <row r="22" spans="1:28" s="3" customFormat="1" ht="12" customHeight="1" x14ac:dyDescent="0.2">
      <c r="A22" s="31" t="s">
        <v>28</v>
      </c>
      <c r="B22" s="91">
        <v>68.956193070955536</v>
      </c>
      <c r="C22" s="91">
        <v>29.034186556191802</v>
      </c>
      <c r="D22" s="92">
        <v>39.92200651476373</v>
      </c>
      <c r="E22" s="91">
        <v>33.873217648890439</v>
      </c>
      <c r="F22" s="91">
        <v>13.307335504921243</v>
      </c>
      <c r="G22" s="92">
        <v>20.565882143969194</v>
      </c>
      <c r="H22" s="91">
        <v>35.082975422065097</v>
      </c>
      <c r="I22" s="91">
        <v>15.726851051270559</v>
      </c>
      <c r="J22" s="93">
        <v>19.356124370794536</v>
      </c>
      <c r="K22" s="32">
        <v>71.282207791525423</v>
      </c>
      <c r="L22" s="32">
        <v>30.013561175379131</v>
      </c>
      <c r="M22" s="32">
        <v>41.268646616146313</v>
      </c>
      <c r="N22" s="35">
        <v>35.015821371275656</v>
      </c>
      <c r="O22" s="32">
        <v>13.756215538715425</v>
      </c>
      <c r="P22" s="33">
        <v>21.259605832560212</v>
      </c>
      <c r="Q22" s="32">
        <v>36.266386420249788</v>
      </c>
      <c r="R22" s="32">
        <v>16.257345636663686</v>
      </c>
      <c r="S22" s="34">
        <v>20.00904078358608</v>
      </c>
      <c r="T22" s="32">
        <v>73.679590891705942</v>
      </c>
      <c r="U22" s="32">
        <v>31.022985638613026</v>
      </c>
      <c r="V22" s="32">
        <v>42.656605253092913</v>
      </c>
      <c r="W22" s="35">
        <v>36.193483245048533</v>
      </c>
      <c r="X22" s="32">
        <v>14.218868417697637</v>
      </c>
      <c r="Y22" s="33">
        <v>21.974614827350894</v>
      </c>
      <c r="Z22" s="32">
        <v>37.486107646657409</v>
      </c>
      <c r="AA22" s="32">
        <v>16.804117220915391</v>
      </c>
      <c r="AB22" s="34">
        <v>20.681990425742018</v>
      </c>
    </row>
    <row r="23" spans="1:28" s="3" customFormat="1" ht="12" customHeight="1" x14ac:dyDescent="0.2">
      <c r="A23" s="31" t="s">
        <v>29</v>
      </c>
      <c r="B23" s="91">
        <v>18.146366597619878</v>
      </c>
      <c r="C23" s="91">
        <v>8.4683044122226097</v>
      </c>
      <c r="D23" s="92">
        <v>9.6780621853972679</v>
      </c>
      <c r="E23" s="91">
        <v>12.097577731746584</v>
      </c>
      <c r="F23" s="91">
        <v>4.8390310926986349</v>
      </c>
      <c r="G23" s="92">
        <v>7.2585466390479514</v>
      </c>
      <c r="H23" s="91">
        <v>6.0487888658732931</v>
      </c>
      <c r="I23" s="91">
        <v>3.6292733195239761</v>
      </c>
      <c r="J23" s="93">
        <v>2.4195155463493174</v>
      </c>
      <c r="K23" s="32">
        <v>18.758475734611949</v>
      </c>
      <c r="L23" s="32">
        <v>8.753955342818907</v>
      </c>
      <c r="M23" s="32">
        <v>10.004520391793037</v>
      </c>
      <c r="N23" s="35">
        <v>12.505650489741296</v>
      </c>
      <c r="O23" s="32">
        <v>5.0022601958965183</v>
      </c>
      <c r="P23" s="33">
        <v>7.5033902938447774</v>
      </c>
      <c r="Q23" s="32">
        <v>6.2528252448706478</v>
      </c>
      <c r="R23" s="32">
        <v>3.7516951469223887</v>
      </c>
      <c r="S23" s="34">
        <v>2.5011300979482591</v>
      </c>
      <c r="T23" s="32">
        <v>19.389366024133142</v>
      </c>
      <c r="U23" s="32">
        <v>9.0483708112621333</v>
      </c>
      <c r="V23" s="32">
        <v>10.340995212871009</v>
      </c>
      <c r="W23" s="35">
        <v>12.926244016088761</v>
      </c>
      <c r="X23" s="32">
        <v>5.1704976064355055</v>
      </c>
      <c r="Y23" s="33">
        <v>7.7557464096532573</v>
      </c>
      <c r="Z23" s="32">
        <v>6.4631220080443814</v>
      </c>
      <c r="AA23" s="32">
        <v>3.8778732048266291</v>
      </c>
      <c r="AB23" s="34">
        <v>2.5852488032177527</v>
      </c>
    </row>
    <row r="24" spans="1:28" s="3" customFormat="1" ht="12" customHeight="1" x14ac:dyDescent="0.2">
      <c r="A24" s="31" t="s">
        <v>30</v>
      </c>
      <c r="B24" s="91">
        <v>14.517093278095901</v>
      </c>
      <c r="C24" s="91">
        <v>9.6780621853972679</v>
      </c>
      <c r="D24" s="92">
        <v>4.8390310926986349</v>
      </c>
      <c r="E24" s="91">
        <v>10.887819958571926</v>
      </c>
      <c r="F24" s="91">
        <v>8.4683044122226097</v>
      </c>
      <c r="G24" s="92">
        <v>2.4195155463493174</v>
      </c>
      <c r="H24" s="91">
        <v>3.6292733195239761</v>
      </c>
      <c r="I24" s="91">
        <v>1.2097577731746587</v>
      </c>
      <c r="J24" s="93">
        <v>2.4195155463493174</v>
      </c>
      <c r="K24" s="32">
        <v>15.006780587689555</v>
      </c>
      <c r="L24" s="32">
        <v>10.004520391793037</v>
      </c>
      <c r="M24" s="32">
        <v>5.0022601958965183</v>
      </c>
      <c r="N24" s="35">
        <v>11.255085440767166</v>
      </c>
      <c r="O24" s="32">
        <v>8.753955342818907</v>
      </c>
      <c r="P24" s="33">
        <v>2.5011300979482591</v>
      </c>
      <c r="Q24" s="32">
        <v>3.7516951469223887</v>
      </c>
      <c r="R24" s="32">
        <v>1.2505650489741296</v>
      </c>
      <c r="S24" s="34">
        <v>2.5011300979482591</v>
      </c>
      <c r="T24" s="32">
        <v>15.511492819306513</v>
      </c>
      <c r="U24" s="32">
        <v>10.340995212871009</v>
      </c>
      <c r="V24" s="32">
        <v>5.1704976064355055</v>
      </c>
      <c r="W24" s="35">
        <v>11.633619614479885</v>
      </c>
      <c r="X24" s="32">
        <v>9.0483708112621333</v>
      </c>
      <c r="Y24" s="33">
        <v>2.5852488032177527</v>
      </c>
      <c r="Z24" s="32">
        <v>3.8778732048266291</v>
      </c>
      <c r="AA24" s="32">
        <v>1.2926244016088764</v>
      </c>
      <c r="AB24" s="34">
        <v>2.5852488032177527</v>
      </c>
    </row>
    <row r="25" spans="1:28" s="3" customFormat="1" ht="12" customHeight="1" thickBot="1" x14ac:dyDescent="0.25">
      <c r="A25" s="36" t="s">
        <v>31</v>
      </c>
      <c r="B25" s="94">
        <v>3.6292733195239761</v>
      </c>
      <c r="C25" s="94">
        <v>2.4195155463493174</v>
      </c>
      <c r="D25" s="95">
        <v>1.2097577731746587</v>
      </c>
      <c r="E25" s="94">
        <v>2.4195155463493174</v>
      </c>
      <c r="F25" s="94">
        <v>1.2097577731746587</v>
      </c>
      <c r="G25" s="95">
        <v>1.2097577731746587</v>
      </c>
      <c r="H25" s="94">
        <v>1.2097577731746587</v>
      </c>
      <c r="I25" s="94">
        <v>1.2097577731746587</v>
      </c>
      <c r="J25" s="135">
        <v>0</v>
      </c>
      <c r="K25" s="83">
        <v>3.7516951469223887</v>
      </c>
      <c r="L25" s="37">
        <v>2.5011300979482591</v>
      </c>
      <c r="M25" s="37">
        <v>1.2505650489741296</v>
      </c>
      <c r="N25" s="40">
        <v>2.5011300979482591</v>
      </c>
      <c r="O25" s="37">
        <v>1.2505650489741296</v>
      </c>
      <c r="P25" s="38">
        <v>1.2505650489741296</v>
      </c>
      <c r="Q25" s="37">
        <v>1.2505650489741296</v>
      </c>
      <c r="R25" s="37">
        <v>1.2505650489741296</v>
      </c>
      <c r="S25" s="61">
        <v>0</v>
      </c>
      <c r="T25" s="37">
        <v>3.8778732048266291</v>
      </c>
      <c r="U25" s="37">
        <v>2.5852488032177527</v>
      </c>
      <c r="V25" s="37">
        <v>1.2926244016088764</v>
      </c>
      <c r="W25" s="40">
        <v>2.5852488032177527</v>
      </c>
      <c r="X25" s="37">
        <v>1.2926244016088764</v>
      </c>
      <c r="Y25" s="38">
        <v>1.2926244016088764</v>
      </c>
      <c r="Z25" s="37">
        <v>1.2926244016088764</v>
      </c>
      <c r="AA25" s="37">
        <v>1.2926244016088764</v>
      </c>
      <c r="AB25" s="61">
        <v>0</v>
      </c>
    </row>
    <row r="26" spans="1:28" s="3" customFormat="1" ht="14.25" customHeight="1" x14ac:dyDescent="0.2">
      <c r="A26" s="51" t="s">
        <v>64</v>
      </c>
      <c r="B26" s="100">
        <v>15696.242295343494</v>
      </c>
      <c r="C26" s="101">
        <v>7799.5689042794338</v>
      </c>
      <c r="D26" s="101">
        <v>7896.673391064618</v>
      </c>
      <c r="E26" s="153">
        <v>10021.557818104044</v>
      </c>
      <c r="F26" s="101">
        <v>5095.1991145083193</v>
      </c>
      <c r="G26" s="155">
        <v>4926.3587035972223</v>
      </c>
      <c r="H26" s="101">
        <v>5674.6844772385148</v>
      </c>
      <c r="I26" s="101">
        <v>2704.3697897710931</v>
      </c>
      <c r="J26" s="93">
        <v>2970.3146874673689</v>
      </c>
      <c r="K26" s="53">
        <v>16225.704393098295</v>
      </c>
      <c r="L26" s="53">
        <v>8062.662199856265</v>
      </c>
      <c r="M26" s="156">
        <v>8163.0421932440122</v>
      </c>
      <c r="N26" s="53">
        <v>10359.602741553945</v>
      </c>
      <c r="O26" s="53">
        <v>5267.0692195239562</v>
      </c>
      <c r="P26" s="156">
        <v>5092.5335220298666</v>
      </c>
      <c r="Q26" s="53">
        <v>5866.1016515463161</v>
      </c>
      <c r="R26" s="53">
        <v>2795.5929803321565</v>
      </c>
      <c r="S26" s="151">
        <v>3070.5086712139928</v>
      </c>
      <c r="T26" s="53">
        <v>16771.411810221412</v>
      </c>
      <c r="U26" s="53">
        <v>8333.8279044452465</v>
      </c>
      <c r="V26" s="53">
        <v>8437.583905776688</v>
      </c>
      <c r="W26" s="158">
        <v>10708.019791288223</v>
      </c>
      <c r="X26" s="53">
        <v>5444.2127610276493</v>
      </c>
      <c r="Y26" s="53">
        <v>5263.8070302599554</v>
      </c>
      <c r="Z26" s="158">
        <v>6063.392018933645</v>
      </c>
      <c r="AA26" s="53">
        <v>2889.6151434170815</v>
      </c>
      <c r="AB26" s="151">
        <v>3173.7768755161214</v>
      </c>
    </row>
    <row r="27" spans="1:28" s="3" customFormat="1" ht="12" customHeight="1" x14ac:dyDescent="0.2">
      <c r="A27" s="51" t="s">
        <v>22</v>
      </c>
      <c r="B27" s="97">
        <v>697.03554102186899</v>
      </c>
      <c r="C27" s="97">
        <v>395.68098374352428</v>
      </c>
      <c r="D27" s="98">
        <v>301.35455727834864</v>
      </c>
      <c r="E27" s="97">
        <v>576.98372552074193</v>
      </c>
      <c r="F27" s="97">
        <v>328.30496483982739</v>
      </c>
      <c r="G27" s="98">
        <v>248.67876068091303</v>
      </c>
      <c r="H27" s="97">
        <v>120.05181550113096</v>
      </c>
      <c r="I27" s="97">
        <v>67.376018903695822</v>
      </c>
      <c r="J27" s="99">
        <v>52.675796597434918</v>
      </c>
      <c r="K27" s="42">
        <v>720.54778636159142</v>
      </c>
      <c r="L27" s="42">
        <v>409.02800526325831</v>
      </c>
      <c r="M27" s="42">
        <v>311.51978109833288</v>
      </c>
      <c r="N27" s="45">
        <v>596.44641015168634</v>
      </c>
      <c r="O27" s="42">
        <v>339.37927371688301</v>
      </c>
      <c r="P27" s="43">
        <v>257.0671364348031</v>
      </c>
      <c r="Q27" s="42">
        <v>124.10137620990481</v>
      </c>
      <c r="R27" s="42">
        <v>69.648731546375032</v>
      </c>
      <c r="S27" s="44">
        <v>54.452644663529561</v>
      </c>
      <c r="T27" s="42">
        <v>744.78145054533968</v>
      </c>
      <c r="U27" s="42">
        <v>422.7845492550822</v>
      </c>
      <c r="V27" s="42">
        <v>321.99690129024867</v>
      </c>
      <c r="W27" s="45">
        <v>616.50626222645508</v>
      </c>
      <c r="X27" s="42">
        <v>350.79337213734397</v>
      </c>
      <c r="Y27" s="43">
        <v>265.71289008910787</v>
      </c>
      <c r="Z27" s="42">
        <v>128.27518831888034</v>
      </c>
      <c r="AA27" s="42">
        <v>71.991177117738928</v>
      </c>
      <c r="AB27" s="44">
        <v>56.284011201141332</v>
      </c>
    </row>
    <row r="28" spans="1:28" ht="12" customHeight="1" thickBot="1" x14ac:dyDescent="0.25">
      <c r="A28" s="52" t="s">
        <v>21</v>
      </c>
      <c r="B28" s="150">
        <v>12795.221040743831</v>
      </c>
      <c r="C28" s="150">
        <v>6904.3056932801446</v>
      </c>
      <c r="D28" s="154">
        <v>5890.915347465384</v>
      </c>
      <c r="E28" s="150">
        <v>9779.2650148266021</v>
      </c>
      <c r="F28" s="150">
        <v>5398.4013961121327</v>
      </c>
      <c r="G28" s="154">
        <v>4380.863618714724</v>
      </c>
      <c r="H28" s="150">
        <v>3015.9560259181471</v>
      </c>
      <c r="I28" s="150">
        <v>1505.9042971677779</v>
      </c>
      <c r="J28" s="152">
        <v>1510.051728750426</v>
      </c>
      <c r="K28" s="150">
        <v>13226.826545173129</v>
      </c>
      <c r="L28" s="150">
        <v>7137.2001725525142</v>
      </c>
      <c r="M28" s="150">
        <v>6089.6263726190737</v>
      </c>
      <c r="N28" s="157">
        <v>10109.136972193719</v>
      </c>
      <c r="O28" s="150">
        <v>5580.4990519669927</v>
      </c>
      <c r="P28" s="159">
        <v>4528.6379202260778</v>
      </c>
      <c r="Q28" s="150">
        <v>3117.6895729783942</v>
      </c>
      <c r="R28" s="150">
        <v>1556.7011205854558</v>
      </c>
      <c r="S28" s="152">
        <v>1560.9884523929295</v>
      </c>
      <c r="T28" s="150">
        <v>13671.674865823366</v>
      </c>
      <c r="U28" s="150">
        <v>7377.2404800344948</v>
      </c>
      <c r="V28" s="150">
        <v>6294.4343857886633</v>
      </c>
      <c r="W28" s="157">
        <v>10449.130287291115</v>
      </c>
      <c r="X28" s="150">
        <v>5768.1839530419702</v>
      </c>
      <c r="Y28" s="154">
        <v>4680.9463342491936</v>
      </c>
      <c r="Z28" s="150">
        <v>3222.5445785322586</v>
      </c>
      <c r="AA28" s="150">
        <v>1609.056526992624</v>
      </c>
      <c r="AB28" s="152">
        <v>1613.4880515396121</v>
      </c>
    </row>
    <row r="29" spans="1:28" x14ac:dyDescent="0.2">
      <c r="A29" s="57" t="s">
        <v>82</v>
      </c>
    </row>
    <row r="30" spans="1:28" x14ac:dyDescent="0.2">
      <c r="B30" s="186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0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1" customWidth="1"/>
    <col min="2" max="16384" width="9.140625" style="1"/>
  </cols>
  <sheetData>
    <row r="1" spans="1:28" s="3" customFormat="1" ht="30" customHeight="1" thickBot="1" x14ac:dyDescent="0.25">
      <c r="A1" s="58" t="s">
        <v>76</v>
      </c>
      <c r="B1" s="56"/>
      <c r="C1" s="56"/>
      <c r="D1" s="56"/>
      <c r="E1" s="56"/>
      <c r="F1" s="56"/>
      <c r="G1" s="56"/>
      <c r="H1" s="56"/>
      <c r="I1" s="56"/>
      <c r="J1" s="56"/>
    </row>
    <row r="2" spans="1:28" s="3" customFormat="1" ht="11.1" customHeight="1" x14ac:dyDescent="0.2">
      <c r="A2" s="256" t="s">
        <v>34</v>
      </c>
      <c r="B2" s="259" t="s">
        <v>37</v>
      </c>
      <c r="C2" s="259"/>
      <c r="D2" s="259"/>
      <c r="E2" s="259"/>
      <c r="F2" s="259"/>
      <c r="G2" s="259"/>
      <c r="H2" s="259"/>
      <c r="I2" s="259"/>
      <c r="J2" s="260"/>
      <c r="K2" s="259" t="s">
        <v>38</v>
      </c>
      <c r="L2" s="259"/>
      <c r="M2" s="259"/>
      <c r="N2" s="259"/>
      <c r="O2" s="259"/>
      <c r="P2" s="259"/>
      <c r="Q2" s="259"/>
      <c r="R2" s="259"/>
      <c r="S2" s="260"/>
      <c r="T2" s="259" t="s">
        <v>39</v>
      </c>
      <c r="U2" s="259"/>
      <c r="V2" s="259"/>
      <c r="W2" s="259"/>
      <c r="X2" s="259"/>
      <c r="Y2" s="259"/>
      <c r="Z2" s="259"/>
      <c r="AA2" s="259"/>
      <c r="AB2" s="260"/>
    </row>
    <row r="3" spans="1:28" s="3" customFormat="1" ht="17.25" customHeight="1" thickBot="1" x14ac:dyDescent="0.25">
      <c r="A3" s="257"/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10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s="3" customFormat="1" ht="12.75" customHeight="1" thickBot="1" x14ac:dyDescent="0.25">
      <c r="A4" s="258"/>
      <c r="B4" s="7" t="s">
        <v>0</v>
      </c>
      <c r="C4" s="8" t="s">
        <v>3</v>
      </c>
      <c r="D4" s="15" t="s">
        <v>4</v>
      </c>
      <c r="E4" s="16" t="s">
        <v>0</v>
      </c>
      <c r="F4" s="8" t="s">
        <v>3</v>
      </c>
      <c r="G4" s="15" t="s">
        <v>4</v>
      </c>
      <c r="H4" s="16" t="s">
        <v>0</v>
      </c>
      <c r="I4" s="8" t="s">
        <v>3</v>
      </c>
      <c r="J4" s="17" t="s">
        <v>4</v>
      </c>
      <c r="K4" s="7" t="s">
        <v>0</v>
      </c>
      <c r="L4" s="8" t="s">
        <v>3</v>
      </c>
      <c r="M4" s="8" t="s">
        <v>4</v>
      </c>
      <c r="N4" s="18" t="s">
        <v>0</v>
      </c>
      <c r="O4" s="19" t="s">
        <v>3</v>
      </c>
      <c r="P4" s="20" t="s">
        <v>4</v>
      </c>
      <c r="Q4" s="16" t="s">
        <v>0</v>
      </c>
      <c r="R4" s="8" t="s">
        <v>3</v>
      </c>
      <c r="S4" s="17" t="s">
        <v>4</v>
      </c>
      <c r="T4" s="7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s="3" customFormat="1" ht="16.5" customHeight="1" thickBot="1" x14ac:dyDescent="0.25">
      <c r="A5" s="21" t="s">
        <v>69</v>
      </c>
      <c r="B5" s="22">
        <f>+B6+B7+B8+B9+B10+B11+B12+B13+B14+B15+B16+B17+B18+B19+B20+B21+B22+B23+B24+B25</f>
        <v>42290.618769164634</v>
      </c>
      <c r="C5" s="22">
        <f t="shared" ref="C5:AB5" si="0">+C6+C7+C8+C9+C10+C11+C12+C13+C14+C15+C16+C17+C18+C19+C20+C21+C22+C23+C24+C25</f>
        <v>21035.234541210535</v>
      </c>
      <c r="D5" s="25">
        <f t="shared" si="0"/>
        <v>21255.384227954386</v>
      </c>
      <c r="E5" s="22">
        <f t="shared" si="0"/>
        <v>20147.60799095262</v>
      </c>
      <c r="F5" s="22">
        <f t="shared" si="0"/>
        <v>9976.199250277019</v>
      </c>
      <c r="G5" s="25">
        <f t="shared" si="0"/>
        <v>10171.408740675623</v>
      </c>
      <c r="H5" s="22">
        <f t="shared" si="0"/>
        <v>22143.010778212301</v>
      </c>
      <c r="I5" s="22">
        <f t="shared" si="0"/>
        <v>11059.035290933443</v>
      </c>
      <c r="J5" s="82">
        <f t="shared" si="0"/>
        <v>11083.975487278751</v>
      </c>
      <c r="K5" s="22">
        <f t="shared" si="0"/>
        <v>43717.156363807408</v>
      </c>
      <c r="L5" s="22">
        <f t="shared" si="0"/>
        <v>21744.790318791944</v>
      </c>
      <c r="M5" s="22">
        <f t="shared" si="0"/>
        <v>21972.366045015158</v>
      </c>
      <c r="N5" s="23">
        <f t="shared" si="0"/>
        <v>20827.222550344319</v>
      </c>
      <c r="O5" s="22">
        <f t="shared" si="0"/>
        <v>10312.714148766341</v>
      </c>
      <c r="P5" s="25">
        <f t="shared" si="0"/>
        <v>10514.508401577708</v>
      </c>
      <c r="Q5" s="22">
        <f t="shared" si="0"/>
        <v>22889.933813462776</v>
      </c>
      <c r="R5" s="22">
        <f t="shared" si="0"/>
        <v>11432.076170025255</v>
      </c>
      <c r="S5" s="82">
        <f t="shared" si="0"/>
        <v>11457.857643437193</v>
      </c>
      <c r="T5" s="22">
        <f t="shared" si="0"/>
        <v>45187.463963723269</v>
      </c>
      <c r="U5" s="22">
        <f t="shared" si="0"/>
        <v>22476.117173589941</v>
      </c>
      <c r="V5" s="22">
        <f t="shared" si="0"/>
        <v>22711.346790131196</v>
      </c>
      <c r="W5" s="23">
        <f t="shared" si="0"/>
        <v>21527.689509952532</v>
      </c>
      <c r="X5" s="22">
        <f t="shared" si="0"/>
        <v>10659.554228264882</v>
      </c>
      <c r="Y5" s="22">
        <f t="shared" si="0"/>
        <v>10868.135281687391</v>
      </c>
      <c r="Z5" s="23">
        <f t="shared" si="0"/>
        <v>23659.774453768598</v>
      </c>
      <c r="AA5" s="22">
        <f t="shared" si="0"/>
        <v>11816.562945324771</v>
      </c>
      <c r="AB5" s="82">
        <f t="shared" si="0"/>
        <v>11843.211508443525</v>
      </c>
    </row>
    <row r="6" spans="1:28" s="3" customFormat="1" ht="12" customHeight="1" x14ac:dyDescent="0.2">
      <c r="A6" s="26" t="s">
        <v>5</v>
      </c>
      <c r="B6" s="27">
        <v>6057.1967993295093</v>
      </c>
      <c r="C6" s="27">
        <v>2963.5372095535959</v>
      </c>
      <c r="D6" s="28">
        <v>3093.659589775506</v>
      </c>
      <c r="E6" s="27">
        <v>2798.7155279391764</v>
      </c>
      <c r="F6" s="27">
        <v>1394.4781747111997</v>
      </c>
      <c r="G6" s="28">
        <v>1404.2373532278409</v>
      </c>
      <c r="H6" s="27">
        <v>3258.4812713899255</v>
      </c>
      <c r="I6" s="27">
        <v>1569.0590348422259</v>
      </c>
      <c r="J6" s="29">
        <v>1689.4222365474675</v>
      </c>
      <c r="K6" s="27">
        <v>6261.5167928374767</v>
      </c>
      <c r="L6" s="27">
        <v>3063.5025769467966</v>
      </c>
      <c r="M6" s="27">
        <v>3198.0142158906738</v>
      </c>
      <c r="N6" s="30">
        <v>2893.1211676178855</v>
      </c>
      <c r="O6" s="27">
        <v>1441.5163973485444</v>
      </c>
      <c r="P6" s="28">
        <v>1451.6047702693352</v>
      </c>
      <c r="Q6" s="27">
        <v>3368.3956252195849</v>
      </c>
      <c r="R6" s="27">
        <v>1621.9861795982463</v>
      </c>
      <c r="S6" s="29">
        <v>1746.4094456213327</v>
      </c>
      <c r="T6" s="27">
        <v>6472.1058725778457</v>
      </c>
      <c r="U6" s="27">
        <v>3166.5351503317102</v>
      </c>
      <c r="V6" s="27">
        <v>3305.5707222452834</v>
      </c>
      <c r="W6" s="30">
        <v>2990.4234259078507</v>
      </c>
      <c r="X6" s="27">
        <v>1489.9978790072064</v>
      </c>
      <c r="Y6" s="28">
        <v>1500.4255469007244</v>
      </c>
      <c r="Z6" s="27">
        <v>3481.6824466691428</v>
      </c>
      <c r="AA6" s="27">
        <v>1676.5372713245838</v>
      </c>
      <c r="AB6" s="29">
        <v>1805.145175344639</v>
      </c>
    </row>
    <row r="7" spans="1:28" s="3" customFormat="1" ht="12" customHeight="1" x14ac:dyDescent="0.2">
      <c r="A7" s="26" t="s">
        <v>6</v>
      </c>
      <c r="B7" s="27">
        <v>5807.376775785443</v>
      </c>
      <c r="C7" s="27">
        <v>2964.2533168806826</v>
      </c>
      <c r="D7" s="28">
        <v>2843.1234589048368</v>
      </c>
      <c r="E7" s="27">
        <v>2836.2670518496002</v>
      </c>
      <c r="F7" s="27">
        <v>1440.9882161089604</v>
      </c>
      <c r="G7" s="28">
        <v>1395.2788357407167</v>
      </c>
      <c r="H7" s="27">
        <v>2971.1097239359192</v>
      </c>
      <c r="I7" s="27">
        <v>1523.2651007717991</v>
      </c>
      <c r="J7" s="29">
        <v>1447.8446231641969</v>
      </c>
      <c r="K7" s="27">
        <v>6003.2698967199267</v>
      </c>
      <c r="L7" s="27">
        <v>3064.2428398446596</v>
      </c>
      <c r="M7" s="27">
        <v>2939.0270568748933</v>
      </c>
      <c r="N7" s="30">
        <v>2931.939371046416</v>
      </c>
      <c r="O7" s="27">
        <v>1489.595304951386</v>
      </c>
      <c r="P7" s="28">
        <v>1442.3440660948795</v>
      </c>
      <c r="Q7" s="27">
        <v>3071.3305256731369</v>
      </c>
      <c r="R7" s="27">
        <v>1574.6475348930976</v>
      </c>
      <c r="S7" s="29">
        <v>1496.6829907798619</v>
      </c>
      <c r="T7" s="27">
        <v>6205.173544798592</v>
      </c>
      <c r="U7" s="27">
        <v>3167.3003099580455</v>
      </c>
      <c r="V7" s="27">
        <v>3037.8732348402409</v>
      </c>
      <c r="W7" s="30">
        <v>3030.5471739845161</v>
      </c>
      <c r="X7" s="27">
        <v>1539.693789844616</v>
      </c>
      <c r="Y7" s="28">
        <v>1490.8533841397932</v>
      </c>
      <c r="Z7" s="27">
        <v>3174.6263708137703</v>
      </c>
      <c r="AA7" s="27">
        <v>1627.6065201132972</v>
      </c>
      <c r="AB7" s="29">
        <v>1547.0198507003395</v>
      </c>
    </row>
    <row r="8" spans="1:28" s="3" customFormat="1" ht="12" customHeight="1" x14ac:dyDescent="0.2">
      <c r="A8" s="26" t="s">
        <v>7</v>
      </c>
      <c r="B8" s="27">
        <v>5058.8856722554519</v>
      </c>
      <c r="C8" s="27">
        <v>2629.4321056832973</v>
      </c>
      <c r="D8" s="28">
        <v>2429.453566572231</v>
      </c>
      <c r="E8" s="27">
        <v>2414.5980179525518</v>
      </c>
      <c r="F8" s="27">
        <v>1217.0122523045661</v>
      </c>
      <c r="G8" s="28">
        <v>1197.5857656480625</v>
      </c>
      <c r="H8" s="27">
        <v>2644.2876543029765</v>
      </c>
      <c r="I8" s="27">
        <v>1412.4198533788081</v>
      </c>
      <c r="J8" s="29">
        <v>1231.8678009242453</v>
      </c>
      <c r="K8" s="27">
        <v>5229.5308604444845</v>
      </c>
      <c r="L8" s="27">
        <v>2718.1275152206831</v>
      </c>
      <c r="M8" s="27">
        <v>2511.4033452234276</v>
      </c>
      <c r="N8" s="30">
        <v>2496.04669259506</v>
      </c>
      <c r="O8" s="27">
        <v>1258.0642345545043</v>
      </c>
      <c r="P8" s="28">
        <v>1237.9824580404891</v>
      </c>
      <c r="Q8" s="27">
        <v>2733.4841678490507</v>
      </c>
      <c r="R8" s="27">
        <v>1460.0632806660694</v>
      </c>
      <c r="S8" s="29">
        <v>1273.4208871828689</v>
      </c>
      <c r="T8" s="27">
        <v>5405.4119013819691</v>
      </c>
      <c r="U8" s="27">
        <v>2809.5443381701516</v>
      </c>
      <c r="V8" s="27">
        <v>2595.8675632115119</v>
      </c>
      <c r="W8" s="30">
        <v>2579.9944313574415</v>
      </c>
      <c r="X8" s="27">
        <v>1300.3758018909841</v>
      </c>
      <c r="Y8" s="28">
        <v>1279.6186294664344</v>
      </c>
      <c r="Z8" s="27">
        <v>2825.417470024222</v>
      </c>
      <c r="AA8" s="27">
        <v>1509.1685362791018</v>
      </c>
      <c r="AB8" s="29">
        <v>1316.2489337450515</v>
      </c>
    </row>
    <row r="9" spans="1:28" s="3" customFormat="1" ht="12" customHeight="1" x14ac:dyDescent="0.2">
      <c r="A9" s="26" t="s">
        <v>8</v>
      </c>
      <c r="B9" s="27">
        <v>4682.0208045438258</v>
      </c>
      <c r="C9" s="27">
        <v>2212.3834570922977</v>
      </c>
      <c r="D9" s="28">
        <v>2469.6373474518318</v>
      </c>
      <c r="E9" s="27">
        <v>2321.4101058637193</v>
      </c>
      <c r="F9" s="27">
        <v>1096.3915803419516</v>
      </c>
      <c r="G9" s="28">
        <v>1225.0185255217425</v>
      </c>
      <c r="H9" s="27">
        <v>2360.6106986804102</v>
      </c>
      <c r="I9" s="27">
        <v>1115.9918767503007</v>
      </c>
      <c r="J9" s="29">
        <v>1244.6188219300916</v>
      </c>
      <c r="K9" s="27">
        <v>4839.9536721857967</v>
      </c>
      <c r="L9" s="27">
        <v>2287.0110758682076</v>
      </c>
      <c r="M9" s="27">
        <v>2552.9425963179565</v>
      </c>
      <c r="N9" s="30">
        <v>2399.7153869159583</v>
      </c>
      <c r="O9" s="27">
        <v>1133.3748133455613</v>
      </c>
      <c r="P9" s="28">
        <v>1266.3405735704596</v>
      </c>
      <c r="Q9" s="27">
        <v>2440.2382852702058</v>
      </c>
      <c r="R9" s="27">
        <v>1153.6362625226886</v>
      </c>
      <c r="S9" s="29">
        <v>1286.6020227475869</v>
      </c>
      <c r="T9" s="27">
        <v>5002.7323444366457</v>
      </c>
      <c r="U9" s="27">
        <v>2363.9284704479337</v>
      </c>
      <c r="V9" s="27">
        <v>2638.8038739884246</v>
      </c>
      <c r="W9" s="30">
        <v>2480.4232843293798</v>
      </c>
      <c r="X9" s="27">
        <v>1171.4927912795756</v>
      </c>
      <c r="Y9" s="28">
        <v>1308.9304930497972</v>
      </c>
      <c r="Z9" s="27">
        <v>2522.3090601069784</v>
      </c>
      <c r="AA9" s="27">
        <v>1192.4356791683713</v>
      </c>
      <c r="AB9" s="29">
        <v>1329.8733809385928</v>
      </c>
    </row>
    <row r="10" spans="1:28" s="3" customFormat="1" ht="12" customHeight="1" x14ac:dyDescent="0.2">
      <c r="A10" s="26" t="s">
        <v>9</v>
      </c>
      <c r="B10" s="27">
        <v>4431.9120021309318</v>
      </c>
      <c r="C10" s="27">
        <v>2121.1290550740518</v>
      </c>
      <c r="D10" s="28">
        <v>2310.7829470571119</v>
      </c>
      <c r="E10" s="27">
        <v>2280.8375956913656</v>
      </c>
      <c r="F10" s="27">
        <v>1079.2803721406181</v>
      </c>
      <c r="G10" s="28">
        <v>1201.5572235507711</v>
      </c>
      <c r="H10" s="27">
        <v>2151.0744064397982</v>
      </c>
      <c r="I10" s="27">
        <v>1041.8486829334283</v>
      </c>
      <c r="J10" s="29">
        <v>1109.2257235063698</v>
      </c>
      <c r="K10" s="27">
        <v>4581.4082561751429</v>
      </c>
      <c r="L10" s="27">
        <v>2192.6785009846803</v>
      </c>
      <c r="M10" s="27">
        <v>2388.7297551903771</v>
      </c>
      <c r="N10" s="30">
        <v>2357.7742940000039</v>
      </c>
      <c r="O10" s="27">
        <v>1115.6864137362807</v>
      </c>
      <c r="P10" s="28">
        <v>1242.0878802636378</v>
      </c>
      <c r="Q10" s="27">
        <v>2223.6339621750535</v>
      </c>
      <c r="R10" s="27">
        <v>1076.9920872483142</v>
      </c>
      <c r="S10" s="29">
        <v>1146.6418749266538</v>
      </c>
      <c r="T10" s="27">
        <v>4735.4914568596751</v>
      </c>
      <c r="U10" s="27">
        <v>2266.4232760870827</v>
      </c>
      <c r="V10" s="27">
        <v>2469.0681807725223</v>
      </c>
      <c r="W10" s="30">
        <v>2437.0716168748213</v>
      </c>
      <c r="X10" s="27">
        <v>1153.2094904795695</v>
      </c>
      <c r="Y10" s="28">
        <v>1283.8621263951818</v>
      </c>
      <c r="Z10" s="27">
        <v>2298.4198399847837</v>
      </c>
      <c r="AA10" s="27">
        <v>1113.2137856074432</v>
      </c>
      <c r="AB10" s="29">
        <v>1185.2060543772704</v>
      </c>
    </row>
    <row r="11" spans="1:28" s="3" customFormat="1" ht="12" customHeight="1" x14ac:dyDescent="0.2">
      <c r="A11" s="31" t="s">
        <v>10</v>
      </c>
      <c r="B11" s="27">
        <v>3437.4767921933171</v>
      </c>
      <c r="C11" s="27">
        <v>1719.3622575835623</v>
      </c>
      <c r="D11" s="28">
        <v>1718.1145346099893</v>
      </c>
      <c r="E11" s="32">
        <v>1854.1163387294453</v>
      </c>
      <c r="F11" s="32">
        <v>895.86509502538843</v>
      </c>
      <c r="G11" s="33">
        <v>958.25124370403796</v>
      </c>
      <c r="H11" s="32">
        <v>1583.3604534641063</v>
      </c>
      <c r="I11" s="32">
        <v>823.49716255815497</v>
      </c>
      <c r="J11" s="34">
        <v>759.86329090593244</v>
      </c>
      <c r="K11" s="27">
        <v>3553.4289824781677</v>
      </c>
      <c r="L11" s="27">
        <v>1777.3593966805072</v>
      </c>
      <c r="M11" s="27">
        <v>1776.069585797575</v>
      </c>
      <c r="N11" s="35">
        <v>1916.6589720371865</v>
      </c>
      <c r="O11" s="32">
        <v>926.08421394525362</v>
      </c>
      <c r="P11" s="33">
        <v>990.57475809185871</v>
      </c>
      <c r="Q11" s="32">
        <v>1636.7700104408957</v>
      </c>
      <c r="R11" s="32">
        <v>851.27518273519172</v>
      </c>
      <c r="S11" s="34">
        <v>785.49482770565453</v>
      </c>
      <c r="T11" s="27">
        <v>3672.9388974235217</v>
      </c>
      <c r="U11" s="27">
        <v>1837.1360437929279</v>
      </c>
      <c r="V11" s="27">
        <v>1835.8028536305237</v>
      </c>
      <c r="W11" s="35">
        <v>1981.1205813325823</v>
      </c>
      <c r="X11" s="32">
        <v>957.23053660615676</v>
      </c>
      <c r="Y11" s="33">
        <v>1023.8900447263615</v>
      </c>
      <c r="Z11" s="32">
        <v>1691.8183160908693</v>
      </c>
      <c r="AA11" s="32">
        <v>879.90550718671932</v>
      </c>
      <c r="AB11" s="34">
        <v>811.91280890411053</v>
      </c>
    </row>
    <row r="12" spans="1:28" s="3" customFormat="1" ht="12" customHeight="1" x14ac:dyDescent="0.2">
      <c r="A12" s="31" t="s">
        <v>11</v>
      </c>
      <c r="B12" s="32">
        <v>2958.1495604122397</v>
      </c>
      <c r="C12" s="32">
        <v>1545.5718131005087</v>
      </c>
      <c r="D12" s="33">
        <v>1412.5777473115766</v>
      </c>
      <c r="E12" s="27">
        <v>1548.154222144954</v>
      </c>
      <c r="F12" s="27">
        <v>832.82691683360997</v>
      </c>
      <c r="G12" s="28">
        <v>715.32730531134951</v>
      </c>
      <c r="H12" s="27">
        <v>1409.9953382671313</v>
      </c>
      <c r="I12" s="27">
        <v>712.74489626690422</v>
      </c>
      <c r="J12" s="29">
        <v>697.25044200023251</v>
      </c>
      <c r="K12" s="32">
        <v>3057.9331928420283</v>
      </c>
      <c r="L12" s="32">
        <v>1597.7066922007846</v>
      </c>
      <c r="M12" s="32">
        <v>1460.2265006413256</v>
      </c>
      <c r="N12" s="30">
        <v>1600.3762104834925</v>
      </c>
      <c r="O12" s="27">
        <v>860.91964617337908</v>
      </c>
      <c r="P12" s="28">
        <v>739.45656431015743</v>
      </c>
      <c r="Q12" s="27">
        <v>1457.5569823586177</v>
      </c>
      <c r="R12" s="27">
        <v>736.78704602744926</v>
      </c>
      <c r="S12" s="29">
        <v>720.76993633120026</v>
      </c>
      <c r="T12" s="32">
        <v>3160.7784551473487</v>
      </c>
      <c r="U12" s="32">
        <v>1651.4412094331228</v>
      </c>
      <c r="V12" s="32">
        <v>1509.3372457141418</v>
      </c>
      <c r="W12" s="30">
        <v>1654.2005096995108</v>
      </c>
      <c r="X12" s="27">
        <v>889.87433591005106</v>
      </c>
      <c r="Y12" s="28">
        <v>764.32617378940824</v>
      </c>
      <c r="Z12" s="27">
        <v>1506.5779454477538</v>
      </c>
      <c r="AA12" s="27">
        <v>761.56687352302049</v>
      </c>
      <c r="AB12" s="29">
        <v>745.01107192469397</v>
      </c>
    </row>
    <row r="13" spans="1:28" s="3" customFormat="1" ht="12" customHeight="1" x14ac:dyDescent="0.2">
      <c r="A13" s="31" t="s">
        <v>12</v>
      </c>
      <c r="B13" s="32">
        <v>1997.4933958784336</v>
      </c>
      <c r="C13" s="32">
        <v>954.20014192253836</v>
      </c>
      <c r="D13" s="33">
        <v>1043.2932539559008</v>
      </c>
      <c r="E13" s="32">
        <v>949.03532383364779</v>
      </c>
      <c r="F13" s="32">
        <v>464.83362800015686</v>
      </c>
      <c r="G13" s="33">
        <v>484.2016958334965</v>
      </c>
      <c r="H13" s="32">
        <v>1048.4580720447914</v>
      </c>
      <c r="I13" s="32">
        <v>489.36651392238707</v>
      </c>
      <c r="J13" s="34">
        <v>559.09155812240977</v>
      </c>
      <c r="K13" s="32">
        <v>2064.8723916746744</v>
      </c>
      <c r="L13" s="32">
        <v>986.38700546066298</v>
      </c>
      <c r="M13" s="32">
        <v>1078.4853862140901</v>
      </c>
      <c r="N13" s="35">
        <v>981.04796889524664</v>
      </c>
      <c r="O13" s="32">
        <v>480.51329088746513</v>
      </c>
      <c r="P13" s="33">
        <v>500.53467800777639</v>
      </c>
      <c r="Q13" s="32">
        <v>1083.824422779506</v>
      </c>
      <c r="R13" s="32">
        <v>505.87371457319273</v>
      </c>
      <c r="S13" s="34">
        <v>577.95070820631327</v>
      </c>
      <c r="T13" s="32">
        <v>2134.3187560510196</v>
      </c>
      <c r="U13" s="32">
        <v>1019.5614484302755</v>
      </c>
      <c r="V13" s="32">
        <v>1114.7573076206604</v>
      </c>
      <c r="W13" s="35">
        <v>1014.0428478975</v>
      </c>
      <c r="X13" s="32">
        <v>496.67404794979603</v>
      </c>
      <c r="Y13" s="33">
        <v>517.36879994770425</v>
      </c>
      <c r="Z13" s="32">
        <v>1120.2759081534364</v>
      </c>
      <c r="AA13" s="32">
        <v>522.88740048047976</v>
      </c>
      <c r="AB13" s="34">
        <v>597.38850767294912</v>
      </c>
    </row>
    <row r="14" spans="1:28" s="3" customFormat="1" ht="12" customHeight="1" x14ac:dyDescent="0.2">
      <c r="A14" s="31" t="s">
        <v>13</v>
      </c>
      <c r="B14" s="32">
        <v>1741.8349004783504</v>
      </c>
      <c r="C14" s="32">
        <v>912.8815972114138</v>
      </c>
      <c r="D14" s="33">
        <v>828.95330326694204</v>
      </c>
      <c r="E14" s="32">
        <v>797.96439473359862</v>
      </c>
      <c r="F14" s="32">
        <v>415.76785615569645</v>
      </c>
      <c r="G14" s="33">
        <v>382.19653857790775</v>
      </c>
      <c r="H14" s="32">
        <v>943.87050574475722</v>
      </c>
      <c r="I14" s="32">
        <v>497.11374105572293</v>
      </c>
      <c r="J14" s="34">
        <v>446.75676468903987</v>
      </c>
      <c r="K14" s="32">
        <v>1800.5900816865881</v>
      </c>
      <c r="L14" s="32">
        <v>943.67471293733229</v>
      </c>
      <c r="M14" s="32">
        <v>856.91536874931683</v>
      </c>
      <c r="N14" s="35">
        <v>824.88114935681881</v>
      </c>
      <c r="O14" s="32">
        <v>429.79244351600994</v>
      </c>
      <c r="P14" s="33">
        <v>395.08870584080375</v>
      </c>
      <c r="Q14" s="32">
        <v>975.7089323298303</v>
      </c>
      <c r="R14" s="32">
        <v>513.88226942131723</v>
      </c>
      <c r="S14" s="34">
        <v>461.82666290850796</v>
      </c>
      <c r="T14" s="32">
        <v>1861.1480296786094</v>
      </c>
      <c r="U14" s="32">
        <v>975.41264416807144</v>
      </c>
      <c r="V14" s="32">
        <v>885.73538551046943</v>
      </c>
      <c r="W14" s="35">
        <v>852.62378231381638</v>
      </c>
      <c r="X14" s="32">
        <v>444.2473428884287</v>
      </c>
      <c r="Y14" s="33">
        <v>408.3764394253879</v>
      </c>
      <c r="Z14" s="32">
        <v>1008.5242473647245</v>
      </c>
      <c r="AA14" s="32">
        <v>531.16530127964302</v>
      </c>
      <c r="AB14" s="34">
        <v>477.35894608508175</v>
      </c>
    </row>
    <row r="15" spans="1:28" s="3" customFormat="1" ht="12" customHeight="1" x14ac:dyDescent="0.2">
      <c r="A15" s="31" t="s">
        <v>14</v>
      </c>
      <c r="B15" s="32">
        <v>1341.7014512251428</v>
      </c>
      <c r="C15" s="32">
        <v>677.51681231693078</v>
      </c>
      <c r="D15" s="33">
        <v>664.1846389081893</v>
      </c>
      <c r="E15" s="32">
        <v>555.10322010939535</v>
      </c>
      <c r="F15" s="32">
        <v>299.36789381445504</v>
      </c>
      <c r="G15" s="33">
        <v>255.73532629493948</v>
      </c>
      <c r="H15" s="32">
        <v>786.59823111572473</v>
      </c>
      <c r="I15" s="32">
        <v>378.1489185024692</v>
      </c>
      <c r="J15" s="34">
        <v>408.44931261324388</v>
      </c>
      <c r="K15" s="32">
        <v>1386.9594213532926</v>
      </c>
      <c r="L15" s="32">
        <v>700.37065631119526</v>
      </c>
      <c r="M15" s="32">
        <v>686.58876504210207</v>
      </c>
      <c r="N15" s="35">
        <v>573.82783647679412</v>
      </c>
      <c r="O15" s="32">
        <v>309.46610395146098</v>
      </c>
      <c r="P15" s="33">
        <v>264.3617325253378</v>
      </c>
      <c r="Q15" s="32">
        <v>813.13158487650321</v>
      </c>
      <c r="R15" s="32">
        <v>390.90455235973894</v>
      </c>
      <c r="S15" s="34">
        <v>422.22703251676893</v>
      </c>
      <c r="T15" s="32">
        <v>1433.6060275739696</v>
      </c>
      <c r="U15" s="32">
        <v>723.92571762768387</v>
      </c>
      <c r="V15" s="32">
        <v>709.68030994628032</v>
      </c>
      <c r="W15" s="35">
        <v>593.12697437116037</v>
      </c>
      <c r="X15" s="32">
        <v>319.87415430060139</v>
      </c>
      <c r="Y15" s="33">
        <v>273.25282007055341</v>
      </c>
      <c r="Z15" s="32">
        <v>840.47905320280381</v>
      </c>
      <c r="AA15" s="32">
        <v>404.05156332707691</v>
      </c>
      <c r="AB15" s="34">
        <v>436.42748987572134</v>
      </c>
    </row>
    <row r="16" spans="1:28" s="3" customFormat="1" ht="12" customHeight="1" x14ac:dyDescent="0.2">
      <c r="A16" s="31" t="s">
        <v>15</v>
      </c>
      <c r="B16" s="32">
        <v>1116.2665190409687</v>
      </c>
      <c r="C16" s="32">
        <v>558.73926740268848</v>
      </c>
      <c r="D16" s="33">
        <v>557.52725163825744</v>
      </c>
      <c r="E16" s="32">
        <v>490.86638459455099</v>
      </c>
      <c r="F16" s="32">
        <v>241.19113712176764</v>
      </c>
      <c r="G16" s="33">
        <v>249.67524747278455</v>
      </c>
      <c r="H16" s="32">
        <v>625.4001344463959</v>
      </c>
      <c r="I16" s="32">
        <v>317.54813028091985</v>
      </c>
      <c r="J16" s="34">
        <v>307.85200416547195</v>
      </c>
      <c r="K16" s="32">
        <v>1153.9201689849895</v>
      </c>
      <c r="L16" s="32">
        <v>577.58653409563772</v>
      </c>
      <c r="M16" s="32">
        <v>576.33363488935652</v>
      </c>
      <c r="N16" s="35">
        <v>507.42417854389049</v>
      </c>
      <c r="O16" s="32">
        <v>249.32694204996324</v>
      </c>
      <c r="P16" s="33">
        <v>258.0972364939318</v>
      </c>
      <c r="Q16" s="32">
        <v>646.49599044110369</v>
      </c>
      <c r="R16" s="32">
        <v>328.25959204567897</v>
      </c>
      <c r="S16" s="34">
        <v>318.23639839542938</v>
      </c>
      <c r="T16" s="32">
        <v>1192.7291340520551</v>
      </c>
      <c r="U16" s="32">
        <v>597.0120855569977</v>
      </c>
      <c r="V16" s="32">
        <v>595.71704849505193</v>
      </c>
      <c r="W16" s="35">
        <v>524.49001008803418</v>
      </c>
      <c r="X16" s="32">
        <v>257.71237532720409</v>
      </c>
      <c r="Y16" s="33">
        <v>266.77763476082453</v>
      </c>
      <c r="Z16" s="32">
        <v>668.23912396401545</v>
      </c>
      <c r="AA16" s="32">
        <v>339.29971022978805</v>
      </c>
      <c r="AB16" s="34">
        <v>328.93941373422183</v>
      </c>
    </row>
    <row r="17" spans="1:28" s="3" customFormat="1" ht="12" customHeight="1" x14ac:dyDescent="0.2">
      <c r="A17" s="31" t="s">
        <v>16</v>
      </c>
      <c r="B17" s="32">
        <v>866.59127156817362</v>
      </c>
      <c r="C17" s="32">
        <v>396.32915496893401</v>
      </c>
      <c r="D17" s="33">
        <v>470.26211659922421</v>
      </c>
      <c r="E17" s="32">
        <v>334.51635098295367</v>
      </c>
      <c r="F17" s="32">
        <v>143.01786020285769</v>
      </c>
      <c r="G17" s="33">
        <v>191.49849078009717</v>
      </c>
      <c r="H17" s="32">
        <v>532.07492058520552</v>
      </c>
      <c r="I17" s="32">
        <v>253.31129476607751</v>
      </c>
      <c r="J17" s="34">
        <v>278.76362581912826</v>
      </c>
      <c r="K17" s="32">
        <v>895.82293249106237</v>
      </c>
      <c r="L17" s="32">
        <v>409.69804045395693</v>
      </c>
      <c r="M17" s="32">
        <v>486.1248920371101</v>
      </c>
      <c r="N17" s="35">
        <v>345.80018093361576</v>
      </c>
      <c r="O17" s="32">
        <v>147.84210634118378</v>
      </c>
      <c r="P17" s="33">
        <v>197.95807459243289</v>
      </c>
      <c r="Q17" s="32">
        <v>550.02275155745133</v>
      </c>
      <c r="R17" s="32">
        <v>261.8559341127754</v>
      </c>
      <c r="S17" s="34">
        <v>288.16681744468059</v>
      </c>
      <c r="T17" s="32">
        <v>925.9514992912251</v>
      </c>
      <c r="U17" s="32">
        <v>423.47711925626356</v>
      </c>
      <c r="V17" s="32">
        <v>502.47438003495597</v>
      </c>
      <c r="W17" s="35">
        <v>357.43022909702893</v>
      </c>
      <c r="X17" s="32">
        <v>152.81437330959838</v>
      </c>
      <c r="Y17" s="33">
        <v>204.61585578742833</v>
      </c>
      <c r="Z17" s="32">
        <v>568.52127019419061</v>
      </c>
      <c r="AA17" s="32">
        <v>270.66274594666186</v>
      </c>
      <c r="AB17" s="34">
        <v>297.85852424752318</v>
      </c>
    </row>
    <row r="18" spans="1:28" s="3" customFormat="1" ht="12" customHeight="1" x14ac:dyDescent="0.2">
      <c r="A18" s="31" t="s">
        <v>17</v>
      </c>
      <c r="B18" s="32">
        <v>854.47111392386319</v>
      </c>
      <c r="C18" s="32">
        <v>415.7214071998298</v>
      </c>
      <c r="D18" s="33">
        <v>438.74970672401855</v>
      </c>
      <c r="E18" s="32">
        <v>341.78844556953959</v>
      </c>
      <c r="F18" s="32">
        <v>166.04615972704644</v>
      </c>
      <c r="G18" s="33">
        <v>175.74228584249434</v>
      </c>
      <c r="H18" s="32">
        <v>512.68266835430882</v>
      </c>
      <c r="I18" s="32">
        <v>249.67524747278455</v>
      </c>
      <c r="J18" s="34">
        <v>263.00742088152543</v>
      </c>
      <c r="K18" s="32">
        <v>883.29394042825038</v>
      </c>
      <c r="L18" s="32">
        <v>429.74442775445613</v>
      </c>
      <c r="M18" s="32">
        <v>453.54951267379892</v>
      </c>
      <c r="N18" s="35">
        <v>353.31757617130296</v>
      </c>
      <c r="O18" s="32">
        <v>171.64719126052711</v>
      </c>
      <c r="P18" s="33">
        <v>181.67038491077693</v>
      </c>
      <c r="Q18" s="32">
        <v>529.97636425695214</v>
      </c>
      <c r="R18" s="32">
        <v>258.0972364939318</v>
      </c>
      <c r="S18" s="34">
        <v>271.879127763025</v>
      </c>
      <c r="T18" s="32">
        <v>913.00112867176733</v>
      </c>
      <c r="U18" s="32">
        <v>444.197712247396</v>
      </c>
      <c r="V18" s="32">
        <v>468.80341642436576</v>
      </c>
      <c r="W18" s="35">
        <v>365.20045146870359</v>
      </c>
      <c r="X18" s="32">
        <v>177.42007748656761</v>
      </c>
      <c r="Y18" s="33">
        <v>187.7803739821336</v>
      </c>
      <c r="Z18" s="32">
        <v>547.80067720305817</v>
      </c>
      <c r="AA18" s="32">
        <v>266.77763476082453</v>
      </c>
      <c r="AB18" s="34">
        <v>281.02304244222807</v>
      </c>
    </row>
    <row r="19" spans="1:28" s="3" customFormat="1" ht="12" customHeight="1" x14ac:dyDescent="0.2">
      <c r="A19" s="31" t="s">
        <v>18</v>
      </c>
      <c r="B19" s="32">
        <v>525.03487355780237</v>
      </c>
      <c r="C19" s="32">
        <v>250.41985904715429</v>
      </c>
      <c r="D19" s="33">
        <v>274.61501451064748</v>
      </c>
      <c r="E19" s="32">
        <v>162.10754160540424</v>
      </c>
      <c r="F19" s="32">
        <v>76.214739710003485</v>
      </c>
      <c r="G19" s="33">
        <v>85.892801895400751</v>
      </c>
      <c r="H19" s="32">
        <v>362.92733195239754</v>
      </c>
      <c r="I19" s="32">
        <v>174.20511933715082</v>
      </c>
      <c r="J19" s="34">
        <v>188.72221261524672</v>
      </c>
      <c r="K19" s="32">
        <v>542.74523125477162</v>
      </c>
      <c r="L19" s="32">
        <v>258.86696513764406</v>
      </c>
      <c r="M19" s="32">
        <v>283.87826611712654</v>
      </c>
      <c r="N19" s="35">
        <v>167.57571656253299</v>
      </c>
      <c r="O19" s="32">
        <v>78.785598085370168</v>
      </c>
      <c r="P19" s="33">
        <v>88.790118477163162</v>
      </c>
      <c r="Q19" s="32">
        <v>375.16951469223761</v>
      </c>
      <c r="R19" s="32">
        <v>180.08136705227423</v>
      </c>
      <c r="S19" s="34">
        <v>195.08814763996372</v>
      </c>
      <c r="T19" s="32">
        <v>560.99899029825235</v>
      </c>
      <c r="U19" s="32">
        <v>267.57325113303864</v>
      </c>
      <c r="V19" s="32">
        <v>293.42573916521587</v>
      </c>
      <c r="W19" s="35">
        <v>173.21166981558989</v>
      </c>
      <c r="X19" s="32">
        <v>81.435337301359198</v>
      </c>
      <c r="Y19" s="33">
        <v>91.776332514230205</v>
      </c>
      <c r="Z19" s="32">
        <v>387.78732048266278</v>
      </c>
      <c r="AA19" s="32">
        <v>186.13791383167879</v>
      </c>
      <c r="AB19" s="34">
        <v>201.64940665098547</v>
      </c>
    </row>
    <row r="20" spans="1:28" s="3" customFormat="1" ht="12" customHeight="1" x14ac:dyDescent="0.2">
      <c r="A20" s="31" t="s">
        <v>19</v>
      </c>
      <c r="B20" s="32">
        <v>560.11784897986911</v>
      </c>
      <c r="C20" s="32">
        <v>281.87356114969543</v>
      </c>
      <c r="D20" s="33">
        <v>278.24428783017146</v>
      </c>
      <c r="E20" s="32">
        <v>172.99536156397616</v>
      </c>
      <c r="F20" s="32">
        <v>77.424497483178143</v>
      </c>
      <c r="G20" s="33">
        <v>95.570864080798017</v>
      </c>
      <c r="H20" s="32">
        <v>387.1224874158907</v>
      </c>
      <c r="I20" s="32">
        <v>204.44906366651728</v>
      </c>
      <c r="J20" s="34">
        <v>182.67342374937343</v>
      </c>
      <c r="K20" s="32">
        <v>579.01161767502288</v>
      </c>
      <c r="L20" s="32">
        <v>291.38165641097129</v>
      </c>
      <c r="M20" s="32">
        <v>287.62996126404892</v>
      </c>
      <c r="N20" s="35">
        <v>178.83080200330011</v>
      </c>
      <c r="O20" s="32">
        <v>80.036163134344292</v>
      </c>
      <c r="P20" s="33">
        <v>98.794638868956156</v>
      </c>
      <c r="Q20" s="32">
        <v>400.1808156717201</v>
      </c>
      <c r="R20" s="32">
        <v>211.34549327662734</v>
      </c>
      <c r="S20" s="34">
        <v>188.8353223950931</v>
      </c>
      <c r="T20" s="32">
        <v>598.48509794491099</v>
      </c>
      <c r="U20" s="32">
        <v>301.18148557486904</v>
      </c>
      <c r="V20" s="32">
        <v>297.30361237004246</v>
      </c>
      <c r="W20" s="35">
        <v>184.8452894300699</v>
      </c>
      <c r="X20" s="32">
        <v>82.727961702968074</v>
      </c>
      <c r="Y20" s="33">
        <v>102.11732772710121</v>
      </c>
      <c r="Z20" s="32">
        <v>413.63980851484001</v>
      </c>
      <c r="AA20" s="32">
        <v>218.45352387190104</v>
      </c>
      <c r="AB20" s="34">
        <v>195.18628464294102</v>
      </c>
    </row>
    <row r="21" spans="1:28" s="3" customFormat="1" ht="12" customHeight="1" x14ac:dyDescent="0.2">
      <c r="A21" s="31" t="s">
        <v>20</v>
      </c>
      <c r="B21" s="32">
        <v>416.1566739720825</v>
      </c>
      <c r="C21" s="32">
        <v>199.61003257381864</v>
      </c>
      <c r="D21" s="33">
        <v>216.54664139826386</v>
      </c>
      <c r="E21" s="32">
        <v>137.91238614191107</v>
      </c>
      <c r="F21" s="32">
        <v>54.439099792859629</v>
      </c>
      <c r="G21" s="33">
        <v>83.473286349051435</v>
      </c>
      <c r="H21" s="32">
        <v>278.24428783017146</v>
      </c>
      <c r="I21" s="32">
        <v>145.17093278095902</v>
      </c>
      <c r="J21" s="34">
        <v>133.07335504921244</v>
      </c>
      <c r="K21" s="32">
        <v>430.19437684709908</v>
      </c>
      <c r="L21" s="32">
        <v>206.34323308073084</v>
      </c>
      <c r="M21" s="32">
        <v>223.85114376636858</v>
      </c>
      <c r="N21" s="35">
        <v>142.5644155830505</v>
      </c>
      <c r="O21" s="32">
        <v>56.275427203835889</v>
      </c>
      <c r="P21" s="33">
        <v>86.288988379214913</v>
      </c>
      <c r="Q21" s="32">
        <v>287.62996126404892</v>
      </c>
      <c r="R21" s="32">
        <v>150.06780587689525</v>
      </c>
      <c r="S21" s="34">
        <v>137.56215538715401</v>
      </c>
      <c r="T21" s="32">
        <v>444.66279415345269</v>
      </c>
      <c r="U21" s="32">
        <v>213.28302626546548</v>
      </c>
      <c r="V21" s="32">
        <v>231.37976788798994</v>
      </c>
      <c r="W21" s="35">
        <v>147.35918178341208</v>
      </c>
      <c r="X21" s="32">
        <v>58.168098072399424</v>
      </c>
      <c r="Y21" s="33">
        <v>89.191083711012453</v>
      </c>
      <c r="Z21" s="32">
        <v>297.30361237004246</v>
      </c>
      <c r="AA21" s="32">
        <v>155.11492819306542</v>
      </c>
      <c r="AB21" s="34">
        <v>142.18868417697652</v>
      </c>
    </row>
    <row r="22" spans="1:28" s="3" customFormat="1" ht="12" customHeight="1" x14ac:dyDescent="0.2">
      <c r="A22" s="31" t="s">
        <v>28</v>
      </c>
      <c r="B22" s="32">
        <v>387.1224874158907</v>
      </c>
      <c r="C22" s="32">
        <v>200.8197903469933</v>
      </c>
      <c r="D22" s="33">
        <v>186.3026970688974</v>
      </c>
      <c r="E22" s="32">
        <v>127.02456618333913</v>
      </c>
      <c r="F22" s="32">
        <v>66.536677524606219</v>
      </c>
      <c r="G22" s="33">
        <v>60.487888658732921</v>
      </c>
      <c r="H22" s="32">
        <v>260.09792123255158</v>
      </c>
      <c r="I22" s="32">
        <v>134.2831128223871</v>
      </c>
      <c r="J22" s="34">
        <v>125.81480841016447</v>
      </c>
      <c r="K22" s="32">
        <v>400.1808156717201</v>
      </c>
      <c r="L22" s="32">
        <v>207.59379812970496</v>
      </c>
      <c r="M22" s="32">
        <v>192.58701754201547</v>
      </c>
      <c r="N22" s="35">
        <v>131.30933014228339</v>
      </c>
      <c r="O22" s="32">
        <v>68.781077693577174</v>
      </c>
      <c r="P22" s="33">
        <v>62.528252448706546</v>
      </c>
      <c r="Q22" s="32">
        <v>268.87148552943705</v>
      </c>
      <c r="R22" s="32">
        <v>138.81272043612813</v>
      </c>
      <c r="S22" s="34">
        <v>130.05876509330926</v>
      </c>
      <c r="T22" s="32">
        <v>413.63980851484001</v>
      </c>
      <c r="U22" s="32">
        <v>214.57565066707437</v>
      </c>
      <c r="V22" s="32">
        <v>199.06415784776769</v>
      </c>
      <c r="W22" s="35">
        <v>135.72556216893207</v>
      </c>
      <c r="X22" s="32">
        <v>71.09434208848819</v>
      </c>
      <c r="Y22" s="33">
        <v>64.631220080443811</v>
      </c>
      <c r="Z22" s="32">
        <v>277.91424634590953</v>
      </c>
      <c r="AA22" s="32">
        <v>143.48130857858541</v>
      </c>
      <c r="AB22" s="34">
        <v>134.43293776732318</v>
      </c>
    </row>
    <row r="23" spans="1:28" s="3" customFormat="1" ht="12" customHeight="1" x14ac:dyDescent="0.2">
      <c r="A23" s="31" t="s">
        <v>29</v>
      </c>
      <c r="B23" s="32">
        <v>22.985397690318511</v>
      </c>
      <c r="C23" s="32">
        <v>14.517093278095901</v>
      </c>
      <c r="D23" s="33">
        <v>8.4683044122226097</v>
      </c>
      <c r="E23" s="32">
        <v>10.887819958571926</v>
      </c>
      <c r="F23" s="32">
        <v>4.8390310926986349</v>
      </c>
      <c r="G23" s="33">
        <v>6.0487888658732931</v>
      </c>
      <c r="H23" s="32">
        <v>12.097577731746584</v>
      </c>
      <c r="I23" s="32">
        <v>9.6780621853972679</v>
      </c>
      <c r="J23" s="34">
        <v>2.4195155463493174</v>
      </c>
      <c r="K23" s="32">
        <v>23.760735930508474</v>
      </c>
      <c r="L23" s="32">
        <v>15.006780587689555</v>
      </c>
      <c r="M23" s="32">
        <v>8.753955342818907</v>
      </c>
      <c r="N23" s="35">
        <v>11.255085440767166</v>
      </c>
      <c r="O23" s="32">
        <v>5.0022601958965183</v>
      </c>
      <c r="P23" s="33">
        <v>6.2528252448706478</v>
      </c>
      <c r="Q23" s="32">
        <v>12.505650489741296</v>
      </c>
      <c r="R23" s="32">
        <v>10.004520391793037</v>
      </c>
      <c r="S23" s="34">
        <v>2.5011300979482591</v>
      </c>
      <c r="T23" s="32">
        <v>24.559863630568646</v>
      </c>
      <c r="U23" s="32">
        <v>15.511492819306513</v>
      </c>
      <c r="V23" s="32">
        <v>9.0483708112621333</v>
      </c>
      <c r="W23" s="35">
        <v>11.633619614479885</v>
      </c>
      <c r="X23" s="32">
        <v>5.1704976064355055</v>
      </c>
      <c r="Y23" s="32">
        <v>6.4631220080443814</v>
      </c>
      <c r="Z23" s="35">
        <v>12.926244016088761</v>
      </c>
      <c r="AA23" s="32">
        <v>10.340995212871009</v>
      </c>
      <c r="AB23" s="34">
        <v>2.5852488032177527</v>
      </c>
    </row>
    <row r="24" spans="1:28" s="3" customFormat="1" ht="12" customHeight="1" x14ac:dyDescent="0.2">
      <c r="A24" s="31" t="s">
        <v>30</v>
      </c>
      <c r="B24" s="32">
        <v>20.565882143969194</v>
      </c>
      <c r="C24" s="32">
        <v>13.307335504921243</v>
      </c>
      <c r="D24" s="33">
        <v>7.2585466390479514</v>
      </c>
      <c r="E24" s="32">
        <v>8.4683044122226097</v>
      </c>
      <c r="F24" s="32">
        <v>8.4683044122226097</v>
      </c>
      <c r="G24" s="62">
        <v>0</v>
      </c>
      <c r="H24" s="32">
        <v>12.097577731746584</v>
      </c>
      <c r="I24" s="32">
        <v>4.8390310926986349</v>
      </c>
      <c r="J24" s="34">
        <v>7.2585466390479514</v>
      </c>
      <c r="K24" s="32">
        <v>21.259605832560212</v>
      </c>
      <c r="L24" s="32">
        <v>13.756215538715425</v>
      </c>
      <c r="M24" s="32">
        <v>7.5033902938447774</v>
      </c>
      <c r="N24" s="35">
        <v>8.753955342818907</v>
      </c>
      <c r="O24" s="32">
        <v>8.753955342818907</v>
      </c>
      <c r="P24" s="2">
        <v>0</v>
      </c>
      <c r="Q24" s="35">
        <v>12.505650489741296</v>
      </c>
      <c r="R24" s="32">
        <v>5.0022601958965183</v>
      </c>
      <c r="S24" s="34">
        <v>7.5033902938447774</v>
      </c>
      <c r="T24" s="32">
        <v>21.974614827350894</v>
      </c>
      <c r="U24" s="32">
        <v>14.218868417697637</v>
      </c>
      <c r="V24" s="32">
        <v>7.7557464096532573</v>
      </c>
      <c r="W24" s="35">
        <v>9.0483708112621333</v>
      </c>
      <c r="X24" s="32">
        <v>9.0483708112621333</v>
      </c>
      <c r="Y24" s="2">
        <v>0</v>
      </c>
      <c r="Z24" s="35">
        <v>12.926244016088761</v>
      </c>
      <c r="AA24" s="32">
        <v>5.1704976064355055</v>
      </c>
      <c r="AB24" s="34">
        <v>7.7557464096532573</v>
      </c>
    </row>
    <row r="25" spans="1:28" s="3" customFormat="1" ht="12" customHeight="1" thickBot="1" x14ac:dyDescent="0.25">
      <c r="A25" s="36" t="s">
        <v>31</v>
      </c>
      <c r="B25" s="37">
        <v>7.2585466390479514</v>
      </c>
      <c r="C25" s="37">
        <v>3.6292733195239761</v>
      </c>
      <c r="D25" s="38">
        <v>3.6292733195239761</v>
      </c>
      <c r="E25" s="37">
        <v>4.8390310926986349</v>
      </c>
      <c r="F25" s="37">
        <v>1.2097577731746587</v>
      </c>
      <c r="G25" s="38">
        <v>3.6292733195239761</v>
      </c>
      <c r="H25" s="37">
        <v>2.4195155463493174</v>
      </c>
      <c r="I25" s="37">
        <v>2.4195155463493174</v>
      </c>
      <c r="J25" s="61">
        <v>0</v>
      </c>
      <c r="K25" s="37">
        <v>7.5033902938447774</v>
      </c>
      <c r="L25" s="37">
        <v>3.7516951469223887</v>
      </c>
      <c r="M25" s="37">
        <v>3.7516951469223887</v>
      </c>
      <c r="N25" s="40">
        <v>5.0022601958965183</v>
      </c>
      <c r="O25" s="37">
        <v>1.2505650489741296</v>
      </c>
      <c r="P25" s="38">
        <v>3.7516951469223887</v>
      </c>
      <c r="Q25" s="37">
        <v>2.5011300979482591</v>
      </c>
      <c r="R25" s="37">
        <v>2.5011300979482591</v>
      </c>
      <c r="S25" s="61">
        <v>0</v>
      </c>
      <c r="T25" s="37">
        <v>7.7557464096532573</v>
      </c>
      <c r="U25" s="37">
        <v>3.8778732048266291</v>
      </c>
      <c r="V25" s="37">
        <v>3.8778732048266291</v>
      </c>
      <c r="W25" s="40">
        <v>5.1704976064355055</v>
      </c>
      <c r="X25" s="37">
        <v>1.2926244016088764</v>
      </c>
      <c r="Y25" s="37">
        <v>3.8778732048266291</v>
      </c>
      <c r="Z25" s="40">
        <v>2.5852488032177527</v>
      </c>
      <c r="AA25" s="37">
        <v>2.5852488032177527</v>
      </c>
      <c r="AB25" s="61">
        <v>0</v>
      </c>
    </row>
    <row r="26" spans="1:28" s="3" customFormat="1" ht="14.25" customHeight="1" x14ac:dyDescent="0.2">
      <c r="A26" s="51" t="s">
        <v>64</v>
      </c>
      <c r="B26" s="163">
        <v>19755.702078377311</v>
      </c>
      <c r="C26" s="91">
        <v>9894.9428619877053</v>
      </c>
      <c r="D26" s="91">
        <v>9860.7592163895079</v>
      </c>
      <c r="E26" s="153">
        <v>9436.3015686322906</v>
      </c>
      <c r="F26" s="91">
        <v>4710.3135913299111</v>
      </c>
      <c r="G26" s="91">
        <v>4725.9879773020621</v>
      </c>
      <c r="H26" s="153">
        <v>10319.400509744893</v>
      </c>
      <c r="I26" s="91">
        <v>5184.6292706574286</v>
      </c>
      <c r="J26" s="165">
        <v>5134.7712390870256</v>
      </c>
      <c r="K26" s="164">
        <v>20422.096956093566</v>
      </c>
      <c r="L26" s="164">
        <v>10228.716838350749</v>
      </c>
      <c r="M26" s="164">
        <v>10193.380117744644</v>
      </c>
      <c r="N26" s="160">
        <v>9754.6047605409658</v>
      </c>
      <c r="O26" s="164">
        <v>4869.2008248619768</v>
      </c>
      <c r="P26" s="161">
        <v>4885.4039356793355</v>
      </c>
      <c r="Q26" s="164">
        <v>10667.492195554474</v>
      </c>
      <c r="R26" s="164">
        <v>5359.5160134892831</v>
      </c>
      <c r="S26" s="162">
        <v>5307.9761820658223</v>
      </c>
      <c r="T26" s="164">
        <v>21108.938618688651</v>
      </c>
      <c r="U26" s="164">
        <v>10572.731896871353</v>
      </c>
      <c r="V26" s="161">
        <v>10536.206721818884</v>
      </c>
      <c r="W26" s="164">
        <v>10082.674349383205</v>
      </c>
      <c r="X26" s="164">
        <v>5032.9631455108447</v>
      </c>
      <c r="Y26" s="103">
        <v>5049.7112038718715</v>
      </c>
      <c r="Z26" s="160">
        <v>11026.264269307005</v>
      </c>
      <c r="AA26" s="103">
        <v>5539.7687513600404</v>
      </c>
      <c r="AB26" s="162">
        <v>5486.4955179465524</v>
      </c>
    </row>
    <row r="27" spans="1:28" s="3" customFormat="1" ht="12" customHeight="1" x14ac:dyDescent="0.2">
      <c r="A27" s="51" t="s">
        <v>22</v>
      </c>
      <c r="B27" s="42">
        <v>902.83865330951539</v>
      </c>
      <c r="C27" s="42">
        <v>409.15618752426366</v>
      </c>
      <c r="D27" s="43">
        <v>493.68246578526521</v>
      </c>
      <c r="E27" s="42">
        <v>459.38194707065588</v>
      </c>
      <c r="F27" s="42">
        <v>214.3782419663045</v>
      </c>
      <c r="G27" s="43">
        <v>245.00370510434783</v>
      </c>
      <c r="H27" s="42">
        <v>443.45670623887298</v>
      </c>
      <c r="I27" s="42">
        <v>194.77794555795677</v>
      </c>
      <c r="J27" s="44">
        <v>248.67876068091303</v>
      </c>
      <c r="K27" s="42">
        <v>933.29300272142871</v>
      </c>
      <c r="L27" s="42">
        <v>422.95775157253337</v>
      </c>
      <c r="M27" s="42">
        <v>510.33525114889511</v>
      </c>
      <c r="N27" s="45">
        <v>474.87771508892223</v>
      </c>
      <c r="O27" s="42">
        <v>221.60960037483022</v>
      </c>
      <c r="P27" s="43">
        <v>253.26811471409172</v>
      </c>
      <c r="Q27" s="42">
        <v>458.41528763250625</v>
      </c>
      <c r="R27" s="42">
        <v>201.34815119770286</v>
      </c>
      <c r="S27" s="44">
        <v>257.0671364348031</v>
      </c>
      <c r="T27" s="42">
        <v>964.68177337771328</v>
      </c>
      <c r="U27" s="42">
        <v>437.18278467862984</v>
      </c>
      <c r="V27" s="42">
        <v>527.49898869906576</v>
      </c>
      <c r="W27" s="45">
        <v>490.84893489367107</v>
      </c>
      <c r="X27" s="42">
        <v>229.06283628371386</v>
      </c>
      <c r="Y27" s="43">
        <v>261.78609860995851</v>
      </c>
      <c r="Z27" s="42">
        <v>473.83283848402385</v>
      </c>
      <c r="AA27" s="42">
        <v>208.11994839491729</v>
      </c>
      <c r="AB27" s="44">
        <v>265.71289008910787</v>
      </c>
    </row>
    <row r="28" spans="1:28" ht="12.75" thickBot="1" x14ac:dyDescent="0.25">
      <c r="A28" s="52" t="s">
        <v>21</v>
      </c>
      <c r="B28" s="150">
        <v>22534.916690787268</v>
      </c>
      <c r="C28" s="150">
        <v>11140.291679222761</v>
      </c>
      <c r="D28" s="154">
        <v>11394.62501156484</v>
      </c>
      <c r="E28" s="150">
        <v>10711.306422320402</v>
      </c>
      <c r="F28" s="150">
        <v>5265.8856589472434</v>
      </c>
      <c r="G28" s="150">
        <v>5445.4207633736769</v>
      </c>
      <c r="H28" s="157">
        <v>11823.610268467311</v>
      </c>
      <c r="I28" s="150">
        <v>5874.4060202762994</v>
      </c>
      <c r="J28" s="152">
        <v>5949.2042481919925</v>
      </c>
      <c r="K28" s="150">
        <v>23295.059407713303</v>
      </c>
      <c r="L28" s="150">
        <v>11516.073480442119</v>
      </c>
      <c r="M28" s="150">
        <v>11778.985927271513</v>
      </c>
      <c r="N28" s="157">
        <v>11072.617789804346</v>
      </c>
      <c r="O28" s="150">
        <v>5443.5133239045972</v>
      </c>
      <c r="P28" s="154">
        <v>5629.1044658986093</v>
      </c>
      <c r="Q28" s="150">
        <v>12222.441617909317</v>
      </c>
      <c r="R28" s="150">
        <v>6072.5601565363158</v>
      </c>
      <c r="S28" s="152">
        <v>6149.881461371664</v>
      </c>
      <c r="T28" s="150">
        <v>24078.525345032973</v>
      </c>
      <c r="U28" s="150">
        <v>11903.385276719648</v>
      </c>
      <c r="V28" s="150">
        <v>12175.140068313296</v>
      </c>
      <c r="W28" s="157">
        <v>11445.015160570352</v>
      </c>
      <c r="X28" s="150">
        <v>5626.5910827543112</v>
      </c>
      <c r="Y28" s="154">
        <v>5818.4240778158228</v>
      </c>
      <c r="Z28" s="157">
        <v>12633.510184462544</v>
      </c>
      <c r="AA28" s="150">
        <v>6276.7941939651191</v>
      </c>
      <c r="AB28" s="152">
        <v>6356.7159904973314</v>
      </c>
    </row>
    <row r="29" spans="1:28" x14ac:dyDescent="0.2">
      <c r="A29" s="57" t="s">
        <v>82</v>
      </c>
    </row>
    <row r="30" spans="1:28" ht="12" customHeight="1" x14ac:dyDescent="0.2">
      <c r="B30" s="186"/>
    </row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2" width="9.5703125" style="1" customWidth="1"/>
    <col min="3" max="7" width="8.7109375" style="1" customWidth="1"/>
    <col min="8" max="16384" width="9.140625" style="1"/>
  </cols>
  <sheetData>
    <row r="1" spans="1:28" s="3" customFormat="1" ht="30" customHeight="1" thickBot="1" x14ac:dyDescent="0.25">
      <c r="A1" s="58" t="s">
        <v>77</v>
      </c>
      <c r="B1" s="56"/>
      <c r="C1" s="56"/>
      <c r="D1" s="56"/>
      <c r="E1" s="56"/>
      <c r="F1" s="56"/>
      <c r="G1" s="56"/>
      <c r="H1" s="56"/>
      <c r="I1" s="56"/>
      <c r="J1" s="56"/>
    </row>
    <row r="2" spans="1:28" s="3" customFormat="1" ht="13.5" customHeight="1" x14ac:dyDescent="0.2">
      <c r="A2" s="256" t="s">
        <v>25</v>
      </c>
      <c r="B2" s="259" t="s">
        <v>41</v>
      </c>
      <c r="C2" s="259"/>
      <c r="D2" s="259"/>
      <c r="E2" s="259"/>
      <c r="F2" s="259"/>
      <c r="G2" s="259"/>
      <c r="H2" s="259"/>
      <c r="I2" s="259"/>
      <c r="J2" s="260"/>
      <c r="K2" s="259" t="s">
        <v>42</v>
      </c>
      <c r="L2" s="259"/>
      <c r="M2" s="259"/>
      <c r="N2" s="259"/>
      <c r="O2" s="259"/>
      <c r="P2" s="259"/>
      <c r="Q2" s="259"/>
      <c r="R2" s="259"/>
      <c r="S2" s="260"/>
      <c r="T2" s="259" t="s">
        <v>43</v>
      </c>
      <c r="U2" s="259"/>
      <c r="V2" s="259"/>
      <c r="W2" s="259"/>
      <c r="X2" s="259"/>
      <c r="Y2" s="259"/>
      <c r="Z2" s="259"/>
      <c r="AA2" s="259"/>
      <c r="AB2" s="260"/>
    </row>
    <row r="3" spans="1:28" s="3" customFormat="1" ht="17.25" customHeight="1" thickBot="1" x14ac:dyDescent="0.25">
      <c r="A3" s="257"/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10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s="3" customFormat="1" ht="12.75" customHeight="1" thickBot="1" x14ac:dyDescent="0.25">
      <c r="A4" s="258"/>
      <c r="B4" s="7" t="s">
        <v>0</v>
      </c>
      <c r="C4" s="8" t="s">
        <v>3</v>
      </c>
      <c r="D4" s="15" t="s">
        <v>4</v>
      </c>
      <c r="E4" s="16" t="s">
        <v>0</v>
      </c>
      <c r="F4" s="8" t="s">
        <v>3</v>
      </c>
      <c r="G4" s="15" t="s">
        <v>4</v>
      </c>
      <c r="H4" s="16" t="s">
        <v>0</v>
      </c>
      <c r="I4" s="8" t="s">
        <v>3</v>
      </c>
      <c r="J4" s="17" t="s">
        <v>4</v>
      </c>
      <c r="K4" s="7" t="s">
        <v>0</v>
      </c>
      <c r="L4" s="8" t="s">
        <v>3</v>
      </c>
      <c r="M4" s="8" t="s">
        <v>4</v>
      </c>
      <c r="N4" s="18" t="s">
        <v>0</v>
      </c>
      <c r="O4" s="19" t="s">
        <v>3</v>
      </c>
      <c r="P4" s="20" t="s">
        <v>4</v>
      </c>
      <c r="Q4" s="16" t="s">
        <v>0</v>
      </c>
      <c r="R4" s="8" t="s">
        <v>3</v>
      </c>
      <c r="S4" s="17" t="s">
        <v>4</v>
      </c>
      <c r="T4" s="7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s="3" customFormat="1" ht="16.5" customHeight="1" thickBot="1" x14ac:dyDescent="0.25">
      <c r="A5" s="21" t="s">
        <v>40</v>
      </c>
      <c r="B5" s="22">
        <f>+B6+B7+B8+B9+B10+B11+B12+B13+B14+B15+B16+B17+B18+B19+B20+B21+B22+B23+B24+B25</f>
        <v>41896.966832758902</v>
      </c>
      <c r="C5" s="22">
        <f t="shared" ref="C5:K5" si="0">+C6+C7+C8+C9+C10+C11+C12+C13+C14+C15+C16+C17+C18+C19+C20+C21+C22+C23+C24+C25</f>
        <v>20544.208778661436</v>
      </c>
      <c r="D5" s="22">
        <f t="shared" si="0"/>
        <v>21352.758054101039</v>
      </c>
      <c r="E5" s="23">
        <f t="shared" si="0"/>
        <v>12743.775842977166</v>
      </c>
      <c r="F5" s="22">
        <f t="shared" si="0"/>
        <v>6732.3301360271998</v>
      </c>
      <c r="G5" s="22">
        <f t="shared" si="0"/>
        <v>6011.4457069500631</v>
      </c>
      <c r="H5" s="23">
        <f t="shared" si="0"/>
        <v>29153.190989783598</v>
      </c>
      <c r="I5" s="22">
        <f t="shared" si="0"/>
        <v>13811.878642634201</v>
      </c>
      <c r="J5" s="82">
        <f t="shared" si="0"/>
        <v>15341.312347150904</v>
      </c>
      <c r="K5" s="22">
        <f t="shared" si="0"/>
        <v>43310.225849250957</v>
      </c>
      <c r="L5" s="22">
        <f t="shared" ref="L5" si="1">+L6+L7+L8+L9+L10+L11+L12+L13+L14+L15+L16+L17+L18+L19+L20+L21+L22+L23+L24+L25</f>
        <v>21237.201386192039</v>
      </c>
      <c r="M5" s="22">
        <f t="shared" ref="M5" si="2">+M6+M7+M8+M9+M10+M11+M12+M13+M14+M15+M16+M17+M18+M19+M20+M21+M22+M23+M24+M25</f>
        <v>22073.024463058446</v>
      </c>
      <c r="N5" s="23">
        <f t="shared" ref="N5" si="3">+N6+N7+N8+N9+N10+N11+N12+N13+N14+N15+N16+N17+N18+N19+N20+N21+N22+N23+N24+N25</f>
        <v>13173.646009619344</v>
      </c>
      <c r="O5" s="22">
        <f t="shared" ref="O5" si="4">+O6+O7+O8+O9+O10+O11+O12+O13+O14+O15+O16+O17+O18+O19+O20+O21+O22+O23+O24+O25</f>
        <v>6959.4235746690147</v>
      </c>
      <c r="P5" s="22">
        <f t="shared" ref="P5" si="5">+P6+P7+P8+P9+P10+P11+P12+P13+P14+P15+P16+P17+P18+P19+P20+P21+P22+P23+P24+P25</f>
        <v>6214.2224349501357</v>
      </c>
      <c r="Q5" s="23">
        <f t="shared" ref="Q5" si="6">+Q6+Q7+Q8+Q9+Q10+Q11+Q12+Q13+Q14+Q15+Q16+Q17+Q18+Q19+Q20+Q21+Q22+Q23+Q24+Q25</f>
        <v>30136.579839631097</v>
      </c>
      <c r="R5" s="22">
        <f t="shared" ref="R5" si="7">+R6+R7+R8+R9+R10+R11+R12+R13+R14+R15+R16+R17+R18+R19+R20+R21+R22+R23+R24+R25</f>
        <v>14277.777811522612</v>
      </c>
      <c r="S5" s="22">
        <f t="shared" ref="S5:T5" si="8">+S6+S7+S8+S9+S10+S11+S12+S13+S14+S15+S16+S17+S18+S19+S20+S21+S22+S23+S24+S25</f>
        <v>15858.80202810793</v>
      </c>
      <c r="T5" s="81">
        <f t="shared" si="8"/>
        <v>44766.847448568937</v>
      </c>
      <c r="U5" s="22">
        <f t="shared" ref="U5" si="9">+U6+U7+U8+U9+U10+U11+U12+U13+U14+U15+U16+U17+U18+U19+U20+U21+U22+U23+U24+U25</f>
        <v>21951.456868391844</v>
      </c>
      <c r="V5" s="25">
        <f t="shared" ref="V5" si="10">+V6+V7+V8+V9+V10+V11+V12+V13+V14+V15+V16+V17+V18+V19+V20+V21+V22+V23+V24+V25</f>
        <v>22815.3905801744</v>
      </c>
      <c r="W5" s="22">
        <f t="shared" ref="W5" si="11">+W6+W7+W8+W9+W10+W11+W12+W13+W14+W15+W16+W17+W18+W19+W20+W21+W22+W23+W24+W25</f>
        <v>13616.705747661963</v>
      </c>
      <c r="X5" s="22">
        <f t="shared" ref="X5" si="12">+X6+X7+X8+X9+X10+X11+X12+X13+X14+X15+X16+X17+X18+X19+X20+X21+X22+X23+X24+X25</f>
        <v>7193.4848500115104</v>
      </c>
      <c r="Y5" s="22">
        <f t="shared" ref="Y5" si="13">+Y6+Y7+Y8+Y9+Y10+Y11+Y12+Y13+Y14+Y15+Y16+Y17+Y18+Y19+Y20+Y21+Y22+Y23+Y24+Y25</f>
        <v>6423.2208976504962</v>
      </c>
      <c r="Z5" s="23">
        <f t="shared" ref="Z5" si="14">+Z6+Z7+Z8+Z9+Z10+Z11+Z12+Z13+Z14+Z15+Z16+Z17+Z18+Z19+Z20+Z21+Z22+Z23+Z24+Z25</f>
        <v>31150.141700905227</v>
      </c>
      <c r="AA5" s="22">
        <f t="shared" ref="AA5" si="15">+AA6+AA7+AA8+AA9+AA10+AA11+AA12+AA13+AA14+AA15+AA16+AA17+AA18+AA19+AA20+AA21+AA22+AA23+AA24+AA25</f>
        <v>14757.972018379736</v>
      </c>
      <c r="AB5" s="82">
        <f t="shared" ref="AB5" si="16">+AB6+AB7+AB8+AB9+AB10+AB11+AB12+AB13+AB14+AB15+AB16+AB17+AB18+AB19+AB20+AB21+AB22+AB23+AB24+AB25</f>
        <v>16392.169682523359</v>
      </c>
    </row>
    <row r="6" spans="1:28" s="3" customFormat="1" ht="12" customHeight="1" x14ac:dyDescent="0.2">
      <c r="A6" s="26" t="s">
        <v>5</v>
      </c>
      <c r="B6" s="88">
        <v>11936.559679019674</v>
      </c>
      <c r="C6" s="88">
        <v>5325.2584105812648</v>
      </c>
      <c r="D6" s="89">
        <v>6611.3012684411433</v>
      </c>
      <c r="E6" s="88">
        <v>1757.736486163956</v>
      </c>
      <c r="F6" s="88">
        <v>776.39686865725605</v>
      </c>
      <c r="G6" s="89">
        <v>981.33961750672154</v>
      </c>
      <c r="H6" s="88">
        <v>10178.823192856846</v>
      </c>
      <c r="I6" s="88">
        <v>4548.8615419238677</v>
      </c>
      <c r="J6" s="90">
        <v>5629.9616509342377</v>
      </c>
      <c r="K6" s="88">
        <v>12339.20101245166</v>
      </c>
      <c r="L6" s="88">
        <v>5504.8888237781675</v>
      </c>
      <c r="M6" s="88">
        <v>6834.3121886734871</v>
      </c>
      <c r="N6" s="104">
        <v>1817.0280560668682</v>
      </c>
      <c r="O6" s="88">
        <v>802.58611236512775</v>
      </c>
      <c r="P6" s="89">
        <v>1014.4419437017343</v>
      </c>
      <c r="Q6" s="88">
        <v>10522.172956384786</v>
      </c>
      <c r="R6" s="88">
        <v>4702.3027114130336</v>
      </c>
      <c r="S6" s="90">
        <v>5819.8702449717466</v>
      </c>
      <c r="T6" s="88">
        <v>12754.196463541928</v>
      </c>
      <c r="U6" s="88">
        <v>5690.0307805636894</v>
      </c>
      <c r="V6" s="88">
        <v>7064.1656829767107</v>
      </c>
      <c r="W6" s="104">
        <v>1878.138850599265</v>
      </c>
      <c r="X6" s="88">
        <v>829.5789124177146</v>
      </c>
      <c r="Y6" s="89">
        <v>1048.5599381816114</v>
      </c>
      <c r="Z6" s="88">
        <v>10876.057612942006</v>
      </c>
      <c r="AA6" s="88">
        <v>4860.4518681457103</v>
      </c>
      <c r="AB6" s="90">
        <v>6015.6057447947678</v>
      </c>
    </row>
    <row r="7" spans="1:28" s="3" customFormat="1" ht="12" customHeight="1" x14ac:dyDescent="0.2">
      <c r="A7" s="26" t="s">
        <v>6</v>
      </c>
      <c r="B7" s="88">
        <v>6571.8661624443193</v>
      </c>
      <c r="C7" s="88">
        <v>3267.0779618202973</v>
      </c>
      <c r="D7" s="89">
        <v>3304.7882006240984</v>
      </c>
      <c r="E7" s="88">
        <v>2535.7278759283977</v>
      </c>
      <c r="F7" s="88">
        <v>1289.00452638455</v>
      </c>
      <c r="G7" s="89">
        <v>1246.7233495439245</v>
      </c>
      <c r="H7" s="88">
        <v>4036.1382865159981</v>
      </c>
      <c r="I7" s="88">
        <v>1978.0734354358242</v>
      </c>
      <c r="J7" s="90">
        <v>2058.0648510802507</v>
      </c>
      <c r="K7" s="88">
        <v>6793.5468665951494</v>
      </c>
      <c r="L7" s="88">
        <v>3377.2822972690751</v>
      </c>
      <c r="M7" s="88">
        <v>3416.2645693257004</v>
      </c>
      <c r="N7" s="104">
        <v>2621.2624755648262</v>
      </c>
      <c r="O7" s="88">
        <v>1332.484935753502</v>
      </c>
      <c r="P7" s="89">
        <v>1288.7775398112335</v>
      </c>
      <c r="Q7" s="88">
        <v>4172.2843910299489</v>
      </c>
      <c r="R7" s="88">
        <v>2044.7973615153369</v>
      </c>
      <c r="S7" s="90">
        <v>2127.4870295142387</v>
      </c>
      <c r="T7" s="88">
        <v>7022.0293302119062</v>
      </c>
      <c r="U7" s="88">
        <v>3490.8679977525571</v>
      </c>
      <c r="V7" s="88">
        <v>3531.1613324590435</v>
      </c>
      <c r="W7" s="104">
        <v>2709.4215064752461</v>
      </c>
      <c r="X7" s="88">
        <v>1377.2994408760801</v>
      </c>
      <c r="Y7" s="89">
        <v>1332.122065599119</v>
      </c>
      <c r="Z7" s="88">
        <v>4312.6078237363545</v>
      </c>
      <c r="AA7" s="88">
        <v>2113.5685568762965</v>
      </c>
      <c r="AB7" s="90">
        <v>2199.0392668597524</v>
      </c>
    </row>
    <row r="8" spans="1:28" s="3" customFormat="1" ht="12" customHeight="1" x14ac:dyDescent="0.2">
      <c r="A8" s="26" t="s">
        <v>7</v>
      </c>
      <c r="B8" s="88">
        <v>4999.4634777767351</v>
      </c>
      <c r="C8" s="88">
        <v>2650.001326849007</v>
      </c>
      <c r="D8" s="89">
        <v>2349.4621509278045</v>
      </c>
      <c r="E8" s="88">
        <v>2287.7544874306755</v>
      </c>
      <c r="F8" s="88">
        <v>1287.8617918753439</v>
      </c>
      <c r="G8" s="89">
        <v>999.89269555540591</v>
      </c>
      <c r="H8" s="88">
        <v>2711.708990346136</v>
      </c>
      <c r="I8" s="88">
        <v>1362.13953497374</v>
      </c>
      <c r="J8" s="90">
        <v>1349.5694553724729</v>
      </c>
      <c r="K8" s="88">
        <v>5168.1042499310142</v>
      </c>
      <c r="L8" s="88">
        <v>2739.3905727061151</v>
      </c>
      <c r="M8" s="88">
        <v>2428.7136772245253</v>
      </c>
      <c r="N8" s="104">
        <v>2364.9245047682293</v>
      </c>
      <c r="O8" s="88">
        <v>1331.3036547820893</v>
      </c>
      <c r="P8" s="89">
        <v>1033.6208499860986</v>
      </c>
      <c r="Q8" s="88">
        <v>2803.1797451624111</v>
      </c>
      <c r="R8" s="88">
        <v>1408.0869179239123</v>
      </c>
      <c r="S8" s="90">
        <v>1395.092827238373</v>
      </c>
      <c r="T8" s="88">
        <v>5341.9193739656876</v>
      </c>
      <c r="U8" s="88">
        <v>2831.522520737326</v>
      </c>
      <c r="V8" s="88">
        <v>2510.396853228056</v>
      </c>
      <c r="W8" s="104">
        <v>2444.4623055265329</v>
      </c>
      <c r="X8" s="88">
        <v>1376.0784307334595</v>
      </c>
      <c r="Y8" s="89">
        <v>1068.3838747930756</v>
      </c>
      <c r="Z8" s="88">
        <v>2897.4570684388491</v>
      </c>
      <c r="AA8" s="88">
        <v>1455.4440900037966</v>
      </c>
      <c r="AB8" s="90">
        <v>1442.0129784349704</v>
      </c>
    </row>
    <row r="9" spans="1:28" s="3" customFormat="1" ht="12" customHeight="1" x14ac:dyDescent="0.2">
      <c r="A9" s="26" t="s">
        <v>8</v>
      </c>
      <c r="B9" s="88">
        <v>4188.3383387586246</v>
      </c>
      <c r="C9" s="88">
        <v>2252.8090684345102</v>
      </c>
      <c r="D9" s="89">
        <v>1935.5292703243972</v>
      </c>
      <c r="E9" s="88">
        <v>1815.477454823259</v>
      </c>
      <c r="F9" s="88">
        <v>1019.2154132340773</v>
      </c>
      <c r="G9" s="89">
        <v>796.26204158912708</v>
      </c>
      <c r="H9" s="88">
        <v>2372.8608839356261</v>
      </c>
      <c r="I9" s="88">
        <v>1233.5936552003952</v>
      </c>
      <c r="J9" s="90">
        <v>1139.2672287352152</v>
      </c>
      <c r="K9" s="88">
        <v>4329.6184210369929</v>
      </c>
      <c r="L9" s="88">
        <v>2328.8003147960253</v>
      </c>
      <c r="M9" s="88">
        <v>2000.8181062413264</v>
      </c>
      <c r="N9" s="104">
        <v>1876.7167300314213</v>
      </c>
      <c r="O9" s="88">
        <v>1053.5953572106223</v>
      </c>
      <c r="P9" s="89">
        <v>823.12137282079868</v>
      </c>
      <c r="Q9" s="88">
        <v>2452.9016910059081</v>
      </c>
      <c r="R9" s="88">
        <v>1275.2049575854528</v>
      </c>
      <c r="S9" s="90">
        <v>1177.6967334205274</v>
      </c>
      <c r="T9" s="88">
        <v>4475.2333557375132</v>
      </c>
      <c r="U9" s="88">
        <v>2407.1231767185823</v>
      </c>
      <c r="V9" s="88">
        <v>2068.1101790186435</v>
      </c>
      <c r="W9" s="104">
        <v>1939.8349906997666</v>
      </c>
      <c r="X9" s="88">
        <v>1089.0301702174427</v>
      </c>
      <c r="Y9" s="89">
        <v>850.80482048237695</v>
      </c>
      <c r="Z9" s="88">
        <v>2535.398365037478</v>
      </c>
      <c r="AA9" s="88">
        <v>1318.0930065011453</v>
      </c>
      <c r="AB9" s="90">
        <v>1217.3053585363161</v>
      </c>
    </row>
    <row r="10" spans="1:28" s="3" customFormat="1" ht="12" customHeight="1" x14ac:dyDescent="0.2">
      <c r="A10" s="26" t="s">
        <v>9</v>
      </c>
      <c r="B10" s="88">
        <v>4275.9466304342795</v>
      </c>
      <c r="C10" s="88">
        <v>2083.6973658668689</v>
      </c>
      <c r="D10" s="89">
        <v>2192.2492645676994</v>
      </c>
      <c r="E10" s="88">
        <v>1570.8832237283764</v>
      </c>
      <c r="F10" s="88">
        <v>878.39697339536656</v>
      </c>
      <c r="G10" s="89">
        <v>692.48625033299095</v>
      </c>
      <c r="H10" s="88">
        <v>2705.0634067061051</v>
      </c>
      <c r="I10" s="88">
        <v>1205.3003924714901</v>
      </c>
      <c r="J10" s="90">
        <v>1499.7630142347159</v>
      </c>
      <c r="K10" s="88">
        <v>4420.181895808616</v>
      </c>
      <c r="L10" s="88">
        <v>2153.9841744967139</v>
      </c>
      <c r="M10" s="88">
        <v>2266.1977213118166</v>
      </c>
      <c r="N10" s="104">
        <v>1623.8719016115735</v>
      </c>
      <c r="O10" s="88">
        <v>908.0268615842042</v>
      </c>
      <c r="P10" s="89">
        <v>715.84504002732103</v>
      </c>
      <c r="Q10" s="88">
        <v>2796.3099941969572</v>
      </c>
      <c r="R10" s="88">
        <v>1245.9573129124344</v>
      </c>
      <c r="S10" s="90">
        <v>1550.3526812844373</v>
      </c>
      <c r="T10" s="88">
        <v>4568.8426865591491</v>
      </c>
      <c r="U10" s="88">
        <v>2226.4275712149565</v>
      </c>
      <c r="V10" s="88">
        <v>2342.4151153441226</v>
      </c>
      <c r="W10" s="104">
        <v>1678.4864144668272</v>
      </c>
      <c r="X10" s="88">
        <v>938.56587433249945</v>
      </c>
      <c r="Y10" s="89">
        <v>739.92054013428947</v>
      </c>
      <c r="Z10" s="88">
        <v>2890.3562720922519</v>
      </c>
      <c r="AA10" s="88">
        <v>1287.8616968823944</v>
      </c>
      <c r="AB10" s="90">
        <v>1602.4945752097874</v>
      </c>
    </row>
    <row r="11" spans="1:28" s="3" customFormat="1" ht="12" customHeight="1" x14ac:dyDescent="0.2">
      <c r="A11" s="31" t="s">
        <v>10</v>
      </c>
      <c r="B11" s="88">
        <v>2878.4969000327192</v>
      </c>
      <c r="C11" s="88">
        <v>1426.1473587939095</v>
      </c>
      <c r="D11" s="89">
        <v>1452.3495412389423</v>
      </c>
      <c r="E11" s="91">
        <v>825.99260850530095</v>
      </c>
      <c r="F11" s="91">
        <v>439.1984866976772</v>
      </c>
      <c r="G11" s="92">
        <v>386.79412180761398</v>
      </c>
      <c r="H11" s="91">
        <v>2052.5042915275499</v>
      </c>
      <c r="I11" s="91">
        <v>986.94887209621675</v>
      </c>
      <c r="J11" s="93">
        <v>1065.5554194313152</v>
      </c>
      <c r="K11" s="88">
        <v>2975.5937069245351</v>
      </c>
      <c r="L11" s="88">
        <v>1474.2538391914366</v>
      </c>
      <c r="M11" s="88">
        <v>1501.3398677330131</v>
      </c>
      <c r="N11" s="105">
        <v>853.85480450105592</v>
      </c>
      <c r="O11" s="91">
        <v>454.01343079210437</v>
      </c>
      <c r="P11" s="92">
        <v>399.8413737089561</v>
      </c>
      <c r="Q11" s="91">
        <v>2121.7389024234085</v>
      </c>
      <c r="R11" s="91">
        <v>1020.2404083992971</v>
      </c>
      <c r="S11" s="93">
        <v>1101.4984940240263</v>
      </c>
      <c r="T11" s="88">
        <v>3075.6697046664367</v>
      </c>
      <c r="U11" s="88">
        <v>1523.8363556279392</v>
      </c>
      <c r="V11" s="88">
        <v>1551.8333490384275</v>
      </c>
      <c r="W11" s="105">
        <v>882.57188751152751</v>
      </c>
      <c r="X11" s="91">
        <v>469.2829371662566</v>
      </c>
      <c r="Y11" s="92">
        <v>413.28895034528227</v>
      </c>
      <c r="Z11" s="91">
        <v>2193.0978171548513</v>
      </c>
      <c r="AA11" s="91">
        <v>1054.5534184616581</v>
      </c>
      <c r="AB11" s="93">
        <v>1138.5443986931232</v>
      </c>
    </row>
    <row r="12" spans="1:28" s="3" customFormat="1" ht="12" customHeight="1" x14ac:dyDescent="0.2">
      <c r="A12" s="31" t="s">
        <v>11</v>
      </c>
      <c r="B12" s="91">
        <v>2080.1304853006882</v>
      </c>
      <c r="C12" s="91">
        <v>1013.5955499447799</v>
      </c>
      <c r="D12" s="92">
        <v>1066.5349353559084</v>
      </c>
      <c r="E12" s="88">
        <v>610.73973901131546</v>
      </c>
      <c r="F12" s="88">
        <v>318.92751698899826</v>
      </c>
      <c r="G12" s="89">
        <v>291.81222202232277</v>
      </c>
      <c r="H12" s="88">
        <v>1469.3907462893728</v>
      </c>
      <c r="I12" s="88">
        <v>694.66803295578723</v>
      </c>
      <c r="J12" s="90">
        <v>774.72271333359106</v>
      </c>
      <c r="K12" s="91">
        <v>2150.2969767213285</v>
      </c>
      <c r="L12" s="91">
        <v>1047.7859259629488</v>
      </c>
      <c r="M12" s="91">
        <v>1102.5110507584616</v>
      </c>
      <c r="N12" s="104">
        <v>631.34107386047663</v>
      </c>
      <c r="O12" s="88">
        <v>329.68550791445364</v>
      </c>
      <c r="P12" s="89">
        <v>301.65556594601787</v>
      </c>
      <c r="Q12" s="88">
        <v>1518.9559028609003</v>
      </c>
      <c r="R12" s="88">
        <v>718.10041804849209</v>
      </c>
      <c r="S12" s="90">
        <v>800.8554848124453</v>
      </c>
      <c r="T12" s="91">
        <v>2222.616364575435</v>
      </c>
      <c r="U12" s="91">
        <v>1083.0253545571986</v>
      </c>
      <c r="V12" s="91">
        <v>1139.5910100181522</v>
      </c>
      <c r="W12" s="104">
        <v>652.5745130007042</v>
      </c>
      <c r="X12" s="88">
        <v>340.77358289888792</v>
      </c>
      <c r="Y12" s="89">
        <v>311.8009301018165</v>
      </c>
      <c r="Z12" s="88">
        <v>1570.0418515746774</v>
      </c>
      <c r="AA12" s="88">
        <v>742.25177165830621</v>
      </c>
      <c r="AB12" s="90">
        <v>827.79007991632659</v>
      </c>
    </row>
    <row r="13" spans="1:28" s="3" customFormat="1" ht="12" customHeight="1" x14ac:dyDescent="0.2">
      <c r="A13" s="31" t="s">
        <v>12</v>
      </c>
      <c r="B13" s="91">
        <v>1144.0072066892669</v>
      </c>
      <c r="C13" s="91">
        <v>547.47071742240598</v>
      </c>
      <c r="D13" s="92">
        <v>596.5364892668664</v>
      </c>
      <c r="E13" s="91">
        <v>382.19653857790775</v>
      </c>
      <c r="F13" s="91">
        <v>192.38947381117788</v>
      </c>
      <c r="G13" s="92">
        <v>189.80706476673254</v>
      </c>
      <c r="H13" s="91">
        <v>761.81066811136463</v>
      </c>
      <c r="I13" s="91">
        <v>355.08124361123225</v>
      </c>
      <c r="J13" s="93">
        <v>406.72942450013795</v>
      </c>
      <c r="K13" s="91">
        <v>1182.5965992396998</v>
      </c>
      <c r="L13" s="91">
        <v>565.93787593412651</v>
      </c>
      <c r="M13" s="91">
        <v>616.6587233055817</v>
      </c>
      <c r="N13" s="105">
        <v>395.08870584080375</v>
      </c>
      <c r="O13" s="91">
        <v>198.87911206175463</v>
      </c>
      <c r="P13" s="92">
        <v>196.20959377904651</v>
      </c>
      <c r="Q13" s="91">
        <v>787.50789339890446</v>
      </c>
      <c r="R13" s="91">
        <v>367.05876387236799</v>
      </c>
      <c r="S13" s="93">
        <v>420.44912952653135</v>
      </c>
      <c r="T13" s="91">
        <v>1222.3700180097917</v>
      </c>
      <c r="U13" s="91">
        <v>584.97165647420422</v>
      </c>
      <c r="V13" s="91">
        <v>637.39836153557155</v>
      </c>
      <c r="W13" s="105">
        <v>408.3764394253879</v>
      </c>
      <c r="X13" s="91">
        <v>205.56786984588797</v>
      </c>
      <c r="Y13" s="92">
        <v>202.80856957950022</v>
      </c>
      <c r="Z13" s="91">
        <v>813.99357858438782</v>
      </c>
      <c r="AA13" s="91">
        <v>379.40378662831648</v>
      </c>
      <c r="AB13" s="93">
        <v>434.58979195607156</v>
      </c>
    </row>
    <row r="14" spans="1:28" s="3" customFormat="1" ht="12" customHeight="1" x14ac:dyDescent="0.2">
      <c r="A14" s="31" t="s">
        <v>13</v>
      </c>
      <c r="B14" s="91">
        <v>1042.0020494336782</v>
      </c>
      <c r="C14" s="91">
        <v>508.73458175572671</v>
      </c>
      <c r="D14" s="92">
        <v>533.26746767795692</v>
      </c>
      <c r="E14" s="91">
        <v>337.00438030011526</v>
      </c>
      <c r="F14" s="91">
        <v>162.69176980005645</v>
      </c>
      <c r="G14" s="92">
        <v>174.31261050006049</v>
      </c>
      <c r="H14" s="91">
        <v>704.99766913356837</v>
      </c>
      <c r="I14" s="91">
        <v>346.04281195567376</v>
      </c>
      <c r="J14" s="93">
        <v>358.95485717790018</v>
      </c>
      <c r="K14" s="91">
        <v>1077.1506270727361</v>
      </c>
      <c r="L14" s="91">
        <v>525.89510169350399</v>
      </c>
      <c r="M14" s="91">
        <v>551.25552537923159</v>
      </c>
      <c r="N14" s="105">
        <v>348.37213589341081</v>
      </c>
      <c r="O14" s="91">
        <v>168.17965181061135</v>
      </c>
      <c r="P14" s="92">
        <v>180.19248408279785</v>
      </c>
      <c r="Q14" s="91">
        <v>728.77849117932476</v>
      </c>
      <c r="R14" s="91">
        <v>357.7154498828894</v>
      </c>
      <c r="S14" s="93">
        <v>371.06304129643024</v>
      </c>
      <c r="T14" s="91">
        <v>1113.3776574874664</v>
      </c>
      <c r="U14" s="91">
        <v>543.58215247838791</v>
      </c>
      <c r="V14" s="91">
        <v>569.79550500907158</v>
      </c>
      <c r="W14" s="105">
        <v>360.0886847636022</v>
      </c>
      <c r="X14" s="91">
        <v>173.8359167824288</v>
      </c>
      <c r="Y14" s="92">
        <v>186.25276798117369</v>
      </c>
      <c r="Z14" s="91">
        <v>753.28897272385723</v>
      </c>
      <c r="AA14" s="91">
        <v>369.74623569595934</v>
      </c>
      <c r="AB14" s="93">
        <v>383.54273702789811</v>
      </c>
    </row>
    <row r="15" spans="1:28" s="3" customFormat="1" ht="12" customHeight="1" x14ac:dyDescent="0.2">
      <c r="A15" s="31" t="s">
        <v>14</v>
      </c>
      <c r="B15" s="91">
        <v>700.54511184112062</v>
      </c>
      <c r="C15" s="91">
        <v>338.15239827624663</v>
      </c>
      <c r="D15" s="92">
        <v>362.39271356486637</v>
      </c>
      <c r="E15" s="91">
        <v>203.61864842440704</v>
      </c>
      <c r="F15" s="91">
        <v>107.86940303435883</v>
      </c>
      <c r="G15" s="92">
        <v>95.749245390048813</v>
      </c>
      <c r="H15" s="91">
        <v>496.92646341670593</v>
      </c>
      <c r="I15" s="91">
        <v>230.28299524188876</v>
      </c>
      <c r="J15" s="93">
        <v>266.64346817481839</v>
      </c>
      <c r="K15" s="91">
        <v>724.17574123053805</v>
      </c>
      <c r="L15" s="91">
        <v>349.55887855245936</v>
      </c>
      <c r="M15" s="91">
        <v>374.61686267808335</v>
      </c>
      <c r="N15" s="105">
        <v>210.48706665524517</v>
      </c>
      <c r="O15" s="91">
        <v>111.50802935902837</v>
      </c>
      <c r="P15" s="92">
        <v>98.979037296216234</v>
      </c>
      <c r="Q15" s="91">
        <v>513.68867457529655</v>
      </c>
      <c r="R15" s="91">
        <v>238.05084919343219</v>
      </c>
      <c r="S15" s="93">
        <v>275.63782538186859</v>
      </c>
      <c r="T15" s="91">
        <v>748.53142180465363</v>
      </c>
      <c r="U15" s="91">
        <v>361.31534028286626</v>
      </c>
      <c r="V15" s="91">
        <v>387.2160815217818</v>
      </c>
      <c r="W15" s="105">
        <v>217.56622640688582</v>
      </c>
      <c r="X15" s="91">
        <v>115.25829851317165</v>
      </c>
      <c r="Y15" s="92">
        <v>102.30792789371417</v>
      </c>
      <c r="Z15" s="91">
        <v>530.96519539776307</v>
      </c>
      <c r="AA15" s="91">
        <v>246.05704176969229</v>
      </c>
      <c r="AB15" s="93">
        <v>284.90815362806541</v>
      </c>
    </row>
    <row r="16" spans="1:28" s="3" customFormat="1" ht="12" customHeight="1" x14ac:dyDescent="0.2">
      <c r="A16" s="31" t="s">
        <v>15</v>
      </c>
      <c r="B16" s="91">
        <v>647.21641820615469</v>
      </c>
      <c r="C16" s="91">
        <v>338.15239827624663</v>
      </c>
      <c r="D16" s="92">
        <v>309.06401992990294</v>
      </c>
      <c r="E16" s="91">
        <v>123.62560797196184</v>
      </c>
      <c r="F16" s="91">
        <v>71.508930101428788</v>
      </c>
      <c r="G16" s="92">
        <v>52.116677870532833</v>
      </c>
      <c r="H16" s="91">
        <v>523.59081023418821</v>
      </c>
      <c r="I16" s="91">
        <v>266.64346817481839</v>
      </c>
      <c r="J16" s="93">
        <v>256.9473420593705</v>
      </c>
      <c r="K16" s="91">
        <v>669.04817615416528</v>
      </c>
      <c r="L16" s="91">
        <v>349.55887855245936</v>
      </c>
      <c r="M16" s="91">
        <v>319.48929760171058</v>
      </c>
      <c r="N16" s="105">
        <v>127.79571904068415</v>
      </c>
      <c r="O16" s="108">
        <v>73.921053170591961</v>
      </c>
      <c r="P16" s="92">
        <v>53.874665870092485</v>
      </c>
      <c r="Q16" s="91">
        <v>541.25245711348293</v>
      </c>
      <c r="R16" s="91">
        <v>275.63782538186859</v>
      </c>
      <c r="S16" s="93">
        <v>265.614631731619</v>
      </c>
      <c r="T16" s="91">
        <v>691.54979107903944</v>
      </c>
      <c r="U16" s="91">
        <v>361.31534028286626</v>
      </c>
      <c r="V16" s="91">
        <v>330.23445079616761</v>
      </c>
      <c r="W16" s="105">
        <v>132.0937803184664</v>
      </c>
      <c r="X16" s="91">
        <v>76.40718665479919</v>
      </c>
      <c r="Y16" s="92">
        <v>55.686593663667203</v>
      </c>
      <c r="Z16" s="91">
        <v>559.45601076057017</v>
      </c>
      <c r="AA16" s="91">
        <v>284.90815362806541</v>
      </c>
      <c r="AB16" s="93">
        <v>274.54785713249919</v>
      </c>
    </row>
    <row r="17" spans="1:28" s="3" customFormat="1" ht="12" customHeight="1" x14ac:dyDescent="0.2">
      <c r="A17" s="31" t="s">
        <v>16</v>
      </c>
      <c r="B17" s="91">
        <v>330.88030368966071</v>
      </c>
      <c r="C17" s="91">
        <v>181.80236466464928</v>
      </c>
      <c r="D17" s="92">
        <v>149.07793902501263</v>
      </c>
      <c r="E17" s="91">
        <v>75.144977394721792</v>
      </c>
      <c r="F17" s="91">
        <v>49.692646341670844</v>
      </c>
      <c r="G17" s="92">
        <v>25.452331053050944</v>
      </c>
      <c r="H17" s="91">
        <v>255.73532629493948</v>
      </c>
      <c r="I17" s="91">
        <v>132.10971832297881</v>
      </c>
      <c r="J17" s="93">
        <v>123.62560797196184</v>
      </c>
      <c r="K17" s="91">
        <v>342.04148331477217</v>
      </c>
      <c r="L17" s="91">
        <v>187.93488094218307</v>
      </c>
      <c r="M17" s="91">
        <v>154.10660237258992</v>
      </c>
      <c r="N17" s="105">
        <v>77.679750789435602</v>
      </c>
      <c r="O17" s="91">
        <v>51.368867457530044</v>
      </c>
      <c r="P17" s="92">
        <v>26.310883331905632</v>
      </c>
      <c r="Q17" s="91">
        <v>264.3617325253378</v>
      </c>
      <c r="R17" s="91">
        <v>136.56601348465273</v>
      </c>
      <c r="S17" s="93">
        <v>127.79571904068415</v>
      </c>
      <c r="T17" s="91">
        <v>353.5451179111916</v>
      </c>
      <c r="U17" s="91">
        <v>194.25555929186234</v>
      </c>
      <c r="V17" s="91">
        <v>159.28955861932712</v>
      </c>
      <c r="W17" s="105">
        <v>80.292297840636436</v>
      </c>
      <c r="X17" s="91">
        <v>53.096519539775706</v>
      </c>
      <c r="Y17" s="92">
        <v>27.195778300860727</v>
      </c>
      <c r="Z17" s="91">
        <v>273.25282007055341</v>
      </c>
      <c r="AA17" s="91">
        <v>141.15903975208664</v>
      </c>
      <c r="AB17" s="93">
        <v>132.0937803184664</v>
      </c>
    </row>
    <row r="18" spans="1:28" s="3" customFormat="1" ht="12" customHeight="1" x14ac:dyDescent="0.2">
      <c r="A18" s="31" t="s">
        <v>17</v>
      </c>
      <c r="B18" s="91">
        <v>340.5764298051086</v>
      </c>
      <c r="C18" s="91">
        <v>204.83066418883803</v>
      </c>
      <c r="D18" s="92">
        <v>135.74576561627177</v>
      </c>
      <c r="E18" s="91">
        <v>63.02481975041178</v>
      </c>
      <c r="F18" s="91">
        <v>29.088378346343937</v>
      </c>
      <c r="G18" s="92">
        <v>33.936441404067921</v>
      </c>
      <c r="H18" s="91">
        <v>277.55161005469728</v>
      </c>
      <c r="I18" s="91">
        <v>175.74228584249434</v>
      </c>
      <c r="J18" s="93">
        <v>101.80932421220382</v>
      </c>
      <c r="K18" s="91">
        <v>352.06467696502176</v>
      </c>
      <c r="L18" s="91">
        <v>211.7399658615264</v>
      </c>
      <c r="M18" s="91">
        <v>140.32471110349641</v>
      </c>
      <c r="N18" s="105">
        <v>65.150758726623465</v>
      </c>
      <c r="O18" s="91">
        <v>30.069580950749295</v>
      </c>
      <c r="P18" s="92">
        <v>35.081177775874174</v>
      </c>
      <c r="Q18" s="91">
        <v>286.91391823839939</v>
      </c>
      <c r="R18" s="91">
        <v>181.67038491077693</v>
      </c>
      <c r="S18" s="93">
        <v>105.2435333276223</v>
      </c>
      <c r="T18" s="91">
        <v>363.90541440675781</v>
      </c>
      <c r="U18" s="91">
        <v>218.86126346883157</v>
      </c>
      <c r="V18" s="91">
        <v>145.04415093792389</v>
      </c>
      <c r="W18" s="105">
        <v>67.341927221178949</v>
      </c>
      <c r="X18" s="91">
        <v>31.080889486697973</v>
      </c>
      <c r="Y18" s="92">
        <v>36.261037734480972</v>
      </c>
      <c r="Z18" s="91">
        <v>296.5634871855774</v>
      </c>
      <c r="AA18" s="91">
        <v>187.7803739821336</v>
      </c>
      <c r="AB18" s="93">
        <v>108.78311320344291</v>
      </c>
    </row>
    <row r="19" spans="1:28" s="3" customFormat="1" ht="12" customHeight="1" x14ac:dyDescent="0.2">
      <c r="A19" s="31" t="s">
        <v>18</v>
      </c>
      <c r="B19" s="91">
        <v>269.77598341794885</v>
      </c>
      <c r="C19" s="91">
        <v>174.20511933715082</v>
      </c>
      <c r="D19" s="92">
        <v>95.570864080798017</v>
      </c>
      <c r="E19" s="91">
        <v>94.361106307623359</v>
      </c>
      <c r="F19" s="91">
        <v>79.84401302952746</v>
      </c>
      <c r="G19" s="92">
        <v>14.517093278095901</v>
      </c>
      <c r="H19" s="91">
        <v>175.41487711032548</v>
      </c>
      <c r="I19" s="91">
        <v>94.361106307623359</v>
      </c>
      <c r="J19" s="93">
        <v>81.053770802702118</v>
      </c>
      <c r="K19" s="91">
        <v>278.87600592123005</v>
      </c>
      <c r="L19" s="91">
        <v>180.08136705227423</v>
      </c>
      <c r="M19" s="91">
        <v>98.794638868956156</v>
      </c>
      <c r="N19" s="105">
        <v>97.544073819982032</v>
      </c>
      <c r="O19" s="91">
        <v>82.537293232292541</v>
      </c>
      <c r="P19" s="92">
        <v>15.006780587689555</v>
      </c>
      <c r="Q19" s="91">
        <v>181.33193210124836</v>
      </c>
      <c r="R19" s="91">
        <v>97.544073819982032</v>
      </c>
      <c r="S19" s="93">
        <v>83.787858281266665</v>
      </c>
      <c r="T19" s="91">
        <v>288.25524155878043</v>
      </c>
      <c r="U19" s="91">
        <v>186.13791383167879</v>
      </c>
      <c r="V19" s="91">
        <v>102.11732772710121</v>
      </c>
      <c r="W19" s="105">
        <v>100.82470332549234</v>
      </c>
      <c r="X19" s="91">
        <v>85.313210506185825</v>
      </c>
      <c r="Y19" s="92">
        <v>15.511492819306513</v>
      </c>
      <c r="Z19" s="91">
        <v>187.43053823328768</v>
      </c>
      <c r="AA19" s="91">
        <v>100.82470332549234</v>
      </c>
      <c r="AB19" s="93">
        <v>86.605834907794701</v>
      </c>
    </row>
    <row r="20" spans="1:28" s="3" customFormat="1" ht="12" customHeight="1" x14ac:dyDescent="0.2">
      <c r="A20" s="31" t="s">
        <v>19</v>
      </c>
      <c r="B20" s="91">
        <v>189.93197038842138</v>
      </c>
      <c r="C20" s="91">
        <v>99.200137400321992</v>
      </c>
      <c r="D20" s="92">
        <v>90.731832988099384</v>
      </c>
      <c r="E20" s="91">
        <v>19.356124370794536</v>
      </c>
      <c r="F20" s="91">
        <v>9.6780621853972679</v>
      </c>
      <c r="G20" s="92">
        <v>9.6780621853972679</v>
      </c>
      <c r="H20" s="91">
        <v>170.57584601762684</v>
      </c>
      <c r="I20" s="91">
        <v>89.522075214924726</v>
      </c>
      <c r="J20" s="93">
        <v>81.053770802702118</v>
      </c>
      <c r="K20" s="91">
        <v>196.33871268893785</v>
      </c>
      <c r="L20" s="91">
        <v>102.54633401587853</v>
      </c>
      <c r="M20" s="91">
        <v>93.792378673059659</v>
      </c>
      <c r="N20" s="105">
        <v>20.00904078358608</v>
      </c>
      <c r="O20" s="91">
        <v>10.004520391793037</v>
      </c>
      <c r="P20" s="92">
        <v>10.004520391793037</v>
      </c>
      <c r="Q20" s="91">
        <v>176.32967190535186</v>
      </c>
      <c r="R20" s="91">
        <v>92.541813624085535</v>
      </c>
      <c r="S20" s="93">
        <v>83.787858281266665</v>
      </c>
      <c r="T20" s="91">
        <v>202.94203105259436</v>
      </c>
      <c r="U20" s="91">
        <v>105.99520093192784</v>
      </c>
      <c r="V20" s="91">
        <v>96.946830120665709</v>
      </c>
      <c r="W20" s="105">
        <v>20.681990425742018</v>
      </c>
      <c r="X20" s="91">
        <v>10.340995212871009</v>
      </c>
      <c r="Y20" s="92">
        <v>10.340995212871009</v>
      </c>
      <c r="Z20" s="91">
        <v>182.26004062685212</v>
      </c>
      <c r="AA20" s="91">
        <v>95.654205719056833</v>
      </c>
      <c r="AB20" s="93">
        <v>86.605834907794701</v>
      </c>
    </row>
    <row r="21" spans="1:28" s="3" customFormat="1" ht="12" customHeight="1" x14ac:dyDescent="0.2">
      <c r="A21" s="31" t="s">
        <v>20</v>
      </c>
      <c r="B21" s="91">
        <v>108.87819958571926</v>
      </c>
      <c r="C21" s="91">
        <v>55.648857566034287</v>
      </c>
      <c r="D21" s="92">
        <v>53.229342019684971</v>
      </c>
      <c r="E21" s="91">
        <v>9.6780621853972679</v>
      </c>
      <c r="F21" s="91">
        <v>8.4683044122226097</v>
      </c>
      <c r="G21" s="92">
        <v>1.2097577731746587</v>
      </c>
      <c r="H21" s="91">
        <v>99.200137400321992</v>
      </c>
      <c r="I21" s="91">
        <v>47.18055315381168</v>
      </c>
      <c r="J21" s="93">
        <v>52.019584246510313</v>
      </c>
      <c r="K21" s="91">
        <v>112.55085440767152</v>
      </c>
      <c r="L21" s="91">
        <v>57.52599225281002</v>
      </c>
      <c r="M21" s="91">
        <v>55.024862154861758</v>
      </c>
      <c r="N21" s="105">
        <v>10.004520391793037</v>
      </c>
      <c r="O21" s="91">
        <v>8.753955342818907</v>
      </c>
      <c r="P21" s="92">
        <v>1.2505650489741296</v>
      </c>
      <c r="Q21" s="91">
        <v>102.54633401587853</v>
      </c>
      <c r="R21" s="91">
        <v>48.772036909991101</v>
      </c>
      <c r="S21" s="93">
        <v>53.774297105887626</v>
      </c>
      <c r="T21" s="91">
        <v>116.33619614479885</v>
      </c>
      <c r="U21" s="91">
        <v>59.4607224740083</v>
      </c>
      <c r="V21" s="91">
        <v>56.875473670790548</v>
      </c>
      <c r="W21" s="105">
        <v>10.340995212871009</v>
      </c>
      <c r="X21" s="91">
        <v>9.0483708112621333</v>
      </c>
      <c r="Y21" s="92">
        <v>1.2926244016088764</v>
      </c>
      <c r="Z21" s="91">
        <v>105.99520093192784</v>
      </c>
      <c r="AA21" s="91">
        <v>50.412351662746168</v>
      </c>
      <c r="AB21" s="93">
        <v>55.582849269181672</v>
      </c>
    </row>
    <row r="22" spans="1:28" s="3" customFormat="1" ht="12" customHeight="1" x14ac:dyDescent="0.2">
      <c r="A22" s="31" t="s">
        <v>28</v>
      </c>
      <c r="B22" s="91">
        <v>141.54165946143505</v>
      </c>
      <c r="C22" s="91">
        <v>60.487888658732921</v>
      </c>
      <c r="D22" s="92">
        <v>81.053770802702118</v>
      </c>
      <c r="E22" s="91">
        <v>29.034186556191802</v>
      </c>
      <c r="F22" s="91">
        <v>10.887819958571926</v>
      </c>
      <c r="G22" s="92">
        <v>18.146366597619878</v>
      </c>
      <c r="H22" s="91">
        <v>112.50747290524323</v>
      </c>
      <c r="I22" s="91">
        <v>49.600068700160996</v>
      </c>
      <c r="J22" s="93">
        <v>62.907404205082237</v>
      </c>
      <c r="K22" s="91">
        <v>146.31611072997288</v>
      </c>
      <c r="L22" s="91">
        <v>62.528252448706546</v>
      </c>
      <c r="M22" s="91">
        <v>83.787858281266665</v>
      </c>
      <c r="N22" s="107">
        <v>30.013561175379131</v>
      </c>
      <c r="O22" s="97">
        <v>11.255085440767166</v>
      </c>
      <c r="P22" s="98">
        <v>18.758475734611949</v>
      </c>
      <c r="Q22" s="91">
        <v>116.3025495545939</v>
      </c>
      <c r="R22" s="91">
        <v>51.273167007939364</v>
      </c>
      <c r="S22" s="93">
        <v>65.029382546654801</v>
      </c>
      <c r="T22" s="91">
        <v>151.23705498823875</v>
      </c>
      <c r="U22" s="91">
        <v>64.631220080443811</v>
      </c>
      <c r="V22" s="91">
        <v>86.605834907794701</v>
      </c>
      <c r="W22" s="105">
        <v>31.022985638613026</v>
      </c>
      <c r="X22" s="91">
        <v>11.633619614479885</v>
      </c>
      <c r="Y22" s="92">
        <v>19.389366024133142</v>
      </c>
      <c r="Z22" s="91">
        <v>120.21406934962548</v>
      </c>
      <c r="AA22" s="91">
        <v>52.99760046596392</v>
      </c>
      <c r="AB22" s="93">
        <v>67.216468883661562</v>
      </c>
    </row>
    <row r="23" spans="1:28" s="3" customFormat="1" ht="12" customHeight="1" x14ac:dyDescent="0.2">
      <c r="A23" s="31" t="s">
        <v>29</v>
      </c>
      <c r="B23" s="91">
        <v>24.195155463493169</v>
      </c>
      <c r="C23" s="91">
        <v>4.8390310926986349</v>
      </c>
      <c r="D23" s="92">
        <v>19.356124370794536</v>
      </c>
      <c r="E23" s="91">
        <v>1.2097577731746587</v>
      </c>
      <c r="F23" s="91">
        <v>1.2097577731746587</v>
      </c>
      <c r="G23" s="111">
        <v>0</v>
      </c>
      <c r="H23" s="91">
        <v>22.985397690318511</v>
      </c>
      <c r="I23" s="91">
        <v>3.6292733195239761</v>
      </c>
      <c r="J23" s="93">
        <v>19.356124370794536</v>
      </c>
      <c r="K23" s="91">
        <v>25.011300979482606</v>
      </c>
      <c r="L23" s="91">
        <v>5.0022601958965183</v>
      </c>
      <c r="M23" s="91">
        <v>20.00904078358608</v>
      </c>
      <c r="N23" s="107">
        <v>1.2505650489741296</v>
      </c>
      <c r="O23" s="97">
        <v>1.2505650489741296</v>
      </c>
      <c r="P23" s="102">
        <v>0</v>
      </c>
      <c r="Q23" s="105">
        <v>23.760735930508474</v>
      </c>
      <c r="R23" s="91">
        <v>3.7516951469223887</v>
      </c>
      <c r="S23" s="93">
        <v>20.00904078358608</v>
      </c>
      <c r="T23" s="91">
        <v>25.852488032177522</v>
      </c>
      <c r="U23" s="91">
        <v>5.1704976064355055</v>
      </c>
      <c r="V23" s="91">
        <v>20.681990425742018</v>
      </c>
      <c r="W23" s="105">
        <v>1.2926244016088764</v>
      </c>
      <c r="X23" s="91">
        <v>1.2926244016088764</v>
      </c>
      <c r="Y23" s="102">
        <v>0</v>
      </c>
      <c r="Z23" s="105">
        <v>24.559863630568646</v>
      </c>
      <c r="AA23" s="91">
        <v>3.8778732048266291</v>
      </c>
      <c r="AB23" s="93">
        <v>20.681990425742018</v>
      </c>
    </row>
    <row r="24" spans="1:28" s="3" customFormat="1" ht="12" customHeight="1" x14ac:dyDescent="0.2">
      <c r="A24" s="31" t="s">
        <v>30</v>
      </c>
      <c r="B24" s="91">
        <v>21.775639917143852</v>
      </c>
      <c r="C24" s="91">
        <v>8.4683044122226097</v>
      </c>
      <c r="D24" s="92">
        <v>13.307335504921243</v>
      </c>
      <c r="E24" s="91">
        <v>1.2097577731746587</v>
      </c>
      <c r="F24" s="102">
        <v>0</v>
      </c>
      <c r="G24" s="92">
        <v>1.2097577731746587</v>
      </c>
      <c r="H24" s="91">
        <v>20.565882143969194</v>
      </c>
      <c r="I24" s="91">
        <v>8.4683044122226097</v>
      </c>
      <c r="J24" s="93">
        <v>12.097577731746584</v>
      </c>
      <c r="K24" s="91">
        <v>22.510170881534343</v>
      </c>
      <c r="L24" s="91">
        <v>8.753955342818907</v>
      </c>
      <c r="M24" s="91">
        <v>13.756215538715425</v>
      </c>
      <c r="N24" s="107">
        <v>1.2505650489741296</v>
      </c>
      <c r="O24" s="102">
        <v>0</v>
      </c>
      <c r="P24" s="97">
        <v>1.2505650489741296</v>
      </c>
      <c r="Q24" s="105">
        <v>21.259605832560212</v>
      </c>
      <c r="R24" s="91">
        <v>8.753955342818907</v>
      </c>
      <c r="S24" s="93">
        <v>12.505650489741296</v>
      </c>
      <c r="T24" s="91">
        <v>23.26723922895977</v>
      </c>
      <c r="U24" s="91">
        <v>9.0483708112621333</v>
      </c>
      <c r="V24" s="91">
        <v>14.218868417697637</v>
      </c>
      <c r="W24" s="105">
        <v>1.2926244016088764</v>
      </c>
      <c r="X24" s="102">
        <v>0</v>
      </c>
      <c r="Y24" s="92">
        <v>1.2926244016088764</v>
      </c>
      <c r="Z24" s="91">
        <v>21.974614827350894</v>
      </c>
      <c r="AA24" s="91">
        <v>9.0483708112621333</v>
      </c>
      <c r="AB24" s="93">
        <v>12.926244016088761</v>
      </c>
    </row>
    <row r="25" spans="1:28" s="3" customFormat="1" ht="12" customHeight="1" thickBot="1" x14ac:dyDescent="0.25">
      <c r="A25" s="36" t="s">
        <v>31</v>
      </c>
      <c r="B25" s="94">
        <v>4.8390310926986349</v>
      </c>
      <c r="C25" s="94">
        <v>3.6292733195239761</v>
      </c>
      <c r="D25" s="95">
        <v>1.2097577731746587</v>
      </c>
      <c r="E25" s="110">
        <v>0</v>
      </c>
      <c r="F25" s="110">
        <v>0</v>
      </c>
      <c r="G25" s="112">
        <v>0</v>
      </c>
      <c r="H25" s="94">
        <v>4.8390310926986349</v>
      </c>
      <c r="I25" s="94">
        <v>3.6292733195239761</v>
      </c>
      <c r="J25" s="106">
        <v>1.2097577731746587</v>
      </c>
      <c r="K25" s="94">
        <v>5.0022601958965183</v>
      </c>
      <c r="L25" s="94">
        <v>3.7516951469223887</v>
      </c>
      <c r="M25" s="94">
        <v>1.2505650489741296</v>
      </c>
      <c r="N25" s="113">
        <v>0</v>
      </c>
      <c r="O25" s="110">
        <v>0</v>
      </c>
      <c r="P25" s="112">
        <v>0</v>
      </c>
      <c r="Q25" s="109">
        <v>5.0022601958965183</v>
      </c>
      <c r="R25" s="94">
        <v>3.7516951469223887</v>
      </c>
      <c r="S25" s="106">
        <v>1.2505650489741296</v>
      </c>
      <c r="T25" s="94">
        <v>5.1704976064355055</v>
      </c>
      <c r="U25" s="94">
        <v>3.8778732048266291</v>
      </c>
      <c r="V25" s="94">
        <v>1.2926244016088764</v>
      </c>
      <c r="W25" s="113">
        <v>0</v>
      </c>
      <c r="X25" s="110">
        <v>0</v>
      </c>
      <c r="Y25" s="112">
        <v>0</v>
      </c>
      <c r="Z25" s="94">
        <v>5.1704976064355055</v>
      </c>
      <c r="AA25" s="94">
        <v>3.8778732048266291</v>
      </c>
      <c r="AB25" s="106">
        <v>1.2926244016088764</v>
      </c>
    </row>
    <row r="26" spans="1:28" s="3" customFormat="1" ht="14.25" customHeight="1" x14ac:dyDescent="0.2">
      <c r="A26" s="51" t="s">
        <v>64</v>
      </c>
      <c r="B26" s="163">
        <v>26074.303130214968</v>
      </c>
      <c r="C26" s="91">
        <v>12653.559040650589</v>
      </c>
      <c r="D26" s="155">
        <v>13420.744089558924</v>
      </c>
      <c r="E26" s="91">
        <v>7720.4860782583519</v>
      </c>
      <c r="F26" s="91">
        <v>3992.7228572394233</v>
      </c>
      <c r="G26" s="155">
        <v>3727.7632210188935</v>
      </c>
      <c r="H26" s="91">
        <v>18353.81705195177</v>
      </c>
      <c r="I26" s="164">
        <v>8660.836183411966</v>
      </c>
      <c r="J26" s="162">
        <v>9692.9808685408825</v>
      </c>
      <c r="K26" s="164">
        <v>26953.835630598413</v>
      </c>
      <c r="L26" s="164">
        <v>13080.386034505853</v>
      </c>
      <c r="M26" s="161">
        <v>13873.449596099787</v>
      </c>
      <c r="N26" s="164">
        <v>7980.9117698208438</v>
      </c>
      <c r="O26" s="164">
        <v>4127.4044823046897</v>
      </c>
      <c r="P26" s="161">
        <v>3853.5072875159562</v>
      </c>
      <c r="Q26" s="164">
        <v>18972.923860784034</v>
      </c>
      <c r="R26" s="164">
        <v>8952.9815522018907</v>
      </c>
      <c r="S26" s="162">
        <v>10019.94230858451</v>
      </c>
      <c r="T26" s="164">
        <v>27860.354550650329</v>
      </c>
      <c r="U26" s="164">
        <v>13520.309227048268</v>
      </c>
      <c r="V26" s="164">
        <v>14340.045323610841</v>
      </c>
      <c r="W26" s="153">
        <v>8249.328021138188</v>
      </c>
      <c r="X26" s="91">
        <v>4266.2185013994258</v>
      </c>
      <c r="Y26" s="155">
        <v>3983.1095197381833</v>
      </c>
      <c r="Z26" s="91">
        <v>19611.026529518538</v>
      </c>
      <c r="AA26" s="91">
        <v>9254.0907256484443</v>
      </c>
      <c r="AB26" s="165">
        <v>10356.935803872164</v>
      </c>
    </row>
    <row r="27" spans="1:28" s="3" customFormat="1" ht="12" customHeight="1" x14ac:dyDescent="0.2">
      <c r="A27" s="51" t="s">
        <v>22</v>
      </c>
      <c r="B27" s="97">
        <v>760.73650434899764</v>
      </c>
      <c r="C27" s="97">
        <v>418.95633572843775</v>
      </c>
      <c r="D27" s="98">
        <v>341.78016862056677</v>
      </c>
      <c r="E27" s="97">
        <v>363.83050207995848</v>
      </c>
      <c r="F27" s="97">
        <v>213.15322344078277</v>
      </c>
      <c r="G27" s="98">
        <v>150.67727863917438</v>
      </c>
      <c r="H27" s="97">
        <v>396.90600226904604</v>
      </c>
      <c r="I27" s="97">
        <v>205.80311228765237</v>
      </c>
      <c r="J27" s="99">
        <v>191.10288998139157</v>
      </c>
      <c r="K27" s="97">
        <v>786.39749618725534</v>
      </c>
      <c r="L27" s="97">
        <v>433.08847616109705</v>
      </c>
      <c r="M27" s="97">
        <v>353.30902002615807</v>
      </c>
      <c r="N27" s="107">
        <v>376.10315035042635</v>
      </c>
      <c r="O27" s="97">
        <v>220.34325980125976</v>
      </c>
      <c r="P27" s="98">
        <v>155.7598905491663</v>
      </c>
      <c r="Q27" s="97">
        <v>410.29434583682877</v>
      </c>
      <c r="R27" s="97">
        <v>212.745216359837</v>
      </c>
      <c r="S27" s="99">
        <v>197.54912947699148</v>
      </c>
      <c r="T27" s="97">
        <v>812.84583618393151</v>
      </c>
      <c r="U27" s="97">
        <v>447.65422862302813</v>
      </c>
      <c r="V27" s="97">
        <v>365.19160756089161</v>
      </c>
      <c r="W27" s="107">
        <v>388.75235643578776</v>
      </c>
      <c r="X27" s="97">
        <v>227.75390579066408</v>
      </c>
      <c r="Y27" s="98">
        <v>160.99845064512499</v>
      </c>
      <c r="Z27" s="97">
        <v>424.09347974813198</v>
      </c>
      <c r="AA27" s="97">
        <v>219.90032283236536</v>
      </c>
      <c r="AB27" s="99">
        <v>204.19315691576793</v>
      </c>
    </row>
    <row r="28" spans="1:28" ht="12.75" thickBot="1" x14ac:dyDescent="0.25">
      <c r="A28" s="52" t="s">
        <v>21</v>
      </c>
      <c r="B28" s="150">
        <v>15822.663702548314</v>
      </c>
      <c r="C28" s="150">
        <v>7890.6497380102737</v>
      </c>
      <c r="D28" s="150">
        <v>7932.0139645414629</v>
      </c>
      <c r="E28" s="157">
        <v>5023.2897647188711</v>
      </c>
      <c r="F28" s="150">
        <v>2739.6072787877051</v>
      </c>
      <c r="G28" s="154">
        <v>2283.6824859311641</v>
      </c>
      <c r="H28" s="150">
        <v>10799.373937831471</v>
      </c>
      <c r="I28" s="150">
        <v>5151.0424592221343</v>
      </c>
      <c r="J28" s="152">
        <v>5648.3314786099445</v>
      </c>
      <c r="K28" s="150">
        <v>16356.39021864582</v>
      </c>
      <c r="L28" s="150">
        <v>8156.8153516856119</v>
      </c>
      <c r="M28" s="154">
        <v>8199.5748669578152</v>
      </c>
      <c r="N28" s="150">
        <v>5192.7342397988959</v>
      </c>
      <c r="O28" s="150">
        <v>2832.0190923645478</v>
      </c>
      <c r="P28" s="150">
        <v>2360.7151474343386</v>
      </c>
      <c r="Q28" s="157">
        <v>11163.655978845381</v>
      </c>
      <c r="R28" s="150">
        <v>5324.7962593209986</v>
      </c>
      <c r="S28" s="152">
        <v>5838.8597195233997</v>
      </c>
      <c r="T28" s="150">
        <v>16906.492897910004</v>
      </c>
      <c r="U28" s="150">
        <v>8431.1476413447253</v>
      </c>
      <c r="V28" s="154">
        <v>8475.3452565644857</v>
      </c>
      <c r="W28" s="150">
        <v>5367.377726524689</v>
      </c>
      <c r="X28" s="150">
        <v>2927.2663486123511</v>
      </c>
      <c r="Y28" s="150">
        <v>2440.1113779124316</v>
      </c>
      <c r="Z28" s="157">
        <v>11539.115171384901</v>
      </c>
      <c r="AA28" s="150">
        <v>5503.8812927326035</v>
      </c>
      <c r="AB28" s="152">
        <v>6035.2338786522632</v>
      </c>
    </row>
    <row r="29" spans="1:28" x14ac:dyDescent="0.2">
      <c r="A29" s="57" t="s">
        <v>82</v>
      </c>
    </row>
    <row r="31" spans="1:28" x14ac:dyDescent="0.2">
      <c r="B31" s="186"/>
    </row>
    <row r="32" spans="1:28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3" customFormat="1" ht="30" customHeight="1" thickBot="1" x14ac:dyDescent="0.25">
      <c r="A1" s="58" t="s">
        <v>78</v>
      </c>
      <c r="B1" s="56"/>
      <c r="C1" s="56"/>
      <c r="D1" s="56"/>
      <c r="E1" s="56"/>
      <c r="F1" s="56"/>
      <c r="G1" s="56"/>
      <c r="H1" s="56"/>
      <c r="I1" s="56"/>
      <c r="J1" s="56"/>
    </row>
    <row r="2" spans="1:28" s="3" customFormat="1" ht="13.5" customHeight="1" x14ac:dyDescent="0.2">
      <c r="A2" s="256" t="s">
        <v>25</v>
      </c>
      <c r="B2" s="259" t="s">
        <v>45</v>
      </c>
      <c r="C2" s="259"/>
      <c r="D2" s="259"/>
      <c r="E2" s="259"/>
      <c r="F2" s="259"/>
      <c r="G2" s="259"/>
      <c r="H2" s="259"/>
      <c r="I2" s="259"/>
      <c r="J2" s="260"/>
      <c r="K2" s="259" t="s">
        <v>46</v>
      </c>
      <c r="L2" s="259"/>
      <c r="M2" s="259"/>
      <c r="N2" s="259"/>
      <c r="O2" s="259"/>
      <c r="P2" s="259"/>
      <c r="Q2" s="259"/>
      <c r="R2" s="259"/>
      <c r="S2" s="260"/>
      <c r="T2" s="259" t="s">
        <v>47</v>
      </c>
      <c r="U2" s="259"/>
      <c r="V2" s="259"/>
      <c r="W2" s="259"/>
      <c r="X2" s="259"/>
      <c r="Y2" s="259"/>
      <c r="Z2" s="259"/>
      <c r="AA2" s="259"/>
      <c r="AB2" s="260"/>
    </row>
    <row r="3" spans="1:28" s="3" customFormat="1" ht="17.25" customHeight="1" thickBot="1" x14ac:dyDescent="0.25">
      <c r="A3" s="257"/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10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s="3" customFormat="1" ht="12.75" customHeight="1" thickBot="1" x14ac:dyDescent="0.25">
      <c r="A4" s="258"/>
      <c r="B4" s="7" t="s">
        <v>0</v>
      </c>
      <c r="C4" s="8" t="s">
        <v>3</v>
      </c>
      <c r="D4" s="8" t="s">
        <v>4</v>
      </c>
      <c r="E4" s="18" t="s">
        <v>0</v>
      </c>
      <c r="F4" s="84" t="s">
        <v>3</v>
      </c>
      <c r="G4" s="20" t="s">
        <v>4</v>
      </c>
      <c r="H4" s="16" t="s">
        <v>0</v>
      </c>
      <c r="I4" s="8" t="s">
        <v>3</v>
      </c>
      <c r="J4" s="17" t="s">
        <v>4</v>
      </c>
      <c r="K4" s="85" t="s">
        <v>0</v>
      </c>
      <c r="L4" s="19" t="s">
        <v>3</v>
      </c>
      <c r="M4" s="19" t="s">
        <v>4</v>
      </c>
      <c r="N4" s="18" t="s">
        <v>0</v>
      </c>
      <c r="O4" s="19" t="s">
        <v>3</v>
      </c>
      <c r="P4" s="20" t="s">
        <v>4</v>
      </c>
      <c r="Q4" s="86" t="s">
        <v>0</v>
      </c>
      <c r="R4" s="19" t="s">
        <v>3</v>
      </c>
      <c r="S4" s="87" t="s">
        <v>4</v>
      </c>
      <c r="T4" s="7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s="3" customFormat="1" ht="16.5" customHeight="1" thickBot="1" x14ac:dyDescent="0.25">
      <c r="A5" s="21" t="s">
        <v>44</v>
      </c>
      <c r="B5" s="22">
        <f>+B6+B7+B8+B9+B10+B11+B12+B13+B14+B15+B16+B17+B18+B19+B20+B21+B22+B23+B24+B25</f>
        <v>14825.344438712242</v>
      </c>
      <c r="C5" s="22">
        <f t="shared" ref="C5:J5" si="0">+C6+C7+C8+C9+C10+C11+C12+C13+C14+C15+C16+C17+C18+C19+C20+C21+C22+C23+C24+C25</f>
        <v>7559.6639939631195</v>
      </c>
      <c r="D5" s="25">
        <f t="shared" si="0"/>
        <v>7265.6804447492104</v>
      </c>
      <c r="E5" s="130">
        <f t="shared" si="0"/>
        <v>0</v>
      </c>
      <c r="F5" s="131">
        <f t="shared" si="0"/>
        <v>0</v>
      </c>
      <c r="G5" s="134">
        <f t="shared" si="0"/>
        <v>0</v>
      </c>
      <c r="H5" s="22">
        <f t="shared" si="0"/>
        <v>14825.344438712242</v>
      </c>
      <c r="I5" s="22">
        <f t="shared" si="0"/>
        <v>7559.6639939631195</v>
      </c>
      <c r="J5" s="22">
        <f t="shared" si="0"/>
        <v>7265.6804447492104</v>
      </c>
      <c r="K5" s="81">
        <f>+K6+K7+K8+K9+K10+K11+K12+K13+K14+K15+K16+K17+K18+K19+K20+K21+K22+K23+K24+K25</f>
        <v>15325.42960679118</v>
      </c>
      <c r="L5" s="24">
        <f t="shared" ref="L5:S5" si="1">+L6+L7+L8+L9+L10+L11+L12+L13+L14+L15+L16+L17+L18+L19+L20+L21+L22+L23+L24+L25</f>
        <v>7814.6648713233944</v>
      </c>
      <c r="M5" s="25">
        <f t="shared" si="1"/>
        <v>7510.7647354676792</v>
      </c>
      <c r="N5" s="147">
        <v>0</v>
      </c>
      <c r="O5" s="148">
        <v>0</v>
      </c>
      <c r="P5" s="149">
        <v>0</v>
      </c>
      <c r="Q5" s="24">
        <f t="shared" si="1"/>
        <v>15325.42960679118</v>
      </c>
      <c r="R5" s="24">
        <f t="shared" si="1"/>
        <v>7814.6648713233944</v>
      </c>
      <c r="S5" s="82">
        <f t="shared" si="1"/>
        <v>7510.7647354676792</v>
      </c>
      <c r="T5" s="24">
        <f t="shared" ref="T5" si="2">+T6+T7+T8+T9+T10+T11+T12+T13+T14+T15+T16+T17+T18+T19+T20+T21+T22+T23+T24+T25</f>
        <v>15840.858731121489</v>
      </c>
      <c r="U5" s="22">
        <f t="shared" ref="U5" si="3">+U6+U7+U8+U9+U10+U11+U12+U13+U14+U15+U16+U17+U18+U19+U20+U21+U22+U23+U24+U25</f>
        <v>8077.4898605672861</v>
      </c>
      <c r="V5" s="25">
        <f t="shared" ref="V5" si="4">+V6+V7+V8+V9+V10+V11+V12+V13+V14+V15+V16+V17+V18+V19+V20+V21+V22+V23+V24+V25</f>
        <v>7763.3688705543354</v>
      </c>
      <c r="W5" s="130">
        <f>+W6+W7+W8+W9+W10+W11+W12+W13+W14+W15+W16+W17+W18+W19+W20+W21+W22+W23+W24+W25</f>
        <v>0</v>
      </c>
      <c r="X5" s="130">
        <f t="shared" ref="X5" si="5">+X6+X7+X8+X9+X10+X11+X12+X13+X14+X15+X16+X17+X18+X19+X20+X21+X22+X23+X24+X25</f>
        <v>0</v>
      </c>
      <c r="Y5" s="130">
        <f t="shared" ref="Y5" si="6">+Y6+Y7+Y8+Y9+Y10+Y11+Y12+Y13+Y14+Y15+Y16+Y17+Y18+Y19+Y20+Y21+Y22+Y23+Y24+Y25</f>
        <v>0</v>
      </c>
      <c r="Z5" s="23">
        <f t="shared" ref="Z5" si="7">+Z6+Z7+Z8+Z9+Z10+Z11+Z12+Z13+Z14+Z15+Z16+Z17+Z18+Z19+Z20+Z21+Z22+Z23+Z24+Z25</f>
        <v>15840.858731121489</v>
      </c>
      <c r="AA5" s="22">
        <f t="shared" ref="AA5" si="8">+AA6+AA7+AA8+AA9+AA10+AA11+AA12+AA13+AA14+AA15+AA16+AA17+AA18+AA19+AA20+AA21+AA22+AA23+AA24+AA25</f>
        <v>8077.4898605672861</v>
      </c>
      <c r="AB5" s="82">
        <f t="shared" ref="AB5" si="9">+AB6+AB7+AB8+AB9+AB10+AB11+AB12+AB13+AB14+AB15+AB16+AB17+AB18+AB19+AB20+AB21+AB22+AB23+AB24+AB25</f>
        <v>7763.3688705543354</v>
      </c>
    </row>
    <row r="6" spans="1:28" s="3" customFormat="1" ht="12" customHeight="1" x14ac:dyDescent="0.2">
      <c r="A6" s="26" t="s">
        <v>5</v>
      </c>
      <c r="B6" s="88">
        <v>2164.3689243573644</v>
      </c>
      <c r="C6" s="88">
        <v>1081.1001090101652</v>
      </c>
      <c r="D6" s="88">
        <v>1083.2688153471966</v>
      </c>
      <c r="E6" s="132">
        <v>0</v>
      </c>
      <c r="F6" s="102">
        <v>0</v>
      </c>
      <c r="G6" s="111">
        <v>0</v>
      </c>
      <c r="H6" s="129">
        <v>2164.3689243573644</v>
      </c>
      <c r="I6" s="88">
        <v>1081.1001090101652</v>
      </c>
      <c r="J6" s="90">
        <v>1083.2688153471966</v>
      </c>
      <c r="K6" s="114">
        <v>2237.3769277664842</v>
      </c>
      <c r="L6" s="114">
        <v>1117.5675335587068</v>
      </c>
      <c r="M6" s="114">
        <v>1119.8093942077714</v>
      </c>
      <c r="N6" s="115">
        <v>0</v>
      </c>
      <c r="O6" s="116">
        <v>0</v>
      </c>
      <c r="P6" s="117">
        <v>0</v>
      </c>
      <c r="Q6" s="114">
        <v>2237.3769277664842</v>
      </c>
      <c r="R6" s="114">
        <v>1117.5675335587068</v>
      </c>
      <c r="S6" s="118">
        <v>1119.8093942077714</v>
      </c>
      <c r="T6" s="88">
        <v>2312.6250128291813</v>
      </c>
      <c r="U6" s="88">
        <v>1155.1538766486842</v>
      </c>
      <c r="V6" s="88">
        <v>1157.4711361805771</v>
      </c>
      <c r="W6" s="132">
        <v>0</v>
      </c>
      <c r="X6" s="102">
        <v>0</v>
      </c>
      <c r="Y6" s="111">
        <v>0</v>
      </c>
      <c r="Z6" s="88">
        <v>2312.6250128291813</v>
      </c>
      <c r="AA6" s="88">
        <v>1155.1538766486842</v>
      </c>
      <c r="AB6" s="90">
        <v>1157.4711361805771</v>
      </c>
    </row>
    <row r="7" spans="1:28" s="3" customFormat="1" ht="12" customHeight="1" x14ac:dyDescent="0.2">
      <c r="A7" s="26" t="s">
        <v>6</v>
      </c>
      <c r="B7" s="88">
        <v>2270.6134697925841</v>
      </c>
      <c r="C7" s="88">
        <v>1167.8746684087041</v>
      </c>
      <c r="D7" s="88">
        <v>1102.7388013839568</v>
      </c>
      <c r="E7" s="132">
        <v>0</v>
      </c>
      <c r="F7" s="102">
        <v>0</v>
      </c>
      <c r="G7" s="111">
        <v>0</v>
      </c>
      <c r="H7" s="88">
        <v>2270.6134697925841</v>
      </c>
      <c r="I7" s="88">
        <v>1167.8746684087041</v>
      </c>
      <c r="J7" s="90">
        <v>1102.7388013839568</v>
      </c>
      <c r="K7" s="114">
        <v>2347.205290197036</v>
      </c>
      <c r="L7" s="114">
        <v>1207.2691527837599</v>
      </c>
      <c r="M7" s="114">
        <v>1139.9361374132382</v>
      </c>
      <c r="N7" s="115">
        <v>0</v>
      </c>
      <c r="O7" s="116">
        <v>0</v>
      </c>
      <c r="P7" s="117">
        <v>0</v>
      </c>
      <c r="Q7" s="114">
        <v>2347.205290197036</v>
      </c>
      <c r="R7" s="114">
        <v>1207.2691527837599</v>
      </c>
      <c r="S7" s="118">
        <v>1139.9361374132382</v>
      </c>
      <c r="T7" s="88">
        <v>2426.1471533872209</v>
      </c>
      <c r="U7" s="88">
        <v>1247.8723657582996</v>
      </c>
      <c r="V7" s="88">
        <v>1178.274787628927</v>
      </c>
      <c r="W7" s="132">
        <v>0</v>
      </c>
      <c r="X7" s="102">
        <v>0</v>
      </c>
      <c r="Y7" s="111">
        <v>0</v>
      </c>
      <c r="Z7" s="88">
        <v>2426.1471533872209</v>
      </c>
      <c r="AA7" s="88">
        <v>1247.8723657582996</v>
      </c>
      <c r="AB7" s="90">
        <v>1178.274787628927</v>
      </c>
    </row>
    <row r="8" spans="1:28" s="3" customFormat="1" ht="12" customHeight="1" x14ac:dyDescent="0.2">
      <c r="A8" s="26" t="s">
        <v>7</v>
      </c>
      <c r="B8" s="88">
        <v>1957.5042142701145</v>
      </c>
      <c r="C8" s="88">
        <v>993.03628850016867</v>
      </c>
      <c r="D8" s="88">
        <v>964.46792577001349</v>
      </c>
      <c r="E8" s="132">
        <v>0</v>
      </c>
      <c r="F8" s="102">
        <v>0</v>
      </c>
      <c r="G8" s="111">
        <v>0</v>
      </c>
      <c r="H8" s="88">
        <v>1957.5042142701145</v>
      </c>
      <c r="I8" s="88">
        <v>993.03628850016867</v>
      </c>
      <c r="J8" s="90">
        <v>964.46792577001349</v>
      </c>
      <c r="K8" s="114">
        <v>2023.534304029909</v>
      </c>
      <c r="L8" s="114">
        <v>1026.5331641576227</v>
      </c>
      <c r="M8" s="114">
        <v>997.00113987230611</v>
      </c>
      <c r="N8" s="115">
        <v>0</v>
      </c>
      <c r="O8" s="116">
        <v>0</v>
      </c>
      <c r="P8" s="117">
        <v>0</v>
      </c>
      <c r="Q8" s="114">
        <v>2023.534304029909</v>
      </c>
      <c r="R8" s="114">
        <v>1026.5331641576227</v>
      </c>
      <c r="S8" s="118">
        <v>997.00113987230611</v>
      </c>
      <c r="T8" s="88">
        <v>2091.5903743091221</v>
      </c>
      <c r="U8" s="88">
        <v>1061.0578139373522</v>
      </c>
      <c r="V8" s="88">
        <v>1030.5325603718379</v>
      </c>
      <c r="W8" s="132">
        <v>0</v>
      </c>
      <c r="X8" s="102">
        <v>0</v>
      </c>
      <c r="Y8" s="111">
        <v>0</v>
      </c>
      <c r="Z8" s="88">
        <v>2091.5903743091221</v>
      </c>
      <c r="AA8" s="88">
        <v>1061.0578139373522</v>
      </c>
      <c r="AB8" s="90">
        <v>1030.5325603718379</v>
      </c>
    </row>
    <row r="9" spans="1:28" s="3" customFormat="1" ht="12" customHeight="1" x14ac:dyDescent="0.2">
      <c r="A9" s="26" t="s">
        <v>8</v>
      </c>
      <c r="B9" s="88">
        <v>1630.4996574694644</v>
      </c>
      <c r="C9" s="88">
        <v>820.76241209956117</v>
      </c>
      <c r="D9" s="88">
        <v>809.73724536986583</v>
      </c>
      <c r="E9" s="132">
        <v>0</v>
      </c>
      <c r="F9" s="102">
        <v>0</v>
      </c>
      <c r="G9" s="111">
        <v>0</v>
      </c>
      <c r="H9" s="88">
        <v>1630.4996574694644</v>
      </c>
      <c r="I9" s="88">
        <v>820.76241209956117</v>
      </c>
      <c r="J9" s="90">
        <v>809.73724536986583</v>
      </c>
      <c r="K9" s="114">
        <v>1685.4993034222819</v>
      </c>
      <c r="L9" s="114">
        <v>848.44818429220788</v>
      </c>
      <c r="M9" s="114">
        <v>837.05111913007374</v>
      </c>
      <c r="N9" s="115">
        <v>0</v>
      </c>
      <c r="O9" s="116">
        <v>0</v>
      </c>
      <c r="P9" s="117">
        <v>0</v>
      </c>
      <c r="Q9" s="114">
        <v>1685.4993034222819</v>
      </c>
      <c r="R9" s="114">
        <v>848.44818429220788</v>
      </c>
      <c r="S9" s="118">
        <v>837.05111913007374</v>
      </c>
      <c r="T9" s="88">
        <v>1742.1864862492575</v>
      </c>
      <c r="U9" s="88">
        <v>876.98343034337381</v>
      </c>
      <c r="V9" s="88">
        <v>865.20305590592523</v>
      </c>
      <c r="W9" s="132">
        <v>0</v>
      </c>
      <c r="X9" s="102">
        <v>0</v>
      </c>
      <c r="Y9" s="111">
        <v>0</v>
      </c>
      <c r="Z9" s="88">
        <v>1742.1864862492575</v>
      </c>
      <c r="AA9" s="88">
        <v>876.98343034337381</v>
      </c>
      <c r="AB9" s="90">
        <v>865.20305590592523</v>
      </c>
    </row>
    <row r="10" spans="1:28" s="3" customFormat="1" ht="12" customHeight="1" x14ac:dyDescent="0.2">
      <c r="A10" s="26" t="s">
        <v>9</v>
      </c>
      <c r="B10" s="88">
        <v>1694.4077981121025</v>
      </c>
      <c r="C10" s="88">
        <v>807.27676390170609</v>
      </c>
      <c r="D10" s="88">
        <v>887.13103421037749</v>
      </c>
      <c r="E10" s="132">
        <v>0</v>
      </c>
      <c r="F10" s="102">
        <v>0</v>
      </c>
      <c r="G10" s="111">
        <v>0</v>
      </c>
      <c r="H10" s="88">
        <v>1694.4077981121025</v>
      </c>
      <c r="I10" s="88">
        <v>807.27676390170609</v>
      </c>
      <c r="J10" s="90">
        <v>887.13103421037749</v>
      </c>
      <c r="K10" s="114">
        <v>1751.5631790218629</v>
      </c>
      <c r="L10" s="114">
        <v>834.5076412570744</v>
      </c>
      <c r="M10" s="114">
        <v>917.05553776472891</v>
      </c>
      <c r="N10" s="115">
        <v>0</v>
      </c>
      <c r="O10" s="116">
        <v>0</v>
      </c>
      <c r="P10" s="117">
        <v>0</v>
      </c>
      <c r="Q10" s="114">
        <v>1751.5631790218629</v>
      </c>
      <c r="R10" s="114">
        <v>834.5076412570744</v>
      </c>
      <c r="S10" s="118">
        <v>917.05553776472891</v>
      </c>
      <c r="T10" s="88">
        <v>1810.4722405448438</v>
      </c>
      <c r="U10" s="88">
        <v>862.5740350754661</v>
      </c>
      <c r="V10" s="88">
        <v>947.8982054693281</v>
      </c>
      <c r="W10" s="132">
        <v>0</v>
      </c>
      <c r="X10" s="102">
        <v>0</v>
      </c>
      <c r="Y10" s="111">
        <v>0</v>
      </c>
      <c r="Z10" s="88">
        <v>1810.4722405448438</v>
      </c>
      <c r="AA10" s="88">
        <v>862.5740350754661</v>
      </c>
      <c r="AB10" s="90">
        <v>947.8982054693281</v>
      </c>
    </row>
    <row r="11" spans="1:28" s="3" customFormat="1" ht="12" customHeight="1" x14ac:dyDescent="0.2">
      <c r="A11" s="31" t="s">
        <v>10</v>
      </c>
      <c r="B11" s="88">
        <v>1172.8595951585924</v>
      </c>
      <c r="C11" s="88">
        <v>602.65019623573562</v>
      </c>
      <c r="D11" s="88">
        <v>570.20939892283786</v>
      </c>
      <c r="E11" s="132">
        <v>0</v>
      </c>
      <c r="F11" s="102">
        <v>0</v>
      </c>
      <c r="G11" s="111">
        <v>0</v>
      </c>
      <c r="H11" s="91">
        <v>1172.8595951585924</v>
      </c>
      <c r="I11" s="91">
        <v>602.65019623573562</v>
      </c>
      <c r="J11" s="93">
        <v>570.20939892283786</v>
      </c>
      <c r="K11" s="114">
        <v>1212.4222299561968</v>
      </c>
      <c r="L11" s="114">
        <v>622.97865645620971</v>
      </c>
      <c r="M11" s="114">
        <v>589.44357349997506</v>
      </c>
      <c r="N11" s="115">
        <v>0</v>
      </c>
      <c r="O11" s="116">
        <v>0</v>
      </c>
      <c r="P11" s="117">
        <v>0</v>
      </c>
      <c r="Q11" s="119">
        <v>1212.4222299561968</v>
      </c>
      <c r="R11" s="119">
        <v>622.97865645620971</v>
      </c>
      <c r="S11" s="120">
        <v>589.44357349997506</v>
      </c>
      <c r="T11" s="88">
        <v>1253.198752659885</v>
      </c>
      <c r="U11" s="88">
        <v>643.93084844119471</v>
      </c>
      <c r="V11" s="88">
        <v>609.26790421868827</v>
      </c>
      <c r="W11" s="132">
        <v>0</v>
      </c>
      <c r="X11" s="102">
        <v>0</v>
      </c>
      <c r="Y11" s="111">
        <v>0</v>
      </c>
      <c r="Z11" s="91">
        <v>1253.198752659885</v>
      </c>
      <c r="AA11" s="91">
        <v>643.93084844119471</v>
      </c>
      <c r="AB11" s="93">
        <v>609.26790421868827</v>
      </c>
    </row>
    <row r="12" spans="1:28" s="3" customFormat="1" ht="12" customHeight="1" x14ac:dyDescent="0.2">
      <c r="A12" s="31" t="s">
        <v>11</v>
      </c>
      <c r="B12" s="91">
        <v>978.73302784476857</v>
      </c>
      <c r="C12" s="91">
        <v>513.89939984461728</v>
      </c>
      <c r="D12" s="91">
        <v>464.83362800015686</v>
      </c>
      <c r="E12" s="132">
        <v>0</v>
      </c>
      <c r="F12" s="102">
        <v>0</v>
      </c>
      <c r="G12" s="111">
        <v>0</v>
      </c>
      <c r="H12" s="88">
        <v>978.73302784476857</v>
      </c>
      <c r="I12" s="88">
        <v>513.89939984461728</v>
      </c>
      <c r="J12" s="90">
        <v>464.83362800015686</v>
      </c>
      <c r="K12" s="119">
        <v>1011.7474291463906</v>
      </c>
      <c r="L12" s="119">
        <v>531.23413825892032</v>
      </c>
      <c r="M12" s="119">
        <v>480.51329088746513</v>
      </c>
      <c r="N12" s="115">
        <v>0</v>
      </c>
      <c r="O12" s="116">
        <v>0</v>
      </c>
      <c r="P12" s="117">
        <v>0</v>
      </c>
      <c r="Q12" s="114">
        <v>1011.7474291463906</v>
      </c>
      <c r="R12" s="114">
        <v>531.23413825892032</v>
      </c>
      <c r="S12" s="118">
        <v>480.51329088746513</v>
      </c>
      <c r="T12" s="91">
        <v>1045.7748009609609</v>
      </c>
      <c r="U12" s="91">
        <v>549.10075301116342</v>
      </c>
      <c r="V12" s="91">
        <v>496.67404794979603</v>
      </c>
      <c r="W12" s="132">
        <v>0</v>
      </c>
      <c r="X12" s="102">
        <v>0</v>
      </c>
      <c r="Y12" s="111">
        <v>0</v>
      </c>
      <c r="Z12" s="88">
        <v>1045.7748009609609</v>
      </c>
      <c r="AA12" s="88">
        <v>549.10075301116342</v>
      </c>
      <c r="AB12" s="90">
        <v>496.67404794979603</v>
      </c>
    </row>
    <row r="13" spans="1:28" s="3" customFormat="1" ht="12" customHeight="1" x14ac:dyDescent="0.2">
      <c r="A13" s="31" t="s">
        <v>12</v>
      </c>
      <c r="B13" s="91">
        <v>706.28887365579101</v>
      </c>
      <c r="C13" s="91">
        <v>352.49883456678697</v>
      </c>
      <c r="D13" s="91">
        <v>353.79003908900961</v>
      </c>
      <c r="E13" s="132">
        <v>0</v>
      </c>
      <c r="F13" s="102">
        <v>0</v>
      </c>
      <c r="G13" s="111">
        <v>0</v>
      </c>
      <c r="H13" s="91">
        <v>706.28887365579101</v>
      </c>
      <c r="I13" s="91">
        <v>352.49883456678697</v>
      </c>
      <c r="J13" s="93">
        <v>353.79003908900961</v>
      </c>
      <c r="K13" s="119">
        <v>730.11325032067884</v>
      </c>
      <c r="L13" s="119">
        <v>364.38924558965982</v>
      </c>
      <c r="M13" s="119">
        <v>365.72400473101391</v>
      </c>
      <c r="N13" s="115">
        <v>0</v>
      </c>
      <c r="O13" s="116">
        <v>0</v>
      </c>
      <c r="P13" s="117">
        <v>0</v>
      </c>
      <c r="Q13" s="119">
        <v>730.11325032067884</v>
      </c>
      <c r="R13" s="119">
        <v>364.38924558965982</v>
      </c>
      <c r="S13" s="120">
        <v>365.72400473101391</v>
      </c>
      <c r="T13" s="91">
        <v>754.6686228570511</v>
      </c>
      <c r="U13" s="91">
        <v>376.64448636192873</v>
      </c>
      <c r="V13" s="91">
        <v>378.0241364951226</v>
      </c>
      <c r="W13" s="132">
        <v>0</v>
      </c>
      <c r="X13" s="102">
        <v>0</v>
      </c>
      <c r="Y13" s="111">
        <v>0</v>
      </c>
      <c r="Z13" s="91">
        <v>754.6686228570511</v>
      </c>
      <c r="AA13" s="91">
        <v>376.64448636192873</v>
      </c>
      <c r="AB13" s="93">
        <v>378.0241364951226</v>
      </c>
    </row>
    <row r="14" spans="1:28" s="3" customFormat="1" ht="12" customHeight="1" x14ac:dyDescent="0.2">
      <c r="A14" s="31" t="s">
        <v>13</v>
      </c>
      <c r="B14" s="91">
        <v>672.7175560780023</v>
      </c>
      <c r="C14" s="91">
        <v>362.82847074456811</v>
      </c>
      <c r="D14" s="91">
        <v>309.88908533343977</v>
      </c>
      <c r="E14" s="132">
        <v>0</v>
      </c>
      <c r="F14" s="102">
        <v>0</v>
      </c>
      <c r="G14" s="111">
        <v>0</v>
      </c>
      <c r="H14" s="91">
        <v>672.7175560780023</v>
      </c>
      <c r="I14" s="91">
        <v>362.82847074456811</v>
      </c>
      <c r="J14" s="93">
        <v>309.88908533343977</v>
      </c>
      <c r="K14" s="119">
        <v>695.40951264547266</v>
      </c>
      <c r="L14" s="119">
        <v>375.06731872049249</v>
      </c>
      <c r="M14" s="119">
        <v>320.34219392497505</v>
      </c>
      <c r="N14" s="115">
        <v>0</v>
      </c>
      <c r="O14" s="116">
        <v>0</v>
      </c>
      <c r="P14" s="117">
        <v>0</v>
      </c>
      <c r="Q14" s="119">
        <v>695.40951264547266</v>
      </c>
      <c r="R14" s="119">
        <v>375.06731872049249</v>
      </c>
      <c r="S14" s="120">
        <v>320.34219392497505</v>
      </c>
      <c r="T14" s="91">
        <v>718.7977193940103</v>
      </c>
      <c r="U14" s="91">
        <v>387.68168742747974</v>
      </c>
      <c r="V14" s="91">
        <v>331.11603196653078</v>
      </c>
      <c r="W14" s="132">
        <v>0</v>
      </c>
      <c r="X14" s="102">
        <v>0</v>
      </c>
      <c r="Y14" s="111">
        <v>0</v>
      </c>
      <c r="Z14" s="91">
        <v>718.7977193940103</v>
      </c>
      <c r="AA14" s="91">
        <v>387.68168742747974</v>
      </c>
      <c r="AB14" s="93">
        <v>331.11603196653078</v>
      </c>
    </row>
    <row r="15" spans="1:28" s="3" customFormat="1" ht="12" customHeight="1" x14ac:dyDescent="0.2">
      <c r="A15" s="31" t="s">
        <v>14</v>
      </c>
      <c r="B15" s="91">
        <v>438.74970672401855</v>
      </c>
      <c r="C15" s="91">
        <v>223.01090065530283</v>
      </c>
      <c r="D15" s="91">
        <v>215.73880606871691</v>
      </c>
      <c r="E15" s="132">
        <v>0</v>
      </c>
      <c r="F15" s="102">
        <v>0</v>
      </c>
      <c r="G15" s="111">
        <v>0</v>
      </c>
      <c r="H15" s="91">
        <v>438.74970672401855</v>
      </c>
      <c r="I15" s="91">
        <v>223.01090065530283</v>
      </c>
      <c r="J15" s="93">
        <v>215.73880606871691</v>
      </c>
      <c r="K15" s="119">
        <v>453.54951267379892</v>
      </c>
      <c r="L15" s="119">
        <v>230.53345395574482</v>
      </c>
      <c r="M15" s="119">
        <v>223.01605871805745</v>
      </c>
      <c r="N15" s="115">
        <v>0</v>
      </c>
      <c r="O15" s="116">
        <v>0</v>
      </c>
      <c r="P15" s="117">
        <v>0</v>
      </c>
      <c r="Q15" s="119">
        <v>453.54951267379892</v>
      </c>
      <c r="R15" s="119">
        <v>230.53345395574482</v>
      </c>
      <c r="S15" s="120">
        <v>223.01605871805745</v>
      </c>
      <c r="T15" s="91">
        <v>468.80341642436576</v>
      </c>
      <c r="U15" s="91">
        <v>238.2868193980178</v>
      </c>
      <c r="V15" s="91">
        <v>230.51659702634331</v>
      </c>
      <c r="W15" s="132">
        <v>0</v>
      </c>
      <c r="X15" s="102">
        <v>0</v>
      </c>
      <c r="Y15" s="111">
        <v>0</v>
      </c>
      <c r="Z15" s="91">
        <v>468.80341642436576</v>
      </c>
      <c r="AA15" s="91">
        <v>238.2868193980178</v>
      </c>
      <c r="AB15" s="93">
        <v>230.51659702634331</v>
      </c>
    </row>
    <row r="16" spans="1:28" s="3" customFormat="1" ht="12" customHeight="1" x14ac:dyDescent="0.2">
      <c r="A16" s="31" t="s">
        <v>15</v>
      </c>
      <c r="B16" s="91">
        <v>384.20899732462414</v>
      </c>
      <c r="C16" s="91">
        <v>218.16283759757889</v>
      </c>
      <c r="D16" s="91">
        <v>166.04615972704644</v>
      </c>
      <c r="E16" s="132">
        <v>0</v>
      </c>
      <c r="F16" s="102">
        <v>0</v>
      </c>
      <c r="G16" s="111">
        <v>0</v>
      </c>
      <c r="H16" s="91">
        <v>384.20899732462414</v>
      </c>
      <c r="I16" s="91">
        <v>218.16283759757889</v>
      </c>
      <c r="J16" s="93">
        <v>166.04615972704644</v>
      </c>
      <c r="K16" s="119">
        <v>397.16904839114494</v>
      </c>
      <c r="L16" s="119">
        <v>225.52185713061991</v>
      </c>
      <c r="M16" s="119">
        <v>171.64719126052711</v>
      </c>
      <c r="N16" s="115">
        <v>0</v>
      </c>
      <c r="O16" s="116">
        <v>0</v>
      </c>
      <c r="P16" s="117">
        <v>0</v>
      </c>
      <c r="Q16" s="119">
        <v>397.16904839114494</v>
      </c>
      <c r="R16" s="119">
        <v>225.52185713061991</v>
      </c>
      <c r="S16" s="120">
        <v>171.64719126052711</v>
      </c>
      <c r="T16" s="91">
        <v>410.52674863680579</v>
      </c>
      <c r="U16" s="91">
        <v>233.1066711502348</v>
      </c>
      <c r="V16" s="91">
        <v>177.42007748656761</v>
      </c>
      <c r="W16" s="132">
        <v>0</v>
      </c>
      <c r="X16" s="102">
        <v>0</v>
      </c>
      <c r="Y16" s="111">
        <v>0</v>
      </c>
      <c r="Z16" s="91">
        <v>410.52674863680579</v>
      </c>
      <c r="AA16" s="91">
        <v>233.1066711502348</v>
      </c>
      <c r="AB16" s="93">
        <v>177.42007748656761</v>
      </c>
    </row>
    <row r="17" spans="1:28" s="3" customFormat="1" ht="12" customHeight="1" x14ac:dyDescent="0.2">
      <c r="A17" s="31" t="s">
        <v>16</v>
      </c>
      <c r="B17" s="91">
        <v>187.86244348680421</v>
      </c>
      <c r="C17" s="91">
        <v>100.59730844777282</v>
      </c>
      <c r="D17" s="91">
        <v>87.265135039031804</v>
      </c>
      <c r="E17" s="132">
        <v>0</v>
      </c>
      <c r="F17" s="102">
        <v>0</v>
      </c>
      <c r="G17" s="111">
        <v>0</v>
      </c>
      <c r="H17" s="91">
        <v>187.86244348680421</v>
      </c>
      <c r="I17" s="91">
        <v>100.59730844777282</v>
      </c>
      <c r="J17" s="93">
        <v>87.265135039031804</v>
      </c>
      <c r="K17" s="119">
        <v>194.19937697358921</v>
      </c>
      <c r="L17" s="119">
        <v>103.99063412134109</v>
      </c>
      <c r="M17" s="119">
        <v>90.208742852247738</v>
      </c>
      <c r="N17" s="115">
        <v>0</v>
      </c>
      <c r="O17" s="116">
        <v>0</v>
      </c>
      <c r="P17" s="117">
        <v>0</v>
      </c>
      <c r="Q17" s="119">
        <v>194.19937697358921</v>
      </c>
      <c r="R17" s="119">
        <v>103.99063412134109</v>
      </c>
      <c r="S17" s="120">
        <v>90.208742852247738</v>
      </c>
      <c r="T17" s="91">
        <v>200.73074460159108</v>
      </c>
      <c r="U17" s="91">
        <v>107.48807614149716</v>
      </c>
      <c r="V17" s="91">
        <v>93.242668460093924</v>
      </c>
      <c r="W17" s="132">
        <v>0</v>
      </c>
      <c r="X17" s="102">
        <v>0</v>
      </c>
      <c r="Y17" s="111">
        <v>0</v>
      </c>
      <c r="Z17" s="91">
        <v>200.73074460159108</v>
      </c>
      <c r="AA17" s="91">
        <v>107.48807614149716</v>
      </c>
      <c r="AB17" s="93">
        <v>93.242668460093924</v>
      </c>
    </row>
    <row r="18" spans="1:28" s="3" customFormat="1" ht="12" customHeight="1" x14ac:dyDescent="0.2">
      <c r="A18" s="31" t="s">
        <v>17</v>
      </c>
      <c r="B18" s="91">
        <v>195.13453807339013</v>
      </c>
      <c r="C18" s="91">
        <v>117.56552914980684</v>
      </c>
      <c r="D18" s="91">
        <v>77.569008923583795</v>
      </c>
      <c r="E18" s="132">
        <v>0</v>
      </c>
      <c r="F18" s="102">
        <v>0</v>
      </c>
      <c r="G18" s="111">
        <v>0</v>
      </c>
      <c r="H18" s="91">
        <v>195.13453807339013</v>
      </c>
      <c r="I18" s="91">
        <v>117.56552914980684</v>
      </c>
      <c r="J18" s="93">
        <v>77.569008923583795</v>
      </c>
      <c r="K18" s="119">
        <v>201.71677221127658</v>
      </c>
      <c r="L18" s="119">
        <v>121.53122300927808</v>
      </c>
      <c r="M18" s="119">
        <v>80.185549201998029</v>
      </c>
      <c r="N18" s="115">
        <v>0</v>
      </c>
      <c r="O18" s="116">
        <v>0</v>
      </c>
      <c r="P18" s="117">
        <v>0</v>
      </c>
      <c r="Q18" s="119">
        <v>201.71677221127658</v>
      </c>
      <c r="R18" s="119">
        <v>121.53122300927808</v>
      </c>
      <c r="S18" s="120">
        <v>80.185549201998029</v>
      </c>
      <c r="T18" s="91">
        <v>208.50096697326558</v>
      </c>
      <c r="U18" s="91">
        <v>125.61859500873764</v>
      </c>
      <c r="V18" s="91">
        <v>82.882371964527934</v>
      </c>
      <c r="W18" s="132">
        <v>0</v>
      </c>
      <c r="X18" s="102">
        <v>0</v>
      </c>
      <c r="Y18" s="111">
        <v>0</v>
      </c>
      <c r="Z18" s="91">
        <v>208.50096697326558</v>
      </c>
      <c r="AA18" s="91">
        <v>125.61859500873764</v>
      </c>
      <c r="AB18" s="93">
        <v>82.882371964527934</v>
      </c>
    </row>
    <row r="19" spans="1:28" s="3" customFormat="1" ht="12" customHeight="1" x14ac:dyDescent="0.2">
      <c r="A19" s="31" t="s">
        <v>18</v>
      </c>
      <c r="B19" s="91">
        <v>113.71723067841789</v>
      </c>
      <c r="C19" s="91">
        <v>60.487888658732921</v>
      </c>
      <c r="D19" s="91">
        <v>53.229342019684971</v>
      </c>
      <c r="E19" s="132">
        <v>0</v>
      </c>
      <c r="F19" s="102">
        <v>0</v>
      </c>
      <c r="G19" s="111">
        <v>0</v>
      </c>
      <c r="H19" s="91">
        <v>113.71723067841789</v>
      </c>
      <c r="I19" s="91">
        <v>60.487888658732921</v>
      </c>
      <c r="J19" s="93">
        <v>53.229342019684971</v>
      </c>
      <c r="K19" s="119">
        <v>117.55311460356802</v>
      </c>
      <c r="L19" s="119">
        <v>62.528252448706546</v>
      </c>
      <c r="M19" s="119">
        <v>55.024862154861758</v>
      </c>
      <c r="N19" s="115">
        <v>0</v>
      </c>
      <c r="O19" s="116">
        <v>0</v>
      </c>
      <c r="P19" s="117">
        <v>0</v>
      </c>
      <c r="Q19" s="119">
        <v>117.55311460356802</v>
      </c>
      <c r="R19" s="119">
        <v>62.528252448706546</v>
      </c>
      <c r="S19" s="120">
        <v>55.024862154861758</v>
      </c>
      <c r="T19" s="91">
        <v>121.50669375123435</v>
      </c>
      <c r="U19" s="91">
        <v>64.631220080443811</v>
      </c>
      <c r="V19" s="91">
        <v>56.875473670790548</v>
      </c>
      <c r="W19" s="132">
        <v>0</v>
      </c>
      <c r="X19" s="102">
        <v>0</v>
      </c>
      <c r="Y19" s="111">
        <v>0</v>
      </c>
      <c r="Z19" s="91">
        <v>121.50669375123435</v>
      </c>
      <c r="AA19" s="91">
        <v>64.631220080443811</v>
      </c>
      <c r="AB19" s="93">
        <v>56.875473670790548</v>
      </c>
    </row>
    <row r="20" spans="1:28" s="3" customFormat="1" ht="12" customHeight="1" x14ac:dyDescent="0.2">
      <c r="A20" s="31" t="s">
        <v>19</v>
      </c>
      <c r="B20" s="91">
        <v>116.13674622476721</v>
      </c>
      <c r="C20" s="91">
        <v>66.536677524606219</v>
      </c>
      <c r="D20" s="91">
        <v>49.600068700160996</v>
      </c>
      <c r="E20" s="132">
        <v>0</v>
      </c>
      <c r="F20" s="102">
        <v>0</v>
      </c>
      <c r="G20" s="111">
        <v>0</v>
      </c>
      <c r="H20" s="91">
        <v>116.13674622476721</v>
      </c>
      <c r="I20" s="91">
        <v>66.536677524606219</v>
      </c>
      <c r="J20" s="93">
        <v>49.600068700160996</v>
      </c>
      <c r="K20" s="119">
        <v>120.05424470151627</v>
      </c>
      <c r="L20" s="119">
        <v>68.781077693577174</v>
      </c>
      <c r="M20" s="119">
        <v>51.273167007939364</v>
      </c>
      <c r="N20" s="115">
        <v>0</v>
      </c>
      <c r="O20" s="116">
        <v>0</v>
      </c>
      <c r="P20" s="117">
        <v>0</v>
      </c>
      <c r="Q20" s="119">
        <v>120.05424470151627</v>
      </c>
      <c r="R20" s="119">
        <v>68.781077693577174</v>
      </c>
      <c r="S20" s="120">
        <v>51.273167007939364</v>
      </c>
      <c r="T20" s="91">
        <v>124.0919425544521</v>
      </c>
      <c r="U20" s="91">
        <v>71.09434208848819</v>
      </c>
      <c r="V20" s="91">
        <v>52.99760046596392</v>
      </c>
      <c r="W20" s="132">
        <v>0</v>
      </c>
      <c r="X20" s="102">
        <v>0</v>
      </c>
      <c r="Y20" s="111">
        <v>0</v>
      </c>
      <c r="Z20" s="91">
        <v>124.0919425544521</v>
      </c>
      <c r="AA20" s="91">
        <v>71.09434208848819</v>
      </c>
      <c r="AB20" s="93">
        <v>52.99760046596392</v>
      </c>
    </row>
    <row r="21" spans="1:28" s="3" customFormat="1" ht="12" customHeight="1" x14ac:dyDescent="0.2">
      <c r="A21" s="31" t="s">
        <v>20</v>
      </c>
      <c r="B21" s="91">
        <v>54.439099792859629</v>
      </c>
      <c r="C21" s="91">
        <v>22.985397690318511</v>
      </c>
      <c r="D21" s="91">
        <v>31.453702102541119</v>
      </c>
      <c r="E21" s="132">
        <v>0</v>
      </c>
      <c r="F21" s="102">
        <v>0</v>
      </c>
      <c r="G21" s="111">
        <v>0</v>
      </c>
      <c r="H21" s="91">
        <v>54.439099792859629</v>
      </c>
      <c r="I21" s="91">
        <v>22.985397690318511</v>
      </c>
      <c r="J21" s="93">
        <v>31.453702102541119</v>
      </c>
      <c r="K21" s="119">
        <v>56.275427203835889</v>
      </c>
      <c r="L21" s="119">
        <v>23.760735930508474</v>
      </c>
      <c r="M21" s="119">
        <v>32.514691273327394</v>
      </c>
      <c r="N21" s="115">
        <v>0</v>
      </c>
      <c r="O21" s="116">
        <v>0</v>
      </c>
      <c r="P21" s="117">
        <v>0</v>
      </c>
      <c r="Q21" s="119">
        <v>56.275427203835889</v>
      </c>
      <c r="R21" s="119">
        <v>23.760735930508474</v>
      </c>
      <c r="S21" s="120">
        <v>32.514691273327394</v>
      </c>
      <c r="T21" s="91">
        <v>58.168098072399424</v>
      </c>
      <c r="U21" s="91">
        <v>24.559863630568646</v>
      </c>
      <c r="V21" s="91">
        <v>33.608234441830781</v>
      </c>
      <c r="W21" s="132">
        <v>0</v>
      </c>
      <c r="X21" s="102">
        <v>0</v>
      </c>
      <c r="Y21" s="111">
        <v>0</v>
      </c>
      <c r="Z21" s="91">
        <v>58.168098072399424</v>
      </c>
      <c r="AA21" s="91">
        <v>24.559863630568646</v>
      </c>
      <c r="AB21" s="93">
        <v>33.608234441830781</v>
      </c>
    </row>
    <row r="22" spans="1:28" s="3" customFormat="1" ht="12" customHeight="1" x14ac:dyDescent="0.2">
      <c r="A22" s="31" t="s">
        <v>28</v>
      </c>
      <c r="B22" s="91">
        <v>55.648857566034287</v>
      </c>
      <c r="C22" s="91">
        <v>29.034186556191802</v>
      </c>
      <c r="D22" s="91">
        <v>26.614671009842485</v>
      </c>
      <c r="E22" s="132">
        <v>0</v>
      </c>
      <c r="F22" s="102">
        <v>0</v>
      </c>
      <c r="G22" s="111">
        <v>0</v>
      </c>
      <c r="H22" s="91">
        <v>55.648857566034287</v>
      </c>
      <c r="I22" s="91">
        <v>29.034186556191802</v>
      </c>
      <c r="J22" s="93">
        <v>26.614671009842485</v>
      </c>
      <c r="K22" s="119">
        <v>57.52599225281002</v>
      </c>
      <c r="L22" s="119">
        <v>30.013561175379131</v>
      </c>
      <c r="M22" s="119">
        <v>27.512431077430868</v>
      </c>
      <c r="N22" s="115">
        <v>0</v>
      </c>
      <c r="O22" s="116">
        <v>0</v>
      </c>
      <c r="P22" s="117">
        <v>0</v>
      </c>
      <c r="Q22" s="119">
        <v>57.52599225281002</v>
      </c>
      <c r="R22" s="119">
        <v>30.013561175379131</v>
      </c>
      <c r="S22" s="120">
        <v>27.512431077430868</v>
      </c>
      <c r="T22" s="91">
        <v>59.4607224740083</v>
      </c>
      <c r="U22" s="91">
        <v>31.022985638613026</v>
      </c>
      <c r="V22" s="91">
        <v>28.437736835395274</v>
      </c>
      <c r="W22" s="132">
        <v>0</v>
      </c>
      <c r="X22" s="102">
        <v>0</v>
      </c>
      <c r="Y22" s="111">
        <v>0</v>
      </c>
      <c r="Z22" s="91">
        <v>59.4607224740083</v>
      </c>
      <c r="AA22" s="91">
        <v>31.022985638613026</v>
      </c>
      <c r="AB22" s="93">
        <v>28.437736835395274</v>
      </c>
    </row>
    <row r="23" spans="1:28" s="3" customFormat="1" ht="12" customHeight="1" x14ac:dyDescent="0.2">
      <c r="A23" s="31" t="s">
        <v>29</v>
      </c>
      <c r="B23" s="91">
        <v>13.307335504921243</v>
      </c>
      <c r="C23" s="91">
        <v>10.887819958571926</v>
      </c>
      <c r="D23" s="91">
        <v>2.4195155463493174</v>
      </c>
      <c r="E23" s="132">
        <v>0</v>
      </c>
      <c r="F23" s="102">
        <v>0</v>
      </c>
      <c r="G23" s="111">
        <v>0</v>
      </c>
      <c r="H23" s="91">
        <v>13.307335504921243</v>
      </c>
      <c r="I23" s="91">
        <v>10.887819958571926</v>
      </c>
      <c r="J23" s="93">
        <v>2.4195155463493174</v>
      </c>
      <c r="K23" s="119">
        <v>13.756215538715425</v>
      </c>
      <c r="L23" s="119">
        <v>11.255085440767166</v>
      </c>
      <c r="M23" s="119">
        <v>2.5011300979482591</v>
      </c>
      <c r="N23" s="115">
        <v>0</v>
      </c>
      <c r="O23" s="116">
        <v>0</v>
      </c>
      <c r="P23" s="117">
        <v>0</v>
      </c>
      <c r="Q23" s="119">
        <v>13.756215538715425</v>
      </c>
      <c r="R23" s="119">
        <v>11.255085440767166</v>
      </c>
      <c r="S23" s="120">
        <v>2.5011300979482591</v>
      </c>
      <c r="T23" s="91">
        <v>14.218868417697637</v>
      </c>
      <c r="U23" s="91">
        <v>11.633619614479885</v>
      </c>
      <c r="V23" s="91">
        <v>2.5852488032177527</v>
      </c>
      <c r="W23" s="132">
        <v>0</v>
      </c>
      <c r="X23" s="102">
        <v>0</v>
      </c>
      <c r="Y23" s="111">
        <v>0</v>
      </c>
      <c r="Z23" s="91">
        <v>14.218868417697637</v>
      </c>
      <c r="AA23" s="91">
        <v>11.633619614479885</v>
      </c>
      <c r="AB23" s="93">
        <v>2.5852488032177527</v>
      </c>
    </row>
    <row r="24" spans="1:28" s="3" customFormat="1" ht="12" customHeight="1" x14ac:dyDescent="0.2">
      <c r="A24" s="31" t="s">
        <v>30</v>
      </c>
      <c r="B24" s="91">
        <v>14.517093278095901</v>
      </c>
      <c r="C24" s="91">
        <v>4.8390310926986349</v>
      </c>
      <c r="D24" s="91">
        <v>9.6780621853972679</v>
      </c>
      <c r="E24" s="132">
        <v>0</v>
      </c>
      <c r="F24" s="102">
        <v>0</v>
      </c>
      <c r="G24" s="111">
        <v>0</v>
      </c>
      <c r="H24" s="91">
        <v>14.517093278095901</v>
      </c>
      <c r="I24" s="91">
        <v>4.8390310926986349</v>
      </c>
      <c r="J24" s="93">
        <v>9.6780621853972679</v>
      </c>
      <c r="K24" s="119">
        <v>15.006780587689555</v>
      </c>
      <c r="L24" s="119">
        <v>5.0022601958965183</v>
      </c>
      <c r="M24" s="119">
        <v>10.004520391793037</v>
      </c>
      <c r="N24" s="115">
        <v>0</v>
      </c>
      <c r="O24" s="116">
        <v>0</v>
      </c>
      <c r="P24" s="117">
        <v>0</v>
      </c>
      <c r="Q24" s="119">
        <v>15.006780587689555</v>
      </c>
      <c r="R24" s="119">
        <v>5.0022601958965183</v>
      </c>
      <c r="S24" s="120">
        <v>10.004520391793037</v>
      </c>
      <c r="T24" s="91">
        <v>15.511492819306513</v>
      </c>
      <c r="U24" s="91">
        <v>5.1704976064355055</v>
      </c>
      <c r="V24" s="91">
        <v>10.340995212871009</v>
      </c>
      <c r="W24" s="132">
        <v>0</v>
      </c>
      <c r="X24" s="102">
        <v>0</v>
      </c>
      <c r="Y24" s="111">
        <v>0</v>
      </c>
      <c r="Z24" s="91">
        <v>15.511492819306513</v>
      </c>
      <c r="AA24" s="91">
        <v>5.1704976064355055</v>
      </c>
      <c r="AB24" s="93">
        <v>10.340995212871009</v>
      </c>
    </row>
    <row r="25" spans="1:28" s="3" customFormat="1" ht="12" customHeight="1" thickBot="1" x14ac:dyDescent="0.25">
      <c r="A25" s="36" t="s">
        <v>31</v>
      </c>
      <c r="B25" s="94">
        <v>3.6292733195239761</v>
      </c>
      <c r="C25" s="94">
        <v>3.6292733195239761</v>
      </c>
      <c r="D25" s="110">
        <v>0</v>
      </c>
      <c r="E25" s="113">
        <v>0</v>
      </c>
      <c r="F25" s="110">
        <v>0</v>
      </c>
      <c r="G25" s="112">
        <v>0</v>
      </c>
      <c r="H25" s="94">
        <v>3.6292733195239761</v>
      </c>
      <c r="I25" s="94">
        <v>3.6292733195239761</v>
      </c>
      <c r="J25" s="135">
        <v>0</v>
      </c>
      <c r="K25" s="121">
        <v>3.7516951469223887</v>
      </c>
      <c r="L25" s="121">
        <v>3.7516951469223887</v>
      </c>
      <c r="M25" s="122">
        <v>0</v>
      </c>
      <c r="N25" s="123">
        <v>0</v>
      </c>
      <c r="O25" s="122">
        <v>0</v>
      </c>
      <c r="P25" s="124">
        <v>0</v>
      </c>
      <c r="Q25" s="121">
        <v>3.7516951469223887</v>
      </c>
      <c r="R25" s="121">
        <v>3.7516951469223887</v>
      </c>
      <c r="S25" s="125">
        <v>0</v>
      </c>
      <c r="T25" s="94">
        <v>3.8778732048266291</v>
      </c>
      <c r="U25" s="94">
        <v>3.8778732048266291</v>
      </c>
      <c r="V25" s="110">
        <v>0</v>
      </c>
      <c r="W25" s="113">
        <v>0</v>
      </c>
      <c r="X25" s="110">
        <v>0</v>
      </c>
      <c r="Y25" s="112">
        <v>0</v>
      </c>
      <c r="Z25" s="94">
        <v>3.8778732048266291</v>
      </c>
      <c r="AA25" s="94">
        <v>3.8778732048266291</v>
      </c>
      <c r="AB25" s="135">
        <v>0</v>
      </c>
    </row>
    <row r="26" spans="1:28" s="3" customFormat="1" ht="14.25" customHeight="1" x14ac:dyDescent="0.2">
      <c r="A26" s="51" t="s">
        <v>64</v>
      </c>
      <c r="B26" s="100">
        <v>7401.9018734500733</v>
      </c>
      <c r="C26" s="101">
        <v>3760.1939022146867</v>
      </c>
      <c r="D26" s="155">
        <v>3641.7079712353425</v>
      </c>
      <c r="E26" s="133">
        <v>0</v>
      </c>
      <c r="F26" s="133">
        <v>0</v>
      </c>
      <c r="G26" s="166">
        <v>0</v>
      </c>
      <c r="H26" s="101">
        <v>7401.9018734500733</v>
      </c>
      <c r="I26" s="103">
        <v>3760.1939022146867</v>
      </c>
      <c r="J26" s="162">
        <v>3641.7079712353425</v>
      </c>
      <c r="K26" s="128">
        <v>7651.5811546158866</v>
      </c>
      <c r="L26" s="128">
        <v>3887.0319131205324</v>
      </c>
      <c r="M26" s="167">
        <v>3764.5492414951914</v>
      </c>
      <c r="N26" s="128">
        <v>0</v>
      </c>
      <c r="O26" s="128">
        <v>0</v>
      </c>
      <c r="P26" s="167">
        <v>0</v>
      </c>
      <c r="Q26" s="128">
        <v>7651.5811546158866</v>
      </c>
      <c r="R26" s="128">
        <v>3887.0319131205324</v>
      </c>
      <c r="S26" s="174">
        <v>3764.5492414951914</v>
      </c>
      <c r="T26" s="103">
        <v>7908.9212667994425</v>
      </c>
      <c r="U26" s="103">
        <v>4017.7616549044792</v>
      </c>
      <c r="V26" s="161">
        <v>3891.1596118943676</v>
      </c>
      <c r="W26" s="133">
        <v>0</v>
      </c>
      <c r="X26" s="133">
        <v>0</v>
      </c>
      <c r="Y26" s="166">
        <v>0</v>
      </c>
      <c r="Z26" s="101">
        <v>7908.9212667994425</v>
      </c>
      <c r="AA26" s="101">
        <v>4017.7616549044792</v>
      </c>
      <c r="AB26" s="165">
        <v>3891.1596118943676</v>
      </c>
    </row>
    <row r="27" spans="1:28" s="3" customFormat="1" ht="12" customHeight="1" x14ac:dyDescent="0.2">
      <c r="A27" s="51" t="s">
        <v>22</v>
      </c>
      <c r="B27" s="97">
        <v>313.60474253356625</v>
      </c>
      <c r="C27" s="97">
        <v>144.55218601156571</v>
      </c>
      <c r="D27" s="98">
        <v>169.05255652200037</v>
      </c>
      <c r="E27" s="102">
        <v>0</v>
      </c>
      <c r="F27" s="102">
        <v>0</v>
      </c>
      <c r="G27" s="111">
        <v>0</v>
      </c>
      <c r="H27" s="97">
        <v>313.60474253356625</v>
      </c>
      <c r="I27" s="97">
        <v>144.55218601156571</v>
      </c>
      <c r="J27" s="99">
        <v>169.05255652200037</v>
      </c>
      <c r="K27" s="126">
        <v>324.18318683403749</v>
      </c>
      <c r="L27" s="126">
        <v>149.428187681314</v>
      </c>
      <c r="M27" s="168">
        <v>174.7549991527232</v>
      </c>
      <c r="N27" s="115">
        <v>0</v>
      </c>
      <c r="O27" s="116">
        <v>0</v>
      </c>
      <c r="P27" s="117">
        <v>0</v>
      </c>
      <c r="Q27" s="126">
        <v>324.18318683403749</v>
      </c>
      <c r="R27" s="126">
        <v>149.428187681314</v>
      </c>
      <c r="S27" s="127">
        <v>174.7549991527232</v>
      </c>
      <c r="T27" s="97">
        <v>335.08620622074653</v>
      </c>
      <c r="U27" s="97">
        <v>154.45379817987606</v>
      </c>
      <c r="V27" s="98">
        <v>180.63240804087178</v>
      </c>
      <c r="W27" s="132">
        <v>0</v>
      </c>
      <c r="X27" s="102">
        <v>0</v>
      </c>
      <c r="Y27" s="111">
        <v>0</v>
      </c>
      <c r="Z27" s="97">
        <v>335.08620622074653</v>
      </c>
      <c r="AA27" s="97">
        <v>154.45379817987606</v>
      </c>
      <c r="AB27" s="99">
        <v>180.63240804087178</v>
      </c>
    </row>
    <row r="28" spans="1:28" ht="12.75" thickBot="1" x14ac:dyDescent="0.25">
      <c r="A28" s="52" t="s">
        <v>21</v>
      </c>
      <c r="B28" s="150">
        <v>7423.4425652626951</v>
      </c>
      <c r="C28" s="150">
        <v>3799.4700917483465</v>
      </c>
      <c r="D28" s="154">
        <v>3623.9724735137893</v>
      </c>
      <c r="E28" s="170">
        <v>0</v>
      </c>
      <c r="F28" s="170">
        <v>0</v>
      </c>
      <c r="G28" s="171">
        <v>0</v>
      </c>
      <c r="H28" s="150">
        <v>7423.4425652626951</v>
      </c>
      <c r="I28" s="150">
        <v>3799.4700917483465</v>
      </c>
      <c r="J28" s="152">
        <v>3623.9724735137893</v>
      </c>
      <c r="K28" s="172">
        <v>7673.8484521757409</v>
      </c>
      <c r="L28" s="172">
        <v>3927.6329582029884</v>
      </c>
      <c r="M28" s="173">
        <v>3746.215493972602</v>
      </c>
      <c r="N28" s="172">
        <v>0</v>
      </c>
      <c r="O28" s="172">
        <v>0</v>
      </c>
      <c r="P28" s="173">
        <v>0</v>
      </c>
      <c r="Q28" s="169">
        <v>7673.8484521757409</v>
      </c>
      <c r="R28" s="172">
        <v>3927.6329582029884</v>
      </c>
      <c r="S28" s="175">
        <v>3746.215493972602</v>
      </c>
      <c r="T28" s="150">
        <v>7931.9374643227538</v>
      </c>
      <c r="U28" s="150">
        <v>4059.728205663002</v>
      </c>
      <c r="V28" s="154">
        <v>3872.2092586601448</v>
      </c>
      <c r="W28" s="170">
        <v>0</v>
      </c>
      <c r="X28" s="170">
        <v>0</v>
      </c>
      <c r="Y28" s="171">
        <v>0</v>
      </c>
      <c r="Z28" s="150">
        <v>7931.9374643227538</v>
      </c>
      <c r="AA28" s="150">
        <v>4059.728205663002</v>
      </c>
      <c r="AB28" s="152">
        <v>3872.2092586601448</v>
      </c>
    </row>
    <row r="29" spans="1:28" x14ac:dyDescent="0.2">
      <c r="A29" s="57" t="s">
        <v>82</v>
      </c>
    </row>
    <row r="30" spans="1:28" x14ac:dyDescent="0.2">
      <c r="B30" s="186"/>
    </row>
    <row r="32" spans="1:28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" style="1" customWidth="1"/>
    <col min="2" max="2" width="7.7109375" style="1" customWidth="1"/>
    <col min="3" max="3" width="8.5703125" style="1" customWidth="1"/>
    <col min="4" max="4" width="8.42578125" style="1" customWidth="1"/>
    <col min="5" max="5" width="7.85546875" style="1" customWidth="1"/>
    <col min="6" max="6" width="8.140625" style="1" customWidth="1"/>
    <col min="7" max="7" width="8.85546875" style="1" customWidth="1"/>
    <col min="8" max="8" width="7.7109375" style="1" customWidth="1"/>
    <col min="9" max="9" width="8.140625" style="1" customWidth="1"/>
    <col min="10" max="10" width="8.7109375" style="1" customWidth="1"/>
    <col min="11" max="16384" width="9.140625" style="1"/>
  </cols>
  <sheetData>
    <row r="1" spans="1:28" s="3" customFormat="1" ht="30" customHeight="1" thickBot="1" x14ac:dyDescent="0.25">
      <c r="A1" s="58" t="s">
        <v>79</v>
      </c>
      <c r="B1" s="56"/>
      <c r="C1" s="56"/>
      <c r="D1" s="56"/>
      <c r="E1" s="56"/>
      <c r="F1" s="56"/>
      <c r="G1" s="56"/>
      <c r="H1" s="56"/>
    </row>
    <row r="2" spans="1:28" s="3" customFormat="1" ht="13.5" customHeight="1" x14ac:dyDescent="0.2">
      <c r="A2" s="256" t="s">
        <v>34</v>
      </c>
      <c r="B2" s="259" t="s">
        <v>49</v>
      </c>
      <c r="C2" s="259"/>
      <c r="D2" s="259"/>
      <c r="E2" s="259"/>
      <c r="F2" s="259"/>
      <c r="G2" s="259"/>
      <c r="H2" s="259"/>
      <c r="I2" s="259"/>
      <c r="J2" s="260"/>
      <c r="K2" s="259" t="s">
        <v>50</v>
      </c>
      <c r="L2" s="259"/>
      <c r="M2" s="259"/>
      <c r="N2" s="259"/>
      <c r="O2" s="259"/>
      <c r="P2" s="259"/>
      <c r="Q2" s="259"/>
      <c r="R2" s="259"/>
      <c r="S2" s="260"/>
      <c r="T2" s="261" t="s">
        <v>51</v>
      </c>
      <c r="U2" s="259"/>
      <c r="V2" s="259"/>
      <c r="W2" s="259"/>
      <c r="X2" s="259"/>
      <c r="Y2" s="259"/>
      <c r="Z2" s="259"/>
      <c r="AA2" s="259"/>
      <c r="AB2" s="260"/>
    </row>
    <row r="3" spans="1:28" s="3" customFormat="1" ht="17.25" customHeight="1" thickBot="1" x14ac:dyDescent="0.25">
      <c r="A3" s="257"/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245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s="3" customFormat="1" ht="12.75" customHeight="1" thickBot="1" x14ac:dyDescent="0.25">
      <c r="A4" s="258"/>
      <c r="B4" s="7" t="s">
        <v>0</v>
      </c>
      <c r="C4" s="8" t="s">
        <v>3</v>
      </c>
      <c r="D4" s="15" t="s">
        <v>4</v>
      </c>
      <c r="E4" s="16" t="s">
        <v>0</v>
      </c>
      <c r="F4" s="8" t="s">
        <v>3</v>
      </c>
      <c r="G4" s="15" t="s">
        <v>4</v>
      </c>
      <c r="H4" s="16" t="s">
        <v>0</v>
      </c>
      <c r="I4" s="8" t="s">
        <v>3</v>
      </c>
      <c r="J4" s="17" t="s">
        <v>4</v>
      </c>
      <c r="K4" s="7" t="s">
        <v>0</v>
      </c>
      <c r="L4" s="8" t="s">
        <v>3</v>
      </c>
      <c r="M4" s="8" t="s">
        <v>4</v>
      </c>
      <c r="N4" s="18" t="s">
        <v>0</v>
      </c>
      <c r="O4" s="19" t="s">
        <v>3</v>
      </c>
      <c r="P4" s="20" t="s">
        <v>4</v>
      </c>
      <c r="Q4" s="16" t="s">
        <v>0</v>
      </c>
      <c r="R4" s="8" t="s">
        <v>3</v>
      </c>
      <c r="S4" s="17" t="s">
        <v>4</v>
      </c>
      <c r="T4" s="246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s="3" customFormat="1" ht="16.5" customHeight="1" thickBot="1" x14ac:dyDescent="0.25">
      <c r="A5" s="21" t="s">
        <v>48</v>
      </c>
      <c r="B5" s="22">
        <f>+B6+B7+B8+B9+B10+B11+B12+B13+B14+B15+B16+B17+B18+B19+B20+B21+B22+B23+B24+B25</f>
        <v>8790.711588661552</v>
      </c>
      <c r="C5" s="22">
        <f t="shared" ref="C5:AB5" si="0">+C6+C7+C8+C9+C10+C11+C12+C13+C14+C15+C16+C17+C18+C19+C20+C21+C22+C23+C24+C25</f>
        <v>4258.1269855855589</v>
      </c>
      <c r="D5" s="22">
        <f t="shared" si="0"/>
        <v>4532.5846030760958</v>
      </c>
      <c r="E5" s="187">
        <f t="shared" si="0"/>
        <v>0</v>
      </c>
      <c r="F5" s="130">
        <f t="shared" si="0"/>
        <v>0</v>
      </c>
      <c r="G5" s="130">
        <f t="shared" si="0"/>
        <v>0</v>
      </c>
      <c r="H5" s="23">
        <f t="shared" si="0"/>
        <v>8790.711588661552</v>
      </c>
      <c r="I5" s="22">
        <f t="shared" si="0"/>
        <v>4258.1269855855589</v>
      </c>
      <c r="J5" s="82">
        <f t="shared" si="0"/>
        <v>4532.5846030760958</v>
      </c>
      <c r="K5" s="22">
        <f t="shared" si="0"/>
        <v>9087.2378852694874</v>
      </c>
      <c r="L5" s="22">
        <f t="shared" si="0"/>
        <v>4401.7611627266106</v>
      </c>
      <c r="M5" s="22">
        <f t="shared" si="0"/>
        <v>4685.4767225429105</v>
      </c>
      <c r="N5" s="187">
        <f t="shared" si="0"/>
        <v>0</v>
      </c>
      <c r="O5" s="130">
        <f t="shared" si="0"/>
        <v>0</v>
      </c>
      <c r="P5" s="130">
        <f t="shared" si="0"/>
        <v>0</v>
      </c>
      <c r="Q5" s="23">
        <f t="shared" si="0"/>
        <v>9087.2378852694874</v>
      </c>
      <c r="R5" s="22">
        <f t="shared" si="0"/>
        <v>4401.7611627266106</v>
      </c>
      <c r="S5" s="22">
        <f t="shared" si="0"/>
        <v>4685.4767225429105</v>
      </c>
      <c r="T5" s="81">
        <f t="shared" si="0"/>
        <v>9392.8624051662355</v>
      </c>
      <c r="U5" s="22">
        <f t="shared" si="0"/>
        <v>4549.8024222428148</v>
      </c>
      <c r="V5" s="22">
        <f t="shared" si="0"/>
        <v>4843.0599829235134</v>
      </c>
      <c r="W5" s="187">
        <f t="shared" si="0"/>
        <v>0</v>
      </c>
      <c r="X5" s="130">
        <f t="shared" si="0"/>
        <v>0</v>
      </c>
      <c r="Y5" s="134">
        <f t="shared" si="0"/>
        <v>0</v>
      </c>
      <c r="Z5" s="22">
        <f t="shared" si="0"/>
        <v>9392.8624051662355</v>
      </c>
      <c r="AA5" s="22">
        <f t="shared" si="0"/>
        <v>4549.8024222428148</v>
      </c>
      <c r="AB5" s="247">
        <f t="shared" si="0"/>
        <v>4843.0599829235134</v>
      </c>
    </row>
    <row r="6" spans="1:28" s="3" customFormat="1" ht="12" customHeight="1" x14ac:dyDescent="0.2">
      <c r="A6" s="26" t="s">
        <v>5</v>
      </c>
      <c r="B6" s="88">
        <v>1342.4292226224466</v>
      </c>
      <c r="C6" s="88">
        <v>613.74389337990249</v>
      </c>
      <c r="D6" s="89">
        <v>728.68532924256567</v>
      </c>
      <c r="E6" s="132">
        <v>0</v>
      </c>
      <c r="F6" s="102">
        <v>0</v>
      </c>
      <c r="G6" s="111">
        <v>0</v>
      </c>
      <c r="H6" s="88">
        <v>1342.4292226224466</v>
      </c>
      <c r="I6" s="88">
        <v>613.74389337990249</v>
      </c>
      <c r="J6" s="90">
        <v>728.68532924256567</v>
      </c>
      <c r="K6" s="88">
        <v>1387.7117417709935</v>
      </c>
      <c r="L6" s="88">
        <v>634.44656368528126</v>
      </c>
      <c r="M6" s="88">
        <v>753.26517808570611</v>
      </c>
      <c r="N6" s="132">
        <v>0</v>
      </c>
      <c r="O6" s="102">
        <v>0</v>
      </c>
      <c r="P6" s="111">
        <v>0</v>
      </c>
      <c r="Q6" s="88">
        <v>1387.7117417709935</v>
      </c>
      <c r="R6" s="88">
        <v>634.44656368528126</v>
      </c>
      <c r="S6" s="90">
        <v>753.26517808570611</v>
      </c>
      <c r="T6" s="248">
        <v>1434.3836502417771</v>
      </c>
      <c r="U6" s="88">
        <v>655.78444752573103</v>
      </c>
      <c r="V6" s="88">
        <v>778.59920271606609</v>
      </c>
      <c r="W6" s="132">
        <v>0</v>
      </c>
      <c r="X6" s="102">
        <v>0</v>
      </c>
      <c r="Y6" s="111">
        <v>0</v>
      </c>
      <c r="Z6" s="88">
        <v>1434.3836502417771</v>
      </c>
      <c r="AA6" s="88">
        <v>655.78444752573103</v>
      </c>
      <c r="AB6" s="90">
        <v>778.59920271606609</v>
      </c>
    </row>
    <row r="7" spans="1:28" s="3" customFormat="1" ht="12" customHeight="1" x14ac:dyDescent="0.2">
      <c r="A7" s="26" t="s">
        <v>6</v>
      </c>
      <c r="B7" s="88">
        <v>1786.0940378892005</v>
      </c>
      <c r="C7" s="88">
        <v>828.48251917447487</v>
      </c>
      <c r="D7" s="89">
        <v>957.61151871477625</v>
      </c>
      <c r="E7" s="132">
        <v>0</v>
      </c>
      <c r="F7" s="102">
        <v>0</v>
      </c>
      <c r="G7" s="111">
        <v>0</v>
      </c>
      <c r="H7" s="88">
        <v>1786.0940378892005</v>
      </c>
      <c r="I7" s="88">
        <v>828.48251917447487</v>
      </c>
      <c r="J7" s="90">
        <v>957.61151871477625</v>
      </c>
      <c r="K7" s="88">
        <v>1846.3421583180098</v>
      </c>
      <c r="L7" s="88">
        <v>856.42870427419939</v>
      </c>
      <c r="M7" s="88">
        <v>989.91345404383014</v>
      </c>
      <c r="N7" s="132">
        <v>0</v>
      </c>
      <c r="O7" s="102">
        <v>0</v>
      </c>
      <c r="P7" s="111">
        <v>0</v>
      </c>
      <c r="Q7" s="88">
        <v>1846.3421583180098</v>
      </c>
      <c r="R7" s="88">
        <v>856.42870427419939</v>
      </c>
      <c r="S7" s="90">
        <v>989.91345404383014</v>
      </c>
      <c r="T7" s="248">
        <v>1908.4388529160285</v>
      </c>
      <c r="U7" s="88">
        <v>885.23235339997711</v>
      </c>
      <c r="V7" s="88">
        <v>1023.2064995161145</v>
      </c>
      <c r="W7" s="132">
        <v>0</v>
      </c>
      <c r="X7" s="102">
        <v>0</v>
      </c>
      <c r="Y7" s="111">
        <v>0</v>
      </c>
      <c r="Z7" s="88">
        <v>1908.4388529160285</v>
      </c>
      <c r="AA7" s="88">
        <v>885.23235339997711</v>
      </c>
      <c r="AB7" s="90">
        <v>1023.2064995161145</v>
      </c>
    </row>
    <row r="8" spans="1:28" s="3" customFormat="1" ht="12" customHeight="1" x14ac:dyDescent="0.2">
      <c r="A8" s="26" t="s">
        <v>7</v>
      </c>
      <c r="B8" s="88">
        <v>1341.5703138080303</v>
      </c>
      <c r="C8" s="88">
        <v>647.93046671989418</v>
      </c>
      <c r="D8" s="89">
        <v>693.63984708814246</v>
      </c>
      <c r="E8" s="132">
        <v>0</v>
      </c>
      <c r="F8" s="102">
        <v>0</v>
      </c>
      <c r="G8" s="111">
        <v>0</v>
      </c>
      <c r="H8" s="88">
        <v>1341.5703138080303</v>
      </c>
      <c r="I8" s="88">
        <v>647.93046671989418</v>
      </c>
      <c r="J8" s="90">
        <v>693.63984708814246</v>
      </c>
      <c r="K8" s="88">
        <v>1386.8238604384844</v>
      </c>
      <c r="L8" s="88">
        <v>669.78631079099887</v>
      </c>
      <c r="M8" s="88">
        <v>717.03754964750533</v>
      </c>
      <c r="N8" s="132">
        <v>0</v>
      </c>
      <c r="O8" s="102">
        <v>0</v>
      </c>
      <c r="P8" s="111">
        <v>0</v>
      </c>
      <c r="Q8" s="88">
        <v>1386.8238604384844</v>
      </c>
      <c r="R8" s="88">
        <v>669.78631079099887</v>
      </c>
      <c r="S8" s="90">
        <v>717.03754964750533</v>
      </c>
      <c r="T8" s="248">
        <v>1433.4659074366264</v>
      </c>
      <c r="U8" s="88">
        <v>692.31275086590892</v>
      </c>
      <c r="V8" s="88">
        <v>741.15315657073631</v>
      </c>
      <c r="W8" s="132">
        <v>0</v>
      </c>
      <c r="X8" s="102">
        <v>0</v>
      </c>
      <c r="Y8" s="111">
        <v>0</v>
      </c>
      <c r="Z8" s="88">
        <v>1433.4659074366264</v>
      </c>
      <c r="AA8" s="88">
        <v>692.31275086590892</v>
      </c>
      <c r="AB8" s="90">
        <v>741.15315657073631</v>
      </c>
    </row>
    <row r="9" spans="1:28" s="3" customFormat="1" ht="12" customHeight="1" x14ac:dyDescent="0.2">
      <c r="A9" s="26" t="s">
        <v>8</v>
      </c>
      <c r="B9" s="88">
        <v>968.98965368768745</v>
      </c>
      <c r="C9" s="88">
        <v>453.25685444304708</v>
      </c>
      <c r="D9" s="89">
        <v>515.73279924465669</v>
      </c>
      <c r="E9" s="132">
        <v>0</v>
      </c>
      <c r="F9" s="102">
        <v>0</v>
      </c>
      <c r="G9" s="111">
        <v>0</v>
      </c>
      <c r="H9" s="88">
        <v>968.98965368768745</v>
      </c>
      <c r="I9" s="88">
        <v>453.25685444304708</v>
      </c>
      <c r="J9" s="90">
        <v>515.73279924465669</v>
      </c>
      <c r="K9" s="88">
        <v>1001.6753936942335</v>
      </c>
      <c r="L9" s="88">
        <v>468.54601222106993</v>
      </c>
      <c r="M9" s="88">
        <v>533.12938147316333</v>
      </c>
      <c r="N9" s="132">
        <v>0</v>
      </c>
      <c r="O9" s="102">
        <v>0</v>
      </c>
      <c r="P9" s="111">
        <v>0</v>
      </c>
      <c r="Q9" s="88">
        <v>1001.6753936942335</v>
      </c>
      <c r="R9" s="88">
        <v>468.54601222106993</v>
      </c>
      <c r="S9" s="90">
        <v>533.12938147316333</v>
      </c>
      <c r="T9" s="248">
        <v>1035.3640200024038</v>
      </c>
      <c r="U9" s="88">
        <v>484.30428242842214</v>
      </c>
      <c r="V9" s="88">
        <v>551.05973757396293</v>
      </c>
      <c r="W9" s="132">
        <v>0</v>
      </c>
      <c r="X9" s="102">
        <v>0</v>
      </c>
      <c r="Y9" s="111">
        <v>0</v>
      </c>
      <c r="Z9" s="88">
        <v>1035.3640200024038</v>
      </c>
      <c r="AA9" s="88">
        <v>484.30428242842214</v>
      </c>
      <c r="AB9" s="90">
        <v>551.05973757396293</v>
      </c>
    </row>
    <row r="10" spans="1:28" s="3" customFormat="1" ht="12" customHeight="1" x14ac:dyDescent="0.2">
      <c r="A10" s="26" t="s">
        <v>9</v>
      </c>
      <c r="B10" s="88">
        <v>835.97439229388488</v>
      </c>
      <c r="C10" s="88">
        <v>419.23491912051026</v>
      </c>
      <c r="D10" s="89">
        <v>416.73947317336439</v>
      </c>
      <c r="E10" s="132">
        <v>0</v>
      </c>
      <c r="F10" s="102">
        <v>0</v>
      </c>
      <c r="G10" s="111">
        <v>0</v>
      </c>
      <c r="H10" s="88">
        <v>835.97439229388488</v>
      </c>
      <c r="I10" s="88">
        <v>419.23491912051026</v>
      </c>
      <c r="J10" s="90">
        <v>416.73947317336439</v>
      </c>
      <c r="K10" s="88">
        <v>864.17329156451274</v>
      </c>
      <c r="L10" s="88">
        <v>433.37645666519074</v>
      </c>
      <c r="M10" s="88">
        <v>430.79683489932654</v>
      </c>
      <c r="N10" s="132">
        <v>0</v>
      </c>
      <c r="O10" s="102">
        <v>0</v>
      </c>
      <c r="P10" s="111">
        <v>0</v>
      </c>
      <c r="Q10" s="88">
        <v>864.17329156451274</v>
      </c>
      <c r="R10" s="88">
        <v>433.37645666519074</v>
      </c>
      <c r="S10" s="90">
        <v>430.79683489932654</v>
      </c>
      <c r="T10" s="248">
        <v>893.23740881076026</v>
      </c>
      <c r="U10" s="88">
        <v>447.95189456779019</v>
      </c>
      <c r="V10" s="88">
        <v>445.28551424298189</v>
      </c>
      <c r="W10" s="132">
        <v>0</v>
      </c>
      <c r="X10" s="102">
        <v>0</v>
      </c>
      <c r="Y10" s="111">
        <v>0</v>
      </c>
      <c r="Z10" s="88">
        <v>893.23740881076026</v>
      </c>
      <c r="AA10" s="88">
        <v>447.95189456779019</v>
      </c>
      <c r="AB10" s="90">
        <v>445.28551424298189</v>
      </c>
    </row>
    <row r="11" spans="1:28" s="3" customFormat="1" ht="12" customHeight="1" x14ac:dyDescent="0.2">
      <c r="A11" s="31" t="s">
        <v>10</v>
      </c>
      <c r="B11" s="88">
        <v>487.85968266702162</v>
      </c>
      <c r="C11" s="88">
        <v>234.57191903171554</v>
      </c>
      <c r="D11" s="89">
        <v>253.28776363530997</v>
      </c>
      <c r="E11" s="132">
        <v>0</v>
      </c>
      <c r="F11" s="102">
        <v>0</v>
      </c>
      <c r="G11" s="111">
        <v>0</v>
      </c>
      <c r="H11" s="91">
        <v>487.85968266702162</v>
      </c>
      <c r="I11" s="91">
        <v>234.57191903171554</v>
      </c>
      <c r="J11" s="93">
        <v>253.28776363530997</v>
      </c>
      <c r="K11" s="88">
        <v>504.31605522645634</v>
      </c>
      <c r="L11" s="88">
        <v>242.4844459912394</v>
      </c>
      <c r="M11" s="88">
        <v>261.83160923522121</v>
      </c>
      <c r="N11" s="132">
        <v>0</v>
      </c>
      <c r="O11" s="102">
        <v>0</v>
      </c>
      <c r="P11" s="111">
        <v>0</v>
      </c>
      <c r="Q11" s="91">
        <v>504.31605522645634</v>
      </c>
      <c r="R11" s="91">
        <v>242.4844459912394</v>
      </c>
      <c r="S11" s="93">
        <v>261.83160923522121</v>
      </c>
      <c r="T11" s="248">
        <v>521.27735350001808</v>
      </c>
      <c r="U11" s="88">
        <v>250.63975053197603</v>
      </c>
      <c r="V11" s="88">
        <v>270.63760296803815</v>
      </c>
      <c r="W11" s="132">
        <v>0</v>
      </c>
      <c r="X11" s="102">
        <v>0</v>
      </c>
      <c r="Y11" s="111">
        <v>0</v>
      </c>
      <c r="Z11" s="91">
        <v>521.27735350001808</v>
      </c>
      <c r="AA11" s="91">
        <v>250.63975053197603</v>
      </c>
      <c r="AB11" s="93">
        <v>270.63760296803815</v>
      </c>
    </row>
    <row r="12" spans="1:28" s="3" customFormat="1" ht="12" customHeight="1" x14ac:dyDescent="0.2">
      <c r="A12" s="31" t="s">
        <v>11</v>
      </c>
      <c r="B12" s="91">
        <v>489.36651392238707</v>
      </c>
      <c r="C12" s="91">
        <v>240.1640411334167</v>
      </c>
      <c r="D12" s="92">
        <v>249.2024727889754</v>
      </c>
      <c r="E12" s="132">
        <v>0</v>
      </c>
      <c r="F12" s="102">
        <v>0</v>
      </c>
      <c r="G12" s="111">
        <v>0</v>
      </c>
      <c r="H12" s="88">
        <v>489.36651392238707</v>
      </c>
      <c r="I12" s="88">
        <v>240.1640411334167</v>
      </c>
      <c r="J12" s="90">
        <v>249.2024727889754</v>
      </c>
      <c r="K12" s="91">
        <v>505.87371457319273</v>
      </c>
      <c r="L12" s="91">
        <v>248.26520029185468</v>
      </c>
      <c r="M12" s="91">
        <v>257.6085142813331</v>
      </c>
      <c r="N12" s="132">
        <v>0</v>
      </c>
      <c r="O12" s="102">
        <v>0</v>
      </c>
      <c r="P12" s="111">
        <v>0</v>
      </c>
      <c r="Q12" s="88">
        <v>505.87371457319273</v>
      </c>
      <c r="R12" s="88">
        <v>248.26520029185468</v>
      </c>
      <c r="S12" s="90">
        <v>257.6085142813331</v>
      </c>
      <c r="T12" s="249">
        <v>522.88740048047976</v>
      </c>
      <c r="U12" s="91">
        <v>256.61492477406142</v>
      </c>
      <c r="V12" s="91">
        <v>266.27247570641856</v>
      </c>
      <c r="W12" s="132">
        <v>0</v>
      </c>
      <c r="X12" s="102">
        <v>0</v>
      </c>
      <c r="Y12" s="111">
        <v>0</v>
      </c>
      <c r="Z12" s="88">
        <v>522.88740048047976</v>
      </c>
      <c r="AA12" s="88">
        <v>256.61492477406142</v>
      </c>
      <c r="AB12" s="90">
        <v>266.27247570641856</v>
      </c>
    </row>
    <row r="13" spans="1:28" s="3" customFormat="1" ht="12" customHeight="1" x14ac:dyDescent="0.2">
      <c r="A13" s="31" t="s">
        <v>12</v>
      </c>
      <c r="B13" s="91">
        <v>373.15810692234925</v>
      </c>
      <c r="C13" s="91">
        <v>180.76863311117384</v>
      </c>
      <c r="D13" s="92">
        <v>192.38947381117788</v>
      </c>
      <c r="E13" s="132">
        <v>0</v>
      </c>
      <c r="F13" s="102">
        <v>0</v>
      </c>
      <c r="G13" s="111">
        <v>0</v>
      </c>
      <c r="H13" s="91">
        <v>373.15810692234925</v>
      </c>
      <c r="I13" s="91">
        <v>180.76863311117384</v>
      </c>
      <c r="J13" s="93">
        <v>192.38947381117788</v>
      </c>
      <c r="K13" s="91">
        <v>385.74539185132517</v>
      </c>
      <c r="L13" s="91">
        <v>186.86627978956813</v>
      </c>
      <c r="M13" s="91">
        <v>198.87911206175463</v>
      </c>
      <c r="N13" s="132">
        <v>0</v>
      </c>
      <c r="O13" s="102">
        <v>0</v>
      </c>
      <c r="P13" s="111">
        <v>0</v>
      </c>
      <c r="Q13" s="91">
        <v>385.74539185132517</v>
      </c>
      <c r="R13" s="91">
        <v>186.86627978956813</v>
      </c>
      <c r="S13" s="93">
        <v>198.87911206175463</v>
      </c>
      <c r="T13" s="249">
        <v>398.71888849303076</v>
      </c>
      <c r="U13" s="91">
        <v>193.15101864714308</v>
      </c>
      <c r="V13" s="91">
        <v>205.56786984588797</v>
      </c>
      <c r="W13" s="132">
        <v>0</v>
      </c>
      <c r="X13" s="102">
        <v>0</v>
      </c>
      <c r="Y13" s="111">
        <v>0</v>
      </c>
      <c r="Z13" s="91">
        <v>398.71888849303076</v>
      </c>
      <c r="AA13" s="91">
        <v>193.15101864714308</v>
      </c>
      <c r="AB13" s="93">
        <v>205.56786984588797</v>
      </c>
    </row>
    <row r="14" spans="1:28" s="3" customFormat="1" ht="12" customHeight="1" x14ac:dyDescent="0.2">
      <c r="A14" s="31" t="s">
        <v>13</v>
      </c>
      <c r="B14" s="91">
        <v>370.57569787790396</v>
      </c>
      <c r="C14" s="91">
        <v>182.05983763339651</v>
      </c>
      <c r="D14" s="92">
        <v>188.51586024450987</v>
      </c>
      <c r="E14" s="132">
        <v>0</v>
      </c>
      <c r="F14" s="102">
        <v>0</v>
      </c>
      <c r="G14" s="111">
        <v>0</v>
      </c>
      <c r="H14" s="91">
        <v>370.57569787790396</v>
      </c>
      <c r="I14" s="91">
        <v>182.05983763339651</v>
      </c>
      <c r="J14" s="93">
        <v>188.51586024450987</v>
      </c>
      <c r="K14" s="91">
        <v>383.075873568617</v>
      </c>
      <c r="L14" s="91">
        <v>188.20103893092218</v>
      </c>
      <c r="M14" s="91">
        <v>194.87483463769246</v>
      </c>
      <c r="N14" s="132">
        <v>0</v>
      </c>
      <c r="O14" s="102">
        <v>0</v>
      </c>
      <c r="P14" s="111">
        <v>0</v>
      </c>
      <c r="Q14" s="91">
        <v>383.075873568617</v>
      </c>
      <c r="R14" s="91">
        <v>188.20103893092218</v>
      </c>
      <c r="S14" s="93">
        <v>194.87483463769246</v>
      </c>
      <c r="T14" s="249">
        <v>395.95958822664301</v>
      </c>
      <c r="U14" s="91">
        <v>194.53066878033695</v>
      </c>
      <c r="V14" s="91">
        <v>201.42891944630634</v>
      </c>
      <c r="W14" s="132">
        <v>0</v>
      </c>
      <c r="X14" s="102">
        <v>0</v>
      </c>
      <c r="Y14" s="111">
        <v>0</v>
      </c>
      <c r="Z14" s="91">
        <v>395.95958822664301</v>
      </c>
      <c r="AA14" s="91">
        <v>194.53066878033695</v>
      </c>
      <c r="AB14" s="93">
        <v>201.42891944630634</v>
      </c>
    </row>
    <row r="15" spans="1:28" s="3" customFormat="1" ht="12" customHeight="1" x14ac:dyDescent="0.2">
      <c r="A15" s="31" t="s">
        <v>14</v>
      </c>
      <c r="B15" s="91">
        <v>193.92252230895915</v>
      </c>
      <c r="C15" s="91">
        <v>106.65738726992782</v>
      </c>
      <c r="D15" s="92">
        <v>87.265135039031804</v>
      </c>
      <c r="E15" s="132">
        <v>0</v>
      </c>
      <c r="F15" s="102">
        <v>0</v>
      </c>
      <c r="G15" s="111">
        <v>0</v>
      </c>
      <c r="H15" s="91">
        <v>193.92252230895915</v>
      </c>
      <c r="I15" s="91">
        <v>106.65738726992782</v>
      </c>
      <c r="J15" s="93">
        <v>87.265135039031804</v>
      </c>
      <c r="K15" s="91">
        <v>200.46387300499535</v>
      </c>
      <c r="L15" s="91">
        <v>110.25513015274716</v>
      </c>
      <c r="M15" s="91">
        <v>90.208742852247738</v>
      </c>
      <c r="N15" s="132">
        <v>0</v>
      </c>
      <c r="O15" s="102">
        <v>0</v>
      </c>
      <c r="P15" s="111">
        <v>0</v>
      </c>
      <c r="Q15" s="91">
        <v>200.46387300499535</v>
      </c>
      <c r="R15" s="91">
        <v>110.25513015274716</v>
      </c>
      <c r="S15" s="93">
        <v>90.208742852247738</v>
      </c>
      <c r="T15" s="249">
        <v>207.20592991131983</v>
      </c>
      <c r="U15" s="91">
        <v>113.9632614512259</v>
      </c>
      <c r="V15" s="91">
        <v>93.242668460093924</v>
      </c>
      <c r="W15" s="132">
        <v>0</v>
      </c>
      <c r="X15" s="102">
        <v>0</v>
      </c>
      <c r="Y15" s="111">
        <v>0</v>
      </c>
      <c r="Z15" s="91">
        <v>207.20592991131983</v>
      </c>
      <c r="AA15" s="91">
        <v>113.9632614512259</v>
      </c>
      <c r="AB15" s="93">
        <v>93.242668460093924</v>
      </c>
    </row>
    <row r="16" spans="1:28" s="3" customFormat="1" ht="12" customHeight="1" x14ac:dyDescent="0.2">
      <c r="A16" s="31" t="s">
        <v>15</v>
      </c>
      <c r="B16" s="91">
        <v>192.71050654452816</v>
      </c>
      <c r="C16" s="91">
        <v>118.77754491423784</v>
      </c>
      <c r="D16" s="92">
        <v>73.932961630290791</v>
      </c>
      <c r="E16" s="132">
        <v>0</v>
      </c>
      <c r="F16" s="102">
        <v>0</v>
      </c>
      <c r="G16" s="111">
        <v>0</v>
      </c>
      <c r="H16" s="91">
        <v>192.71050654452816</v>
      </c>
      <c r="I16" s="91">
        <v>118.77754491423784</v>
      </c>
      <c r="J16" s="93">
        <v>73.932961630290791</v>
      </c>
      <c r="K16" s="91">
        <v>199.21097379871412</v>
      </c>
      <c r="L16" s="91">
        <v>122.78412221555929</v>
      </c>
      <c r="M16" s="91">
        <v>76.426851583154388</v>
      </c>
      <c r="N16" s="132">
        <v>0</v>
      </c>
      <c r="O16" s="102">
        <v>0</v>
      </c>
      <c r="P16" s="111">
        <v>0</v>
      </c>
      <c r="Q16" s="91">
        <v>199.21097379871412</v>
      </c>
      <c r="R16" s="91">
        <v>122.78412221555929</v>
      </c>
      <c r="S16" s="93">
        <v>76.426851583154388</v>
      </c>
      <c r="T16" s="249">
        <v>205.91089284937408</v>
      </c>
      <c r="U16" s="91">
        <v>126.91363207068339</v>
      </c>
      <c r="V16" s="91">
        <v>78.997260778690688</v>
      </c>
      <c r="W16" s="132">
        <v>0</v>
      </c>
      <c r="X16" s="102">
        <v>0</v>
      </c>
      <c r="Y16" s="111">
        <v>0</v>
      </c>
      <c r="Z16" s="91">
        <v>205.91089284937408</v>
      </c>
      <c r="AA16" s="91">
        <v>126.91363207068339</v>
      </c>
      <c r="AB16" s="93">
        <v>78.997260778690688</v>
      </c>
    </row>
    <row r="17" spans="1:28" s="3" customFormat="1" ht="12" customHeight="1" x14ac:dyDescent="0.2">
      <c r="A17" s="31" t="s">
        <v>16</v>
      </c>
      <c r="B17" s="91">
        <v>93.325213861186811</v>
      </c>
      <c r="C17" s="91">
        <v>55.752725163825815</v>
      </c>
      <c r="D17" s="92">
        <v>37.572488697360903</v>
      </c>
      <c r="E17" s="132">
        <v>0</v>
      </c>
      <c r="F17" s="102">
        <v>0</v>
      </c>
      <c r="G17" s="111">
        <v>0</v>
      </c>
      <c r="H17" s="91">
        <v>93.325213861186811</v>
      </c>
      <c r="I17" s="91">
        <v>55.752725163825815</v>
      </c>
      <c r="J17" s="93">
        <v>37.572488697360903</v>
      </c>
      <c r="K17" s="91">
        <v>96.473238883653806</v>
      </c>
      <c r="L17" s="91">
        <v>57.633363488936148</v>
      </c>
      <c r="M17" s="91">
        <v>38.839875394717836</v>
      </c>
      <c r="N17" s="132">
        <v>0</v>
      </c>
      <c r="O17" s="102">
        <v>0</v>
      </c>
      <c r="P17" s="111">
        <v>0</v>
      </c>
      <c r="Q17" s="91">
        <v>96.473238883653806</v>
      </c>
      <c r="R17" s="91">
        <v>57.633363488936148</v>
      </c>
      <c r="S17" s="93">
        <v>38.839875394717836</v>
      </c>
      <c r="T17" s="249">
        <v>99.717853769822668</v>
      </c>
      <c r="U17" s="91">
        <v>59.571704849504449</v>
      </c>
      <c r="V17" s="91">
        <v>40.146148920318218</v>
      </c>
      <c r="W17" s="132">
        <v>0</v>
      </c>
      <c r="X17" s="102">
        <v>0</v>
      </c>
      <c r="Y17" s="111">
        <v>0</v>
      </c>
      <c r="Z17" s="91">
        <v>99.717853769822668</v>
      </c>
      <c r="AA17" s="91">
        <v>59.571704849504449</v>
      </c>
      <c r="AB17" s="93">
        <v>40.146148920318218</v>
      </c>
    </row>
    <row r="18" spans="1:28" s="3" customFormat="1" ht="12" customHeight="1" x14ac:dyDescent="0.2">
      <c r="A18" s="31" t="s">
        <v>17</v>
      </c>
      <c r="B18" s="91">
        <v>106.65738726992782</v>
      </c>
      <c r="C18" s="91">
        <v>54.540709399394821</v>
      </c>
      <c r="D18" s="92">
        <v>52.116677870532833</v>
      </c>
      <c r="E18" s="132">
        <v>0</v>
      </c>
      <c r="F18" s="102">
        <v>0</v>
      </c>
      <c r="G18" s="111">
        <v>0</v>
      </c>
      <c r="H18" s="91">
        <v>106.65738726992782</v>
      </c>
      <c r="I18" s="91">
        <v>54.540709399394821</v>
      </c>
      <c r="J18" s="93">
        <v>52.116677870532833</v>
      </c>
      <c r="K18" s="91">
        <v>110.25513015274716</v>
      </c>
      <c r="L18" s="91">
        <v>56.380464282654927</v>
      </c>
      <c r="M18" s="91">
        <v>53.874665870092485</v>
      </c>
      <c r="N18" s="132">
        <v>0</v>
      </c>
      <c r="O18" s="102">
        <v>0</v>
      </c>
      <c r="P18" s="111">
        <v>0</v>
      </c>
      <c r="Q18" s="91">
        <v>110.25513015274716</v>
      </c>
      <c r="R18" s="91">
        <v>56.380464282654927</v>
      </c>
      <c r="S18" s="93">
        <v>53.874665870092485</v>
      </c>
      <c r="T18" s="249">
        <v>113.9632614512259</v>
      </c>
      <c r="U18" s="91">
        <v>58.276667787558701</v>
      </c>
      <c r="V18" s="91">
        <v>55.686593663667203</v>
      </c>
      <c r="W18" s="132">
        <v>0</v>
      </c>
      <c r="X18" s="102">
        <v>0</v>
      </c>
      <c r="Y18" s="111">
        <v>0</v>
      </c>
      <c r="Z18" s="91">
        <v>113.9632614512259</v>
      </c>
      <c r="AA18" s="91">
        <v>58.276667787558701</v>
      </c>
      <c r="AB18" s="93">
        <v>55.686593663667203</v>
      </c>
    </row>
    <row r="19" spans="1:28" s="3" customFormat="1" ht="12" customHeight="1" x14ac:dyDescent="0.2">
      <c r="A19" s="31" t="s">
        <v>18</v>
      </c>
      <c r="B19" s="91">
        <v>64.117161978256902</v>
      </c>
      <c r="C19" s="91">
        <v>25.404913236667827</v>
      </c>
      <c r="D19" s="92">
        <v>38.712248741589072</v>
      </c>
      <c r="E19" s="132">
        <v>0</v>
      </c>
      <c r="F19" s="102">
        <v>0</v>
      </c>
      <c r="G19" s="111">
        <v>0</v>
      </c>
      <c r="H19" s="91">
        <v>64.117161978256902</v>
      </c>
      <c r="I19" s="91">
        <v>25.404913236667827</v>
      </c>
      <c r="J19" s="93">
        <v>38.712248741589072</v>
      </c>
      <c r="K19" s="91">
        <v>66.279947595628926</v>
      </c>
      <c r="L19" s="91">
        <v>26.261866028456737</v>
      </c>
      <c r="M19" s="91">
        <v>40.018081567172182</v>
      </c>
      <c r="N19" s="132">
        <v>0</v>
      </c>
      <c r="O19" s="102">
        <v>0</v>
      </c>
      <c r="P19" s="111">
        <v>0</v>
      </c>
      <c r="Q19" s="91">
        <v>66.279947595628926</v>
      </c>
      <c r="R19" s="91">
        <v>26.261866028456737</v>
      </c>
      <c r="S19" s="93">
        <v>40.018081567172182</v>
      </c>
      <c r="T19" s="249">
        <v>68.509093285270438</v>
      </c>
      <c r="U19" s="91">
        <v>27.145112433786398</v>
      </c>
      <c r="V19" s="91">
        <v>41.363980851484037</v>
      </c>
      <c r="W19" s="132">
        <v>0</v>
      </c>
      <c r="X19" s="102">
        <v>0</v>
      </c>
      <c r="Y19" s="111">
        <v>0</v>
      </c>
      <c r="Z19" s="91">
        <v>68.509093285270438</v>
      </c>
      <c r="AA19" s="91">
        <v>27.145112433786398</v>
      </c>
      <c r="AB19" s="93">
        <v>41.363980851484037</v>
      </c>
    </row>
    <row r="20" spans="1:28" s="3" customFormat="1" ht="12" customHeight="1" x14ac:dyDescent="0.2">
      <c r="A20" s="31" t="s">
        <v>19</v>
      </c>
      <c r="B20" s="91">
        <v>61.697646431907579</v>
      </c>
      <c r="C20" s="91">
        <v>39.92200651476373</v>
      </c>
      <c r="D20" s="92">
        <v>21.775639917143852</v>
      </c>
      <c r="E20" s="132">
        <v>0</v>
      </c>
      <c r="F20" s="102">
        <v>0</v>
      </c>
      <c r="G20" s="111">
        <v>0</v>
      </c>
      <c r="H20" s="91">
        <v>61.697646431907579</v>
      </c>
      <c r="I20" s="91">
        <v>39.92200651476373</v>
      </c>
      <c r="J20" s="93">
        <v>21.775639917143852</v>
      </c>
      <c r="K20" s="91">
        <v>63.778817497680677</v>
      </c>
      <c r="L20" s="91">
        <v>41.268646616146313</v>
      </c>
      <c r="M20" s="91">
        <v>22.510170881534343</v>
      </c>
      <c r="N20" s="132">
        <v>0</v>
      </c>
      <c r="O20" s="102">
        <v>0</v>
      </c>
      <c r="P20" s="111">
        <v>0</v>
      </c>
      <c r="Q20" s="91">
        <v>63.778817497680677</v>
      </c>
      <c r="R20" s="91">
        <v>41.268646616146313</v>
      </c>
      <c r="S20" s="93">
        <v>22.510170881534343</v>
      </c>
      <c r="T20" s="249">
        <v>65.923844482052687</v>
      </c>
      <c r="U20" s="91">
        <v>42.656605253092913</v>
      </c>
      <c r="V20" s="91">
        <v>23.26723922895977</v>
      </c>
      <c r="W20" s="132">
        <v>0</v>
      </c>
      <c r="X20" s="102">
        <v>0</v>
      </c>
      <c r="Y20" s="111">
        <v>0</v>
      </c>
      <c r="Z20" s="91">
        <v>65.923844482052687</v>
      </c>
      <c r="AA20" s="91">
        <v>42.656605253092913</v>
      </c>
      <c r="AB20" s="93">
        <v>23.26723922895977</v>
      </c>
    </row>
    <row r="21" spans="1:28" s="3" customFormat="1" ht="12" customHeight="1" x14ac:dyDescent="0.2">
      <c r="A21" s="31" t="s">
        <v>20</v>
      </c>
      <c r="B21" s="91">
        <v>38.712248741589072</v>
      </c>
      <c r="C21" s="228">
        <v>27.824428783017144</v>
      </c>
      <c r="D21" s="229">
        <v>10.887819958571926</v>
      </c>
      <c r="E21" s="140">
        <v>0</v>
      </c>
      <c r="F21" s="177">
        <v>0</v>
      </c>
      <c r="G21" s="141">
        <v>0</v>
      </c>
      <c r="H21" s="228">
        <v>38.712248741589072</v>
      </c>
      <c r="I21" s="228">
        <v>27.824428783017144</v>
      </c>
      <c r="J21" s="230">
        <v>10.887819958571926</v>
      </c>
      <c r="K21" s="228">
        <v>40.018081567172182</v>
      </c>
      <c r="L21" s="228">
        <v>28.762996126405</v>
      </c>
      <c r="M21" s="228">
        <v>11.255085440767166</v>
      </c>
      <c r="N21" s="140">
        <v>0</v>
      </c>
      <c r="O21" s="177">
        <v>0</v>
      </c>
      <c r="P21" s="141">
        <v>0</v>
      </c>
      <c r="Q21" s="228">
        <v>40.018081567172182</v>
      </c>
      <c r="R21" s="228">
        <v>28.762996126405</v>
      </c>
      <c r="S21" s="230">
        <v>11.255085440767166</v>
      </c>
      <c r="T21" s="250">
        <v>41.363980851484037</v>
      </c>
      <c r="U21" s="228">
        <v>29.73036123700415</v>
      </c>
      <c r="V21" s="228">
        <v>11.633619614479885</v>
      </c>
      <c r="W21" s="140">
        <v>0</v>
      </c>
      <c r="X21" s="177">
        <v>0</v>
      </c>
      <c r="Y21" s="141">
        <v>0</v>
      </c>
      <c r="Z21" s="228">
        <v>41.363980851484037</v>
      </c>
      <c r="AA21" s="228">
        <v>29.73036123700415</v>
      </c>
      <c r="AB21" s="230">
        <v>11.633619614479885</v>
      </c>
    </row>
    <row r="22" spans="1:28" s="3" customFormat="1" ht="12" customHeight="1" x14ac:dyDescent="0.2">
      <c r="A22" s="31" t="s">
        <v>28</v>
      </c>
      <c r="B22" s="91">
        <v>29.034186556191802</v>
      </c>
      <c r="C22" s="228">
        <v>19.356124370794536</v>
      </c>
      <c r="D22" s="229">
        <v>9.6780621853972679</v>
      </c>
      <c r="E22" s="140">
        <v>0</v>
      </c>
      <c r="F22" s="177">
        <v>0</v>
      </c>
      <c r="G22" s="141">
        <v>0</v>
      </c>
      <c r="H22" s="228">
        <v>29.034186556191802</v>
      </c>
      <c r="I22" s="228">
        <v>19.356124370794536</v>
      </c>
      <c r="J22" s="230">
        <v>9.6780621853972679</v>
      </c>
      <c r="K22" s="228">
        <v>30.013561175379131</v>
      </c>
      <c r="L22" s="228">
        <v>20.00904078358608</v>
      </c>
      <c r="M22" s="228">
        <v>10.004520391793037</v>
      </c>
      <c r="N22" s="140">
        <v>0</v>
      </c>
      <c r="O22" s="177">
        <v>0</v>
      </c>
      <c r="P22" s="141">
        <v>0</v>
      </c>
      <c r="Q22" s="228">
        <v>30.013561175379131</v>
      </c>
      <c r="R22" s="228">
        <v>20.00904078358608</v>
      </c>
      <c r="S22" s="230">
        <v>10.004520391793037</v>
      </c>
      <c r="T22" s="250">
        <v>31.022985638613026</v>
      </c>
      <c r="U22" s="228">
        <v>20.681990425742018</v>
      </c>
      <c r="V22" s="228">
        <v>10.340995212871009</v>
      </c>
      <c r="W22" s="140">
        <v>0</v>
      </c>
      <c r="X22" s="177">
        <v>0</v>
      </c>
      <c r="Y22" s="141">
        <v>0</v>
      </c>
      <c r="Z22" s="228">
        <v>31.022985638613026</v>
      </c>
      <c r="AA22" s="228">
        <v>20.681990425742018</v>
      </c>
      <c r="AB22" s="230">
        <v>10.340995212871009</v>
      </c>
    </row>
    <row r="23" spans="1:28" s="3" customFormat="1" ht="12" customHeight="1" x14ac:dyDescent="0.2">
      <c r="A23" s="31" t="s">
        <v>29</v>
      </c>
      <c r="B23" s="91">
        <v>4.8390310926986349</v>
      </c>
      <c r="C23" s="228">
        <v>2.4195155463493174</v>
      </c>
      <c r="D23" s="229">
        <v>2.4195155463493174</v>
      </c>
      <c r="E23" s="140">
        <v>0</v>
      </c>
      <c r="F23" s="177">
        <v>0</v>
      </c>
      <c r="G23" s="141">
        <v>0</v>
      </c>
      <c r="H23" s="228">
        <v>4.8390310926986349</v>
      </c>
      <c r="I23" s="228">
        <v>2.4195155463493174</v>
      </c>
      <c r="J23" s="230">
        <v>2.4195155463493174</v>
      </c>
      <c r="K23" s="228">
        <v>5.0022601958965183</v>
      </c>
      <c r="L23" s="228">
        <v>2.5011300979482591</v>
      </c>
      <c r="M23" s="228">
        <v>2.5011300979482591</v>
      </c>
      <c r="N23" s="140">
        <v>0</v>
      </c>
      <c r="O23" s="177">
        <v>0</v>
      </c>
      <c r="P23" s="141">
        <v>0</v>
      </c>
      <c r="Q23" s="228">
        <v>5.0022601958965183</v>
      </c>
      <c r="R23" s="228">
        <v>2.5011300979482591</v>
      </c>
      <c r="S23" s="230">
        <v>2.5011300979482591</v>
      </c>
      <c r="T23" s="250">
        <v>5.1704976064355055</v>
      </c>
      <c r="U23" s="228">
        <v>2.5852488032177527</v>
      </c>
      <c r="V23" s="228">
        <v>2.5852488032177527</v>
      </c>
      <c r="W23" s="140">
        <v>0</v>
      </c>
      <c r="X23" s="177">
        <v>0</v>
      </c>
      <c r="Y23" s="141">
        <v>0</v>
      </c>
      <c r="Z23" s="228">
        <v>5.1704976064355055</v>
      </c>
      <c r="AA23" s="228">
        <v>2.5852488032177527</v>
      </c>
      <c r="AB23" s="230">
        <v>2.5852488032177527</v>
      </c>
    </row>
    <row r="24" spans="1:28" s="3" customFormat="1" ht="12" customHeight="1" x14ac:dyDescent="0.2">
      <c r="A24" s="31" t="s">
        <v>30</v>
      </c>
      <c r="B24" s="91">
        <v>3.6292733195239761</v>
      </c>
      <c r="C24" s="228">
        <v>1.2097577731746587</v>
      </c>
      <c r="D24" s="229">
        <v>2.4195155463493174</v>
      </c>
      <c r="E24" s="140">
        <v>0</v>
      </c>
      <c r="F24" s="177">
        <v>0</v>
      </c>
      <c r="G24" s="141">
        <v>0</v>
      </c>
      <c r="H24" s="228">
        <v>3.6292733195239761</v>
      </c>
      <c r="I24" s="228">
        <v>1.2097577731746587</v>
      </c>
      <c r="J24" s="230">
        <v>2.4195155463493174</v>
      </c>
      <c r="K24" s="228">
        <v>3.7516951469223887</v>
      </c>
      <c r="L24" s="228">
        <v>1.2505650489741296</v>
      </c>
      <c r="M24" s="228">
        <v>2.5011300979482591</v>
      </c>
      <c r="N24" s="140">
        <v>0</v>
      </c>
      <c r="O24" s="177">
        <v>0</v>
      </c>
      <c r="P24" s="141">
        <v>0</v>
      </c>
      <c r="Q24" s="228">
        <v>3.7516951469223887</v>
      </c>
      <c r="R24" s="228">
        <v>1.2505650489741296</v>
      </c>
      <c r="S24" s="230">
        <v>2.5011300979482591</v>
      </c>
      <c r="T24" s="250">
        <v>3.8778732048266291</v>
      </c>
      <c r="U24" s="228">
        <v>1.2926244016088764</v>
      </c>
      <c r="V24" s="228">
        <v>2.5852488032177527</v>
      </c>
      <c r="W24" s="140">
        <v>0</v>
      </c>
      <c r="X24" s="177">
        <v>0</v>
      </c>
      <c r="Y24" s="141">
        <v>0</v>
      </c>
      <c r="Z24" s="228">
        <v>3.8778732048266291</v>
      </c>
      <c r="AA24" s="228">
        <v>1.2926244016088764</v>
      </c>
      <c r="AB24" s="230">
        <v>2.5852488032177527</v>
      </c>
    </row>
    <row r="25" spans="1:28" s="3" customFormat="1" ht="12" customHeight="1" thickBot="1" x14ac:dyDescent="0.25">
      <c r="A25" s="36" t="s">
        <v>31</v>
      </c>
      <c r="B25" s="94">
        <v>6.0487888658732931</v>
      </c>
      <c r="C25" s="231">
        <v>6.0487888658732931</v>
      </c>
      <c r="D25" s="232">
        <v>0</v>
      </c>
      <c r="E25" s="233">
        <v>0</v>
      </c>
      <c r="F25" s="234">
        <v>0</v>
      </c>
      <c r="G25" s="232">
        <v>0</v>
      </c>
      <c r="H25" s="231">
        <v>6.0487888658732931</v>
      </c>
      <c r="I25" s="231">
        <v>6.0487888658732931</v>
      </c>
      <c r="J25" s="234">
        <v>0</v>
      </c>
      <c r="K25" s="235">
        <v>6.2528252448706478</v>
      </c>
      <c r="L25" s="231">
        <v>6.2528252448706478</v>
      </c>
      <c r="M25" s="232">
        <v>0</v>
      </c>
      <c r="N25" s="233">
        <v>0</v>
      </c>
      <c r="O25" s="234">
        <v>0</v>
      </c>
      <c r="P25" s="232">
        <v>0</v>
      </c>
      <c r="Q25" s="231">
        <v>6.2528252448706478</v>
      </c>
      <c r="R25" s="231">
        <v>6.2528252448706478</v>
      </c>
      <c r="S25" s="234">
        <v>0</v>
      </c>
      <c r="T25" s="235">
        <v>6.4631220080443814</v>
      </c>
      <c r="U25" s="231">
        <v>6.4631220080443814</v>
      </c>
      <c r="V25" s="234">
        <v>0</v>
      </c>
      <c r="W25" s="233">
        <v>0</v>
      </c>
      <c r="X25" s="234">
        <v>0</v>
      </c>
      <c r="Y25" s="232">
        <v>0</v>
      </c>
      <c r="Z25" s="231">
        <v>6.4631220080443814</v>
      </c>
      <c r="AA25" s="231">
        <v>6.4631220080443814</v>
      </c>
      <c r="AB25" s="251">
        <v>0</v>
      </c>
    </row>
    <row r="26" spans="1:28" s="3" customFormat="1" ht="14.25" customHeight="1" x14ac:dyDescent="0.2">
      <c r="A26" s="51" t="s">
        <v>64</v>
      </c>
      <c r="B26" s="100">
        <v>5107.103207590998</v>
      </c>
      <c r="C26" s="142">
        <v>2400.0865662312258</v>
      </c>
      <c r="D26" s="236">
        <v>2707.016641359749</v>
      </c>
      <c r="E26" s="142">
        <v>0</v>
      </c>
      <c r="F26" s="142">
        <v>0</v>
      </c>
      <c r="G26" s="142">
        <v>0</v>
      </c>
      <c r="H26" s="181">
        <v>5107.103207590998</v>
      </c>
      <c r="I26" s="237">
        <v>2400.0865662312258</v>
      </c>
      <c r="J26" s="238">
        <v>2707.016641359749</v>
      </c>
      <c r="K26" s="237">
        <v>5279.374858784412</v>
      </c>
      <c r="L26" s="237">
        <v>2481.0457438638214</v>
      </c>
      <c r="M26" s="237">
        <v>2798.3291149204038</v>
      </c>
      <c r="N26" s="239">
        <v>0</v>
      </c>
      <c r="O26" s="237">
        <v>0</v>
      </c>
      <c r="P26" s="237">
        <v>0</v>
      </c>
      <c r="Q26" s="239">
        <v>5279.374858784412</v>
      </c>
      <c r="R26" s="237">
        <v>2481.0457438638214</v>
      </c>
      <c r="S26" s="238">
        <v>2798.3291149204038</v>
      </c>
      <c r="T26" s="252">
        <v>5456.9322669807598</v>
      </c>
      <c r="U26" s="228">
        <v>2564.488966533188</v>
      </c>
      <c r="V26" s="236">
        <v>2892.4433004471948</v>
      </c>
      <c r="W26" s="228">
        <v>0</v>
      </c>
      <c r="X26" s="228">
        <v>0</v>
      </c>
      <c r="Y26" s="236">
        <v>0</v>
      </c>
      <c r="Z26" s="228">
        <v>5456.9322669807598</v>
      </c>
      <c r="AA26" s="228">
        <v>2564.488966533188</v>
      </c>
      <c r="AB26" s="253">
        <v>2892.4433004471948</v>
      </c>
    </row>
    <row r="27" spans="1:28" s="3" customFormat="1" ht="12" customHeight="1" x14ac:dyDescent="0.2">
      <c r="A27" s="51" t="s">
        <v>22</v>
      </c>
      <c r="B27" s="97">
        <v>182.52776030273944</v>
      </c>
      <c r="C27" s="240">
        <v>78.401185633391549</v>
      </c>
      <c r="D27" s="241">
        <v>104.12657466934824</v>
      </c>
      <c r="E27" s="177">
        <v>0</v>
      </c>
      <c r="F27" s="177">
        <v>0</v>
      </c>
      <c r="G27" s="141">
        <v>0</v>
      </c>
      <c r="H27" s="240">
        <v>182.52776030273944</v>
      </c>
      <c r="I27" s="240">
        <v>78.401185633391549</v>
      </c>
      <c r="J27" s="242">
        <v>104.12657466934824</v>
      </c>
      <c r="K27" s="240">
        <v>188.68474546199826</v>
      </c>
      <c r="L27" s="240">
        <v>81.045796708509172</v>
      </c>
      <c r="M27" s="240">
        <v>107.63894875348883</v>
      </c>
      <c r="N27" s="140">
        <v>0</v>
      </c>
      <c r="O27" s="177">
        <v>0</v>
      </c>
      <c r="P27" s="141">
        <v>0</v>
      </c>
      <c r="Q27" s="240">
        <v>188.68474546199826</v>
      </c>
      <c r="R27" s="240">
        <v>81.045796708509172</v>
      </c>
      <c r="S27" s="242">
        <v>107.63894875348883</v>
      </c>
      <c r="T27" s="254">
        <v>195.03064346441943</v>
      </c>
      <c r="U27" s="240">
        <v>83.771551555187131</v>
      </c>
      <c r="V27" s="240">
        <v>111.25909190923294</v>
      </c>
      <c r="W27" s="140">
        <v>0</v>
      </c>
      <c r="X27" s="177">
        <v>0</v>
      </c>
      <c r="Y27" s="141">
        <v>0</v>
      </c>
      <c r="Z27" s="240">
        <v>195.03064346441943</v>
      </c>
      <c r="AA27" s="240">
        <v>83.771551555187131</v>
      </c>
      <c r="AB27" s="242">
        <v>111.25909190923294</v>
      </c>
    </row>
    <row r="28" spans="1:28" ht="12.75" thickBot="1" x14ac:dyDescent="0.25">
      <c r="A28" s="52" t="s">
        <v>21</v>
      </c>
      <c r="B28" s="150">
        <v>3683.6083810705281</v>
      </c>
      <c r="C28" s="179">
        <v>1858.0404193543025</v>
      </c>
      <c r="D28" s="182">
        <v>1825.56796171632</v>
      </c>
      <c r="E28" s="179">
        <v>0</v>
      </c>
      <c r="F28" s="179">
        <v>0</v>
      </c>
      <c r="G28" s="179">
        <v>0</v>
      </c>
      <c r="H28" s="243">
        <v>3683.6083810705281</v>
      </c>
      <c r="I28" s="179">
        <v>1858.0404193543025</v>
      </c>
      <c r="J28" s="244">
        <v>1825.56796171632</v>
      </c>
      <c r="K28" s="179">
        <v>3807.8630264853559</v>
      </c>
      <c r="L28" s="179">
        <v>1920.7154188628101</v>
      </c>
      <c r="M28" s="182">
        <v>1887.1476076225645</v>
      </c>
      <c r="N28" s="179">
        <v>0</v>
      </c>
      <c r="O28" s="179">
        <v>0</v>
      </c>
      <c r="P28" s="182">
        <v>0</v>
      </c>
      <c r="Q28" s="179">
        <v>3807.8630264853559</v>
      </c>
      <c r="R28" s="179">
        <v>1920.7154188628101</v>
      </c>
      <c r="S28" s="244">
        <v>1887.1476076225645</v>
      </c>
      <c r="T28" s="255">
        <v>3935.9301381860314</v>
      </c>
      <c r="U28" s="179">
        <v>1985.3134557096471</v>
      </c>
      <c r="V28" s="179">
        <v>1950.6166824763413</v>
      </c>
      <c r="W28" s="243">
        <v>0</v>
      </c>
      <c r="X28" s="179">
        <v>0</v>
      </c>
      <c r="Y28" s="179">
        <v>0</v>
      </c>
      <c r="Z28" s="243">
        <v>3935.9301381860314</v>
      </c>
      <c r="AA28" s="179">
        <v>1985.3134557096471</v>
      </c>
      <c r="AB28" s="244">
        <v>1950.6166824763413</v>
      </c>
    </row>
    <row r="29" spans="1:28" x14ac:dyDescent="0.2">
      <c r="A29" s="57" t="s">
        <v>82</v>
      </c>
    </row>
    <row r="30" spans="1:28" x14ac:dyDescent="0.2">
      <c r="B30" s="186"/>
    </row>
    <row r="32" spans="1:28" ht="11.2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4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7109375" style="1" customWidth="1"/>
    <col min="2" max="18" width="9.140625" style="1"/>
    <col min="19" max="19" width="12" style="1" customWidth="1"/>
    <col min="20" max="20" width="8.7109375" style="1" customWidth="1"/>
    <col min="21" max="21" width="9.140625" style="1"/>
    <col min="22" max="22" width="7.140625" style="1" customWidth="1"/>
    <col min="23" max="16384" width="9.140625" style="1"/>
  </cols>
  <sheetData>
    <row r="1" spans="1:28" s="3" customFormat="1" ht="30" customHeight="1" thickBot="1" x14ac:dyDescent="0.25">
      <c r="A1" s="58" t="s">
        <v>80</v>
      </c>
      <c r="B1" s="56"/>
      <c r="C1" s="56"/>
      <c r="D1" s="56"/>
      <c r="E1" s="56"/>
      <c r="F1" s="56"/>
      <c r="G1" s="56"/>
    </row>
    <row r="2" spans="1:28" s="3" customFormat="1" ht="13.5" customHeight="1" x14ac:dyDescent="0.2">
      <c r="A2" s="256" t="s">
        <v>34</v>
      </c>
      <c r="B2" s="259" t="s">
        <v>53</v>
      </c>
      <c r="C2" s="259"/>
      <c r="D2" s="259"/>
      <c r="E2" s="259"/>
      <c r="F2" s="259"/>
      <c r="G2" s="259"/>
      <c r="H2" s="259"/>
      <c r="I2" s="259"/>
      <c r="J2" s="260"/>
      <c r="K2" s="259" t="s">
        <v>54</v>
      </c>
      <c r="L2" s="259"/>
      <c r="M2" s="259"/>
      <c r="N2" s="259"/>
      <c r="O2" s="259"/>
      <c r="P2" s="259"/>
      <c r="Q2" s="259"/>
      <c r="R2" s="259"/>
      <c r="S2" s="260"/>
      <c r="T2" s="259" t="s">
        <v>55</v>
      </c>
      <c r="U2" s="259"/>
      <c r="V2" s="259"/>
      <c r="W2" s="259"/>
      <c r="X2" s="259"/>
      <c r="Y2" s="259"/>
      <c r="Z2" s="259"/>
      <c r="AA2" s="259"/>
      <c r="AB2" s="260"/>
    </row>
    <row r="3" spans="1:28" s="3" customFormat="1" ht="17.25" customHeight="1" thickBot="1" x14ac:dyDescent="0.25">
      <c r="A3" s="257"/>
      <c r="B3" s="10"/>
      <c r="C3" s="10" t="s">
        <v>0</v>
      </c>
      <c r="D3" s="11"/>
      <c r="E3" s="12"/>
      <c r="F3" s="12" t="s">
        <v>1</v>
      </c>
      <c r="G3" s="13"/>
      <c r="H3" s="10"/>
      <c r="I3" s="10" t="s">
        <v>2</v>
      </c>
      <c r="J3" s="14"/>
      <c r="K3" s="10"/>
      <c r="L3" s="10" t="s">
        <v>0</v>
      </c>
      <c r="M3" s="11"/>
      <c r="N3" s="12"/>
      <c r="O3" s="12" t="s">
        <v>1</v>
      </c>
      <c r="P3" s="13"/>
      <c r="Q3" s="10"/>
      <c r="R3" s="10" t="s">
        <v>2</v>
      </c>
      <c r="S3" s="14"/>
      <c r="T3" s="10"/>
      <c r="U3" s="10" t="s">
        <v>0</v>
      </c>
      <c r="V3" s="11"/>
      <c r="W3" s="12"/>
      <c r="X3" s="12" t="s">
        <v>1</v>
      </c>
      <c r="Y3" s="13"/>
      <c r="Z3" s="10"/>
      <c r="AA3" s="10" t="s">
        <v>2</v>
      </c>
      <c r="AB3" s="14"/>
    </row>
    <row r="4" spans="1:28" s="3" customFormat="1" ht="12.75" customHeight="1" thickBot="1" x14ac:dyDescent="0.25">
      <c r="A4" s="258"/>
      <c r="B4" s="7" t="s">
        <v>0</v>
      </c>
      <c r="C4" s="8" t="s">
        <v>3</v>
      </c>
      <c r="D4" s="15" t="s">
        <v>4</v>
      </c>
      <c r="E4" s="16" t="s">
        <v>0</v>
      </c>
      <c r="F4" s="8" t="s">
        <v>3</v>
      </c>
      <c r="G4" s="15" t="s">
        <v>4</v>
      </c>
      <c r="H4" s="16" t="s">
        <v>0</v>
      </c>
      <c r="I4" s="8" t="s">
        <v>3</v>
      </c>
      <c r="J4" s="17" t="s">
        <v>4</v>
      </c>
      <c r="K4" s="7" t="s">
        <v>0</v>
      </c>
      <c r="L4" s="8" t="s">
        <v>3</v>
      </c>
      <c r="M4" s="8" t="s">
        <v>4</v>
      </c>
      <c r="N4" s="18" t="s">
        <v>0</v>
      </c>
      <c r="O4" s="19" t="s">
        <v>3</v>
      </c>
      <c r="P4" s="20" t="s">
        <v>4</v>
      </c>
      <c r="Q4" s="16" t="s">
        <v>0</v>
      </c>
      <c r="R4" s="8" t="s">
        <v>3</v>
      </c>
      <c r="S4" s="17" t="s">
        <v>4</v>
      </c>
      <c r="T4" s="7" t="s">
        <v>0</v>
      </c>
      <c r="U4" s="8" t="s">
        <v>3</v>
      </c>
      <c r="V4" s="8" t="s">
        <v>4</v>
      </c>
      <c r="W4" s="18" t="s">
        <v>0</v>
      </c>
      <c r="X4" s="19" t="s">
        <v>3</v>
      </c>
      <c r="Y4" s="20" t="s">
        <v>4</v>
      </c>
      <c r="Z4" s="16" t="s">
        <v>0</v>
      </c>
      <c r="AA4" s="8" t="s">
        <v>3</v>
      </c>
      <c r="AB4" s="17" t="s">
        <v>4</v>
      </c>
    </row>
    <row r="5" spans="1:28" s="3" customFormat="1" ht="16.5" customHeight="1" thickBot="1" x14ac:dyDescent="0.25">
      <c r="A5" s="21" t="s">
        <v>52</v>
      </c>
      <c r="B5" s="22">
        <f>+B6+B7+B8+B9+B10+B11+B12+B13+B14+B15+B16+B17+B18+B19+B20+B21+B22+B23+B24+B25</f>
        <v>13778.786088876695</v>
      </c>
      <c r="C5" s="22">
        <f t="shared" ref="C5:AB5" si="0">+C6+C7+C8+C9+C10+C11+C12+C13+C14+C15+C16+C17+C18+C19+C20+C21+C22+C23+C24+C25</f>
        <v>6749.862350010907</v>
      </c>
      <c r="D5" s="22">
        <f t="shared" si="0"/>
        <v>7028.9237388658548</v>
      </c>
      <c r="E5" s="23">
        <f t="shared" si="0"/>
        <v>2910.3025281995892</v>
      </c>
      <c r="F5" s="22">
        <f t="shared" si="0"/>
        <v>1434.4278228505427</v>
      </c>
      <c r="G5" s="22">
        <f t="shared" si="0"/>
        <v>1475.8747053490401</v>
      </c>
      <c r="H5" s="23">
        <f t="shared" si="0"/>
        <v>10868.483560677101</v>
      </c>
      <c r="I5" s="22">
        <f t="shared" si="0"/>
        <v>5315.4345271603561</v>
      </c>
      <c r="J5" s="82">
        <f t="shared" si="0"/>
        <v>5553.0490335168161</v>
      </c>
      <c r="K5" s="22">
        <f t="shared" si="0"/>
        <v>14243.568987221099</v>
      </c>
      <c r="L5" s="22">
        <f t="shared" si="0"/>
        <v>6977.5471813325594</v>
      </c>
      <c r="M5" s="22">
        <f t="shared" si="0"/>
        <v>7266.0218058884984</v>
      </c>
      <c r="N5" s="23">
        <f t="shared" si="0"/>
        <v>3008.4721953524545</v>
      </c>
      <c r="O5" s="22">
        <f t="shared" si="0"/>
        <v>1482.8136179902501</v>
      </c>
      <c r="P5" s="25">
        <f t="shared" si="0"/>
        <v>1525.6585773621914</v>
      </c>
      <c r="Q5" s="22">
        <f t="shared" si="0"/>
        <v>11235.096791868615</v>
      </c>
      <c r="R5" s="22">
        <f t="shared" si="0"/>
        <v>5494.7335633423199</v>
      </c>
      <c r="S5" s="22">
        <f t="shared" si="0"/>
        <v>5740.3632285263138</v>
      </c>
      <c r="T5" s="81">
        <f t="shared" si="0"/>
        <v>14722.612673354921</v>
      </c>
      <c r="U5" s="22">
        <f t="shared" si="0"/>
        <v>7212.2179948708508</v>
      </c>
      <c r="V5" s="25">
        <f t="shared" si="0"/>
        <v>7510.3946784842619</v>
      </c>
      <c r="W5" s="22">
        <f t="shared" si="0"/>
        <v>3109.653971590275</v>
      </c>
      <c r="X5" s="22">
        <f t="shared" si="0"/>
        <v>1532.684019295504</v>
      </c>
      <c r="Y5" s="25">
        <f t="shared" si="0"/>
        <v>1576.969952294784</v>
      </c>
      <c r="Z5" s="22">
        <f t="shared" si="0"/>
        <v>11612.958701764686</v>
      </c>
      <c r="AA5" s="22">
        <f t="shared" si="0"/>
        <v>5679.5339755753503</v>
      </c>
      <c r="AB5" s="82">
        <f t="shared" si="0"/>
        <v>5933.424726189488</v>
      </c>
    </row>
    <row r="6" spans="1:28" s="3" customFormat="1" ht="12" customHeight="1" x14ac:dyDescent="0.2">
      <c r="A6" s="26" t="s">
        <v>5</v>
      </c>
      <c r="B6" s="27">
        <v>2277.1416538830199</v>
      </c>
      <c r="C6" s="27">
        <v>1126.6429420878242</v>
      </c>
      <c r="D6" s="28">
        <v>1150.4987117951694</v>
      </c>
      <c r="E6" s="27">
        <v>466.2718624617662</v>
      </c>
      <c r="F6" s="27">
        <v>234.22028439939686</v>
      </c>
      <c r="G6" s="28">
        <v>232.05157806236542</v>
      </c>
      <c r="H6" s="27">
        <v>1810.8697914212248</v>
      </c>
      <c r="I6" s="27">
        <v>892.42265768843492</v>
      </c>
      <c r="J6" s="29">
        <v>918.44713373281149</v>
      </c>
      <c r="K6" s="88">
        <v>2353.9536815178444</v>
      </c>
      <c r="L6" s="88">
        <v>1164.6466071890638</v>
      </c>
      <c r="M6" s="88">
        <v>1189.3070743287747</v>
      </c>
      <c r="N6" s="104">
        <v>482.00003954888717</v>
      </c>
      <c r="O6" s="88">
        <v>242.1209500989732</v>
      </c>
      <c r="P6" s="89">
        <v>239.87908944990863</v>
      </c>
      <c r="Q6" s="88">
        <v>1871.9536419689514</v>
      </c>
      <c r="R6" s="88">
        <v>922.52565709008491</v>
      </c>
      <c r="S6" s="90">
        <v>949.42798487886034</v>
      </c>
      <c r="T6" s="88">
        <v>2433.1225084876114</v>
      </c>
      <c r="U6" s="88">
        <v>1203.8163268184348</v>
      </c>
      <c r="V6" s="88">
        <v>1229.3061816692566</v>
      </c>
      <c r="W6" s="104">
        <v>498.21079935699993</v>
      </c>
      <c r="X6" s="88">
        <v>250.26402944444874</v>
      </c>
      <c r="Y6" s="89">
        <v>247.94676991255568</v>
      </c>
      <c r="Z6" s="88">
        <v>1934.9117091306407</v>
      </c>
      <c r="AA6" s="88">
        <v>953.55229737399623</v>
      </c>
      <c r="AB6" s="90">
        <v>981.3594117567136</v>
      </c>
    </row>
    <row r="7" spans="1:28" s="3" customFormat="1" ht="12" customHeight="1" x14ac:dyDescent="0.2">
      <c r="A7" s="26" t="s">
        <v>6</v>
      </c>
      <c r="B7" s="27">
        <v>2156.3400188719747</v>
      </c>
      <c r="C7" s="27">
        <v>1058.1721555249192</v>
      </c>
      <c r="D7" s="28">
        <v>1098.1678633471324</v>
      </c>
      <c r="E7" s="27">
        <v>471.94935230214037</v>
      </c>
      <c r="F7" s="27">
        <v>231.97510536884886</v>
      </c>
      <c r="G7" s="28">
        <v>239.97424693329191</v>
      </c>
      <c r="H7" s="27">
        <v>1684.3906665698582</v>
      </c>
      <c r="I7" s="27">
        <v>826.19705015606246</v>
      </c>
      <c r="J7" s="29">
        <v>858.19361641383625</v>
      </c>
      <c r="K7" s="88">
        <v>2229.0771930557471</v>
      </c>
      <c r="L7" s="88">
        <v>1093.8661795281444</v>
      </c>
      <c r="M7" s="88">
        <v>1135.2110135275875</v>
      </c>
      <c r="N7" s="104">
        <v>487.8690411934478</v>
      </c>
      <c r="O7" s="88">
        <v>239.80003719677731</v>
      </c>
      <c r="P7" s="89">
        <v>248.06900399666614</v>
      </c>
      <c r="Q7" s="88">
        <v>1741.2081518622829</v>
      </c>
      <c r="R7" s="88">
        <v>854.06614233137407</v>
      </c>
      <c r="S7" s="90">
        <v>887.14200953092859</v>
      </c>
      <c r="T7" s="88">
        <v>2304.0461391251411</v>
      </c>
      <c r="U7" s="88">
        <v>1130.6553920667247</v>
      </c>
      <c r="V7" s="88">
        <v>1173.3907470584447</v>
      </c>
      <c r="W7" s="104">
        <v>504.27718890232381</v>
      </c>
      <c r="X7" s="88">
        <v>247.86505895199176</v>
      </c>
      <c r="Y7" s="89">
        <v>256.41212995033635</v>
      </c>
      <c r="Z7" s="88">
        <v>1799.7689502227977</v>
      </c>
      <c r="AA7" s="88">
        <v>882.79033311473574</v>
      </c>
      <c r="AB7" s="90">
        <v>916.97861710811492</v>
      </c>
    </row>
    <row r="8" spans="1:28" s="3" customFormat="1" ht="12" customHeight="1" x14ac:dyDescent="0.2">
      <c r="A8" s="26" t="s">
        <v>7</v>
      </c>
      <c r="B8" s="27">
        <v>1826.0897457114138</v>
      </c>
      <c r="C8" s="27">
        <v>958.75425322398246</v>
      </c>
      <c r="D8" s="28">
        <v>867.33549248748591</v>
      </c>
      <c r="E8" s="27">
        <v>402.24254724056522</v>
      </c>
      <c r="F8" s="27">
        <v>236.54604340567346</v>
      </c>
      <c r="G8" s="28">
        <v>165.69650383489216</v>
      </c>
      <c r="H8" s="27">
        <v>1423.847198470869</v>
      </c>
      <c r="I8" s="27">
        <v>722.20820981829763</v>
      </c>
      <c r="J8" s="29">
        <v>701.63898865258591</v>
      </c>
      <c r="K8" s="88">
        <v>1887.6869923174529</v>
      </c>
      <c r="L8" s="88">
        <v>991.0947350152428</v>
      </c>
      <c r="M8" s="88">
        <v>896.59225730222988</v>
      </c>
      <c r="N8" s="104">
        <v>415.81090193727198</v>
      </c>
      <c r="O8" s="88">
        <v>244.52516108242807</v>
      </c>
      <c r="P8" s="89">
        <v>171.28574085484129</v>
      </c>
      <c r="Q8" s="88">
        <v>1471.876090380196</v>
      </c>
      <c r="R8" s="88">
        <v>746.56957393282187</v>
      </c>
      <c r="S8" s="90">
        <v>725.30651644739396</v>
      </c>
      <c r="T8" s="88">
        <v>1951.1742079077485</v>
      </c>
      <c r="U8" s="88">
        <v>1024.4275096587351</v>
      </c>
      <c r="V8" s="88">
        <v>926.7466982490804</v>
      </c>
      <c r="W8" s="104">
        <v>429.79557020246551</v>
      </c>
      <c r="X8" s="88">
        <v>252.74909952247438</v>
      </c>
      <c r="Y8" s="89">
        <v>177.04647067999369</v>
      </c>
      <c r="Z8" s="88">
        <v>1521.3786377053075</v>
      </c>
      <c r="AA8" s="88">
        <v>771.67841013625343</v>
      </c>
      <c r="AB8" s="90">
        <v>749.70022756908111</v>
      </c>
    </row>
    <row r="9" spans="1:28" s="3" customFormat="1" ht="12" customHeight="1" x14ac:dyDescent="0.2">
      <c r="A9" s="26" t="s">
        <v>8</v>
      </c>
      <c r="B9" s="27">
        <v>1517.7979531214571</v>
      </c>
      <c r="C9" s="27">
        <v>744.81126351721548</v>
      </c>
      <c r="D9" s="28">
        <v>772.98668960421469</v>
      </c>
      <c r="E9" s="27">
        <v>336.88009451847972</v>
      </c>
      <c r="F9" s="27">
        <v>159.25240831782651</v>
      </c>
      <c r="G9" s="28">
        <v>177.62768620065251</v>
      </c>
      <c r="H9" s="27">
        <v>1180.917858602957</v>
      </c>
      <c r="I9" s="27">
        <v>585.55885519939386</v>
      </c>
      <c r="J9" s="29">
        <v>595.3590034035675</v>
      </c>
      <c r="K9" s="88">
        <v>1568.9959706537995</v>
      </c>
      <c r="L9" s="88">
        <v>769.93506873083936</v>
      </c>
      <c r="M9" s="88">
        <v>799.06090192295994</v>
      </c>
      <c r="N9" s="104">
        <v>348.24365773187623</v>
      </c>
      <c r="O9" s="88">
        <v>164.62427456415952</v>
      </c>
      <c r="P9" s="89">
        <v>183.61938316771642</v>
      </c>
      <c r="Q9" s="88">
        <v>1220.752312921923</v>
      </c>
      <c r="R9" s="88">
        <v>605.31079416667956</v>
      </c>
      <c r="S9" s="90">
        <v>615.44151875524324</v>
      </c>
      <c r="T9" s="88">
        <v>1621.7648808886825</v>
      </c>
      <c r="U9" s="88">
        <v>795.82973977428355</v>
      </c>
      <c r="V9" s="88">
        <v>825.93514111442994</v>
      </c>
      <c r="W9" s="104">
        <v>359.95588558869247</v>
      </c>
      <c r="X9" s="88">
        <v>170.16096409647349</v>
      </c>
      <c r="Y9" s="89">
        <v>189.79492149222028</v>
      </c>
      <c r="Z9" s="88">
        <v>1261.8089953000069</v>
      </c>
      <c r="AA9" s="88">
        <v>625.66877567780398</v>
      </c>
      <c r="AB9" s="90">
        <v>636.14021962220272</v>
      </c>
    </row>
    <row r="10" spans="1:28" s="3" customFormat="1" ht="12" customHeight="1" x14ac:dyDescent="0.2">
      <c r="A10" s="26" t="s">
        <v>9</v>
      </c>
      <c r="B10" s="27">
        <v>1399.9451763488767</v>
      </c>
      <c r="C10" s="27">
        <v>645.0727773372173</v>
      </c>
      <c r="D10" s="28">
        <v>754.87239901164048</v>
      </c>
      <c r="E10" s="27">
        <v>284.4808379746334</v>
      </c>
      <c r="F10" s="27">
        <v>121.02912843657604</v>
      </c>
      <c r="G10" s="28">
        <v>163.45170953805669</v>
      </c>
      <c r="H10" s="27">
        <v>1115.4643383742348</v>
      </c>
      <c r="I10" s="27">
        <v>524.04364890063721</v>
      </c>
      <c r="J10" s="29">
        <v>591.4206894735787</v>
      </c>
      <c r="K10" s="88">
        <v>1447.16781064986</v>
      </c>
      <c r="L10" s="88">
        <v>666.83222647590117</v>
      </c>
      <c r="M10" s="88">
        <v>780.33558417392612</v>
      </c>
      <c r="N10" s="104">
        <v>294.07688130852375</v>
      </c>
      <c r="O10" s="88">
        <v>125.11165564441558</v>
      </c>
      <c r="P10" s="89">
        <v>168.96522566410798</v>
      </c>
      <c r="Q10" s="88">
        <v>1153.0909293413149</v>
      </c>
      <c r="R10" s="88">
        <v>541.72057083148729</v>
      </c>
      <c r="S10" s="90">
        <v>611.37035850982079</v>
      </c>
      <c r="T10" s="88">
        <v>1495.8393622174508</v>
      </c>
      <c r="U10" s="88">
        <v>689.2593139629339</v>
      </c>
      <c r="V10" s="88">
        <v>806.58004825449416</v>
      </c>
      <c r="W10" s="104">
        <v>303.96735702814192</v>
      </c>
      <c r="X10" s="88">
        <v>129.31944575320091</v>
      </c>
      <c r="Y10" s="89">
        <v>174.64791127494107</v>
      </c>
      <c r="Z10" s="88">
        <v>1191.8720051892915</v>
      </c>
      <c r="AA10" s="88">
        <v>559.9398682097368</v>
      </c>
      <c r="AB10" s="90">
        <v>631.93213697955787</v>
      </c>
    </row>
    <row r="11" spans="1:28" s="3" customFormat="1" ht="12" customHeight="1" x14ac:dyDescent="0.2">
      <c r="A11" s="31" t="s">
        <v>10</v>
      </c>
      <c r="B11" s="27">
        <v>905.84687881397235</v>
      </c>
      <c r="C11" s="27">
        <v>452.92343940697947</v>
      </c>
      <c r="D11" s="28">
        <v>452.92343940697947</v>
      </c>
      <c r="E11" s="32">
        <v>208.36973658668333</v>
      </c>
      <c r="F11" s="32">
        <v>114.7905135687113</v>
      </c>
      <c r="G11" s="33">
        <v>93.579223017971188</v>
      </c>
      <c r="H11" s="32">
        <v>697.47714222728291</v>
      </c>
      <c r="I11" s="32">
        <v>338.13292583826956</v>
      </c>
      <c r="J11" s="34">
        <v>359.34421638900943</v>
      </c>
      <c r="K11" s="88">
        <v>936.40270100871044</v>
      </c>
      <c r="L11" s="88">
        <v>468.20135050435749</v>
      </c>
      <c r="M11" s="88">
        <v>468.20135050435749</v>
      </c>
      <c r="N11" s="105">
        <v>215.39841744966466</v>
      </c>
      <c r="O11" s="91">
        <v>118.662601229755</v>
      </c>
      <c r="P11" s="92">
        <v>96.735816219909026</v>
      </c>
      <c r="Q11" s="91">
        <v>721.00428355904944</v>
      </c>
      <c r="R11" s="91">
        <v>349.53874927460413</v>
      </c>
      <c r="S11" s="93">
        <v>371.46553428444986</v>
      </c>
      <c r="T11" s="88">
        <v>967.89605790538951</v>
      </c>
      <c r="U11" s="88">
        <v>483.94802895270226</v>
      </c>
      <c r="V11" s="88">
        <v>483.94802895270226</v>
      </c>
      <c r="W11" s="105">
        <v>222.64275712148947</v>
      </c>
      <c r="X11" s="91">
        <v>122.65349494118023</v>
      </c>
      <c r="Y11" s="92">
        <v>99.989262180309908</v>
      </c>
      <c r="Z11" s="91">
        <v>745.25330078390584</v>
      </c>
      <c r="AA11" s="91">
        <v>361.2945340115204</v>
      </c>
      <c r="AB11" s="93">
        <v>383.95876677239096</v>
      </c>
    </row>
    <row r="12" spans="1:28" s="3" customFormat="1" ht="12" customHeight="1" x14ac:dyDescent="0.2">
      <c r="A12" s="31" t="s">
        <v>11</v>
      </c>
      <c r="B12" s="32">
        <v>803.12921282248919</v>
      </c>
      <c r="C12" s="32">
        <v>382.19653857790775</v>
      </c>
      <c r="D12" s="33">
        <v>420.93267424458702</v>
      </c>
      <c r="E12" s="27">
        <v>149.77972457782974</v>
      </c>
      <c r="F12" s="27">
        <v>61.977817066688139</v>
      </c>
      <c r="G12" s="28">
        <v>87.80190751114155</v>
      </c>
      <c r="H12" s="27">
        <v>653.34948824466267</v>
      </c>
      <c r="I12" s="27">
        <v>320.21872151122091</v>
      </c>
      <c r="J12" s="29">
        <v>333.13076673344733</v>
      </c>
      <c r="K12" s="91">
        <v>830.22018592223515</v>
      </c>
      <c r="L12" s="91">
        <v>395.08870584080375</v>
      </c>
      <c r="M12" s="91">
        <v>435.13148008142628</v>
      </c>
      <c r="N12" s="104">
        <v>154.83206039707079</v>
      </c>
      <c r="O12" s="88">
        <v>64.068438784994996</v>
      </c>
      <c r="P12" s="89">
        <v>90.763621612076108</v>
      </c>
      <c r="Q12" s="88">
        <v>675.3881255251614</v>
      </c>
      <c r="R12" s="88">
        <v>331.02026705580772</v>
      </c>
      <c r="S12" s="90">
        <v>344.36785846934856</v>
      </c>
      <c r="T12" s="91">
        <v>858.14238284659189</v>
      </c>
      <c r="U12" s="91">
        <v>408.3764394253879</v>
      </c>
      <c r="V12" s="91">
        <v>449.76594342120421</v>
      </c>
      <c r="W12" s="104">
        <v>160.03941545049003</v>
      </c>
      <c r="X12" s="88">
        <v>66.22320639330637</v>
      </c>
      <c r="Y12" s="89">
        <v>93.816209057183912</v>
      </c>
      <c r="Z12" s="88">
        <v>698.10296739610214</v>
      </c>
      <c r="AA12" s="88">
        <v>342.1532330320818</v>
      </c>
      <c r="AB12" s="90">
        <v>355.94973436402057</v>
      </c>
    </row>
    <row r="13" spans="1:28" s="3" customFormat="1" ht="12" customHeight="1" x14ac:dyDescent="0.2">
      <c r="A13" s="31" t="s">
        <v>12</v>
      </c>
      <c r="B13" s="32">
        <v>588.78926213353054</v>
      </c>
      <c r="C13" s="32">
        <v>256.94969992231142</v>
      </c>
      <c r="D13" s="33">
        <v>331.83956221122469</v>
      </c>
      <c r="E13" s="32">
        <v>144.61490648893906</v>
      </c>
      <c r="F13" s="32">
        <v>69.725044200024158</v>
      </c>
      <c r="G13" s="33">
        <v>74.889862288914841</v>
      </c>
      <c r="H13" s="32">
        <v>444.17435564459458</v>
      </c>
      <c r="I13" s="32">
        <v>187.2246557222872</v>
      </c>
      <c r="J13" s="34">
        <v>256.94969992231142</v>
      </c>
      <c r="K13" s="91">
        <v>608.6501684574572</v>
      </c>
      <c r="L13" s="91">
        <v>265.6170691294576</v>
      </c>
      <c r="M13" s="91">
        <v>343.03309932799448</v>
      </c>
      <c r="N13" s="105">
        <v>149.49302383165457</v>
      </c>
      <c r="O13" s="91">
        <v>72.076993633119329</v>
      </c>
      <c r="P13" s="92">
        <v>77.416030198535552</v>
      </c>
      <c r="Q13" s="91">
        <v>459.15714462579979</v>
      </c>
      <c r="R13" s="91">
        <v>193.5400754963384</v>
      </c>
      <c r="S13" s="93">
        <v>265.6170691294576</v>
      </c>
      <c r="T13" s="91">
        <v>629.12046073640829</v>
      </c>
      <c r="U13" s="91">
        <v>274.55037650558182</v>
      </c>
      <c r="V13" s="91">
        <v>354.57008423082669</v>
      </c>
      <c r="W13" s="105">
        <v>154.52081491771452</v>
      </c>
      <c r="X13" s="91">
        <v>74.501107192469632</v>
      </c>
      <c r="Y13" s="92">
        <v>80.019707725245141</v>
      </c>
      <c r="Z13" s="91">
        <v>474.599645818694</v>
      </c>
      <c r="AA13" s="91">
        <v>200.04926931311246</v>
      </c>
      <c r="AB13" s="93">
        <v>274.55037650558182</v>
      </c>
    </row>
    <row r="14" spans="1:28" s="3" customFormat="1" ht="12" customHeight="1" x14ac:dyDescent="0.2">
      <c r="A14" s="31" t="s">
        <v>13</v>
      </c>
      <c r="B14" s="32">
        <v>503.56976366683614</v>
      </c>
      <c r="C14" s="32">
        <v>238.87283661119403</v>
      </c>
      <c r="D14" s="33">
        <v>264.69692705564728</v>
      </c>
      <c r="E14" s="32">
        <v>96.840339166700247</v>
      </c>
      <c r="F14" s="32">
        <v>42.609749233348076</v>
      </c>
      <c r="G14" s="33">
        <v>54.230589933352114</v>
      </c>
      <c r="H14" s="32">
        <v>406.72942450013795</v>
      </c>
      <c r="I14" s="32">
        <v>196.26308737784589</v>
      </c>
      <c r="J14" s="34">
        <v>210.46633712229527</v>
      </c>
      <c r="K14" s="91">
        <v>520.55606512808765</v>
      </c>
      <c r="L14" s="91">
        <v>246.93044115050063</v>
      </c>
      <c r="M14" s="91">
        <v>273.62562397758211</v>
      </c>
      <c r="N14" s="105">
        <v>100.1069356015545</v>
      </c>
      <c r="O14" s="91">
        <v>44.047051664684062</v>
      </c>
      <c r="P14" s="92">
        <v>56.059883936870627</v>
      </c>
      <c r="Q14" s="91">
        <v>420.44912952653135</v>
      </c>
      <c r="R14" s="91">
        <v>202.88338948581679</v>
      </c>
      <c r="S14" s="93">
        <v>217.5657400407114</v>
      </c>
      <c r="T14" s="91">
        <v>538.0635519456124</v>
      </c>
      <c r="U14" s="91">
        <v>255.23527464086754</v>
      </c>
      <c r="V14" s="91">
        <v>282.82827730474509</v>
      </c>
      <c r="W14" s="105">
        <v>103.47375998954105</v>
      </c>
      <c r="X14" s="91">
        <v>45.528454395398114</v>
      </c>
      <c r="Y14" s="92">
        <v>57.945305594143072</v>
      </c>
      <c r="Z14" s="91">
        <v>434.58979195607156</v>
      </c>
      <c r="AA14" s="91">
        <v>209.7068202454696</v>
      </c>
      <c r="AB14" s="93">
        <v>224.88297171060225</v>
      </c>
    </row>
    <row r="15" spans="1:28" s="3" customFormat="1" ht="12" customHeight="1" x14ac:dyDescent="0.2">
      <c r="A15" s="31" t="s">
        <v>14</v>
      </c>
      <c r="B15" s="32">
        <v>446.02180131060447</v>
      </c>
      <c r="C15" s="32">
        <v>207.2546957177</v>
      </c>
      <c r="D15" s="33">
        <v>238.76710559290566</v>
      </c>
      <c r="E15" s="32">
        <v>84.841103510169802</v>
      </c>
      <c r="F15" s="32">
        <v>43.632567519515874</v>
      </c>
      <c r="G15" s="33">
        <v>41.208535990653886</v>
      </c>
      <c r="H15" s="32">
        <v>361.18069780043538</v>
      </c>
      <c r="I15" s="32">
        <v>163.62212819818447</v>
      </c>
      <c r="J15" s="34">
        <v>197.55856960225211</v>
      </c>
      <c r="K15" s="91">
        <v>461.06690791148611</v>
      </c>
      <c r="L15" s="91">
        <v>214.24576427408886</v>
      </c>
      <c r="M15" s="91">
        <v>246.82114363740078</v>
      </c>
      <c r="N15" s="105">
        <v>87.702944439685311</v>
      </c>
      <c r="O15" s="91">
        <v>45.10437142612394</v>
      </c>
      <c r="P15" s="92">
        <v>42.598573013561499</v>
      </c>
      <c r="Q15" s="91">
        <v>373.36396347180215</v>
      </c>
      <c r="R15" s="91">
        <v>169.14139284796465</v>
      </c>
      <c r="S15" s="93">
        <v>204.22257062383903</v>
      </c>
      <c r="T15" s="91">
        <v>476.57363879604043</v>
      </c>
      <c r="U15" s="91">
        <v>221.45133759272306</v>
      </c>
      <c r="V15" s="91">
        <v>255.12230120331253</v>
      </c>
      <c r="W15" s="105">
        <v>90.652594336202426</v>
      </c>
      <c r="X15" s="91">
        <v>46.621334230046962</v>
      </c>
      <c r="Y15" s="92">
        <v>44.031260106155464</v>
      </c>
      <c r="Z15" s="91">
        <v>385.92104445983603</v>
      </c>
      <c r="AA15" s="91">
        <v>174.83000336267611</v>
      </c>
      <c r="AB15" s="93">
        <v>211.09104109715707</v>
      </c>
    </row>
    <row r="16" spans="1:28" s="3" customFormat="1" ht="12" customHeight="1" x14ac:dyDescent="0.2">
      <c r="A16" s="31" t="s">
        <v>15</v>
      </c>
      <c r="B16" s="32">
        <v>357.54465050714242</v>
      </c>
      <c r="C16" s="32">
        <v>163.62212819818447</v>
      </c>
      <c r="D16" s="33">
        <v>193.92252230895915</v>
      </c>
      <c r="E16" s="32">
        <v>66.660867043704783</v>
      </c>
      <c r="F16" s="32">
        <v>27.876362581912939</v>
      </c>
      <c r="G16" s="33">
        <v>38.784504461791897</v>
      </c>
      <c r="H16" s="32">
        <v>290.88378346343814</v>
      </c>
      <c r="I16" s="32">
        <v>135.74576561627177</v>
      </c>
      <c r="J16" s="34">
        <v>155.13801784716756</v>
      </c>
      <c r="K16" s="91">
        <v>369.60526585295855</v>
      </c>
      <c r="L16" s="91">
        <v>169.14139284796465</v>
      </c>
      <c r="M16" s="91">
        <v>200.46387300499535</v>
      </c>
      <c r="N16" s="105">
        <v>68.909456345467106</v>
      </c>
      <c r="O16" s="91">
        <v>28.816681744468074</v>
      </c>
      <c r="P16" s="92">
        <v>40.092774600999057</v>
      </c>
      <c r="Q16" s="91">
        <v>300.69580950749258</v>
      </c>
      <c r="R16" s="91">
        <v>140.32471110349641</v>
      </c>
      <c r="S16" s="93">
        <v>160.37109840399606</v>
      </c>
      <c r="T16" s="91">
        <v>382.03593327399869</v>
      </c>
      <c r="U16" s="91">
        <v>174.83000336267611</v>
      </c>
      <c r="V16" s="91">
        <v>207.20592991131983</v>
      </c>
      <c r="W16" s="105">
        <v>71.227038407016195</v>
      </c>
      <c r="X16" s="91">
        <v>29.785852424752225</v>
      </c>
      <c r="Y16" s="92">
        <v>41.441185982263967</v>
      </c>
      <c r="Z16" s="91">
        <v>310.80889486698095</v>
      </c>
      <c r="AA16" s="91">
        <v>145.04415093792389</v>
      </c>
      <c r="AB16" s="93">
        <v>165.76474392905587</v>
      </c>
    </row>
    <row r="17" spans="1:28" s="3" customFormat="1" ht="12" customHeight="1" x14ac:dyDescent="0.2">
      <c r="A17" s="31" t="s">
        <v>16</v>
      </c>
      <c r="B17" s="32">
        <v>239.97912135733665</v>
      </c>
      <c r="C17" s="32">
        <v>103.02133997663482</v>
      </c>
      <c r="D17" s="33">
        <v>136.95778138070276</v>
      </c>
      <c r="E17" s="32">
        <v>50.904662106101839</v>
      </c>
      <c r="F17" s="32">
        <v>14.544189173171965</v>
      </c>
      <c r="G17" s="33">
        <v>36.360472932929909</v>
      </c>
      <c r="H17" s="32">
        <v>189.0744592512352</v>
      </c>
      <c r="I17" s="32">
        <v>88.477150803462806</v>
      </c>
      <c r="J17" s="34">
        <v>100.59730844777282</v>
      </c>
      <c r="K17" s="91">
        <v>248.07404284368201</v>
      </c>
      <c r="L17" s="91">
        <v>106.49643253390352</v>
      </c>
      <c r="M17" s="91">
        <v>141.57761030977764</v>
      </c>
      <c r="N17" s="105">
        <v>52.621766663811265</v>
      </c>
      <c r="O17" s="91">
        <v>15.034790475374647</v>
      </c>
      <c r="P17" s="92">
        <v>37.586976188436616</v>
      </c>
      <c r="Q17" s="91">
        <v>195.45227617987044</v>
      </c>
      <c r="R17" s="91">
        <v>91.461642058528952</v>
      </c>
      <c r="S17" s="93">
        <v>103.99063412134109</v>
      </c>
      <c r="T17" s="91">
        <v>256.41733826525831</v>
      </c>
      <c r="U17" s="91">
        <v>110.07815026538866</v>
      </c>
      <c r="V17" s="91">
        <v>146.33918799986964</v>
      </c>
      <c r="W17" s="105">
        <v>54.391556601721454</v>
      </c>
      <c r="X17" s="91">
        <v>15.540444743348987</v>
      </c>
      <c r="Y17" s="92">
        <v>38.851111858372469</v>
      </c>
      <c r="Z17" s="91">
        <v>202.02578166353683</v>
      </c>
      <c r="AA17" s="91">
        <v>94.537705522039673</v>
      </c>
      <c r="AB17" s="93">
        <v>107.48807614149716</v>
      </c>
    </row>
    <row r="18" spans="1:28" s="3" customFormat="1" ht="12" customHeight="1" x14ac:dyDescent="0.2">
      <c r="A18" s="31" t="s">
        <v>17</v>
      </c>
      <c r="B18" s="32">
        <v>264.21943664595642</v>
      </c>
      <c r="C18" s="32">
        <v>134.53374985184078</v>
      </c>
      <c r="D18" s="33">
        <v>129.68568679411683</v>
      </c>
      <c r="E18" s="32">
        <v>46.056599048377862</v>
      </c>
      <c r="F18" s="32">
        <v>18.180236466464958</v>
      </c>
      <c r="G18" s="33">
        <v>27.876362581912939</v>
      </c>
      <c r="H18" s="32">
        <v>218.16283759757889</v>
      </c>
      <c r="I18" s="32">
        <v>116.35351338537583</v>
      </c>
      <c r="J18" s="34">
        <v>101.80932421220382</v>
      </c>
      <c r="K18" s="91">
        <v>273.1320269693062</v>
      </c>
      <c r="L18" s="91">
        <v>139.07181189721518</v>
      </c>
      <c r="M18" s="91">
        <v>134.06021507209027</v>
      </c>
      <c r="N18" s="105">
        <v>47.610169838686382</v>
      </c>
      <c r="O18" s="91">
        <v>18.793488094218308</v>
      </c>
      <c r="P18" s="92">
        <v>28.816681744468074</v>
      </c>
      <c r="Q18" s="91">
        <v>225.52185713061991</v>
      </c>
      <c r="R18" s="91">
        <v>120.27832380299687</v>
      </c>
      <c r="S18" s="93">
        <v>105.2435333276223</v>
      </c>
      <c r="T18" s="91">
        <v>282.31807950417385</v>
      </c>
      <c r="U18" s="91">
        <v>143.74911387597814</v>
      </c>
      <c r="V18" s="91">
        <v>138.56896562819514</v>
      </c>
      <c r="W18" s="105">
        <v>49.211408353938459</v>
      </c>
      <c r="X18" s="91">
        <v>19.425555929186235</v>
      </c>
      <c r="Y18" s="92">
        <v>29.785852424752225</v>
      </c>
      <c r="Z18" s="91">
        <v>233.1066711502348</v>
      </c>
      <c r="AA18" s="91">
        <v>124.32355794679189</v>
      </c>
      <c r="AB18" s="93">
        <v>108.78311320344291</v>
      </c>
    </row>
    <row r="19" spans="1:28" s="3" customFormat="1" ht="12" customHeight="1" x14ac:dyDescent="0.2">
      <c r="A19" s="31" t="s">
        <v>18</v>
      </c>
      <c r="B19" s="32">
        <v>159.68802605905492</v>
      </c>
      <c r="C19" s="32">
        <v>87.10255966857541</v>
      </c>
      <c r="D19" s="33">
        <v>72.58546639047951</v>
      </c>
      <c r="E19" s="32">
        <v>29.034186556191802</v>
      </c>
      <c r="F19" s="32">
        <v>15.726851051270559</v>
      </c>
      <c r="G19" s="33">
        <v>13.307335504921243</v>
      </c>
      <c r="H19" s="32">
        <v>130.65383950286312</v>
      </c>
      <c r="I19" s="32">
        <v>71.375708617304852</v>
      </c>
      <c r="J19" s="34">
        <v>59.278130885558262</v>
      </c>
      <c r="K19" s="91">
        <v>165.07458646458474</v>
      </c>
      <c r="L19" s="91">
        <v>90.040683526137286</v>
      </c>
      <c r="M19" s="91">
        <v>75.033902938447795</v>
      </c>
      <c r="N19" s="105">
        <v>30.013561175379131</v>
      </c>
      <c r="O19" s="91">
        <v>16.257345636663686</v>
      </c>
      <c r="P19" s="92">
        <v>13.756215538715425</v>
      </c>
      <c r="Q19" s="91">
        <v>135.06102528920576</v>
      </c>
      <c r="R19" s="91">
        <v>73.783337889473671</v>
      </c>
      <c r="S19" s="93">
        <v>61.277687399732415</v>
      </c>
      <c r="T19" s="91">
        <v>170.62642101237211</v>
      </c>
      <c r="U19" s="91">
        <v>93.068956915839081</v>
      </c>
      <c r="V19" s="91">
        <v>77.55746409653257</v>
      </c>
      <c r="W19" s="105">
        <v>31.022985638613026</v>
      </c>
      <c r="X19" s="91">
        <v>16.804117220915391</v>
      </c>
      <c r="Y19" s="92">
        <v>14.218868417697637</v>
      </c>
      <c r="Z19" s="91">
        <v>139.60343537375874</v>
      </c>
      <c r="AA19" s="91">
        <v>76.264839694923694</v>
      </c>
      <c r="AB19" s="93">
        <v>63.338595678834928</v>
      </c>
    </row>
    <row r="20" spans="1:28" s="3" customFormat="1" ht="12" customHeight="1" x14ac:dyDescent="0.2">
      <c r="A20" s="31" t="s">
        <v>19</v>
      </c>
      <c r="B20" s="32">
        <v>137.91238614191107</v>
      </c>
      <c r="C20" s="32">
        <v>83.473286349051435</v>
      </c>
      <c r="D20" s="33">
        <v>54.439099792859629</v>
      </c>
      <c r="E20" s="32">
        <v>36.292733195239755</v>
      </c>
      <c r="F20" s="32">
        <v>24.195155463493169</v>
      </c>
      <c r="G20" s="33">
        <v>12.097577731746584</v>
      </c>
      <c r="H20" s="32">
        <v>101.61965294667131</v>
      </c>
      <c r="I20" s="32">
        <v>59.278130885558262</v>
      </c>
      <c r="J20" s="34">
        <v>42.341522061113047</v>
      </c>
      <c r="K20" s="91">
        <v>142.5644155830505</v>
      </c>
      <c r="L20" s="91">
        <v>86.288988379214913</v>
      </c>
      <c r="M20" s="91">
        <v>56.275427203835889</v>
      </c>
      <c r="N20" s="105">
        <v>37.516951469223919</v>
      </c>
      <c r="O20" s="91">
        <v>25.011300979482606</v>
      </c>
      <c r="P20" s="92">
        <v>12.505650489741296</v>
      </c>
      <c r="Q20" s="91">
        <v>105.04746411382678</v>
      </c>
      <c r="R20" s="91">
        <v>61.277687399732415</v>
      </c>
      <c r="S20" s="93">
        <v>43.769776714094576</v>
      </c>
      <c r="T20" s="91">
        <v>147.35918178341208</v>
      </c>
      <c r="U20" s="91">
        <v>89.191083711012453</v>
      </c>
      <c r="V20" s="91">
        <v>58.168098072399424</v>
      </c>
      <c r="W20" s="105">
        <v>38.778732048266285</v>
      </c>
      <c r="X20" s="91">
        <v>25.852488032177522</v>
      </c>
      <c r="Y20" s="92">
        <v>12.926244016088761</v>
      </c>
      <c r="Z20" s="91">
        <v>108.58044973514559</v>
      </c>
      <c r="AA20" s="91">
        <v>63.338595678834928</v>
      </c>
      <c r="AB20" s="93">
        <v>45.241854056310665</v>
      </c>
    </row>
    <row r="21" spans="1:28" s="3" customFormat="1" ht="12" customHeight="1" x14ac:dyDescent="0.2">
      <c r="A21" s="31" t="s">
        <v>20</v>
      </c>
      <c r="B21" s="32">
        <v>79.84401302952746</v>
      </c>
      <c r="C21" s="32">
        <v>43.551279834287705</v>
      </c>
      <c r="D21" s="33">
        <v>36.292733195239755</v>
      </c>
      <c r="E21" s="32">
        <v>14.517093278095901</v>
      </c>
      <c r="F21" s="32">
        <v>8.4683044122226097</v>
      </c>
      <c r="G21" s="33">
        <v>6.0487888658732931</v>
      </c>
      <c r="H21" s="32">
        <v>65.326919751431561</v>
      </c>
      <c r="I21" s="32">
        <v>35.082975422065097</v>
      </c>
      <c r="J21" s="34">
        <v>30.24394432936646</v>
      </c>
      <c r="K21" s="91">
        <v>82.537293232292541</v>
      </c>
      <c r="L21" s="91">
        <v>45.020341763068707</v>
      </c>
      <c r="M21" s="91">
        <v>37.516951469223919</v>
      </c>
      <c r="N21" s="105">
        <v>15.006780587689555</v>
      </c>
      <c r="O21" s="91">
        <v>8.753955342818907</v>
      </c>
      <c r="P21" s="92">
        <v>6.2528252448706478</v>
      </c>
      <c r="Q21" s="91">
        <v>67.53051264460305</v>
      </c>
      <c r="R21" s="91">
        <v>36.266386420249788</v>
      </c>
      <c r="S21" s="93">
        <v>31.264126224353262</v>
      </c>
      <c r="T21" s="91">
        <v>85.313210506185825</v>
      </c>
      <c r="U21" s="91">
        <v>46.534478457919541</v>
      </c>
      <c r="V21" s="91">
        <v>38.778732048266285</v>
      </c>
      <c r="W21" s="105">
        <v>15.511492819306513</v>
      </c>
      <c r="X21" s="91">
        <v>9.0483708112621333</v>
      </c>
      <c r="Y21" s="92">
        <v>6.4631220080443814</v>
      </c>
      <c r="Z21" s="91">
        <v>69.801717686879314</v>
      </c>
      <c r="AA21" s="91">
        <v>37.486107646657409</v>
      </c>
      <c r="AB21" s="93">
        <v>32.315610040221905</v>
      </c>
    </row>
    <row r="22" spans="1:28" s="3" customFormat="1" ht="12" customHeight="1" x14ac:dyDescent="0.2">
      <c r="A22" s="31" t="s">
        <v>28</v>
      </c>
      <c r="B22" s="32">
        <v>62.907404205082237</v>
      </c>
      <c r="C22" s="32">
        <v>35.082975422065097</v>
      </c>
      <c r="D22" s="33">
        <v>27.824428783017144</v>
      </c>
      <c r="E22" s="32">
        <v>6.0487888658732931</v>
      </c>
      <c r="F22" s="32">
        <v>4.8390310926986349</v>
      </c>
      <c r="G22" s="33">
        <v>1.2097577731746587</v>
      </c>
      <c r="H22" s="32">
        <v>56.858615339208946</v>
      </c>
      <c r="I22" s="32">
        <v>30.24394432936646</v>
      </c>
      <c r="J22" s="34">
        <v>26.614671009842485</v>
      </c>
      <c r="K22" s="91">
        <v>65.029382546654801</v>
      </c>
      <c r="L22" s="91">
        <v>36.266386420249788</v>
      </c>
      <c r="M22" s="91">
        <v>28.762996126405</v>
      </c>
      <c r="N22" s="105">
        <v>6.2528252448706478</v>
      </c>
      <c r="O22" s="91">
        <v>5.0022601958965183</v>
      </c>
      <c r="P22" s="92">
        <v>1.2505650489741296</v>
      </c>
      <c r="Q22" s="91">
        <v>58.776557301784152</v>
      </c>
      <c r="R22" s="91">
        <v>31.264126224353262</v>
      </c>
      <c r="S22" s="93">
        <v>27.512431077430868</v>
      </c>
      <c r="T22" s="91">
        <v>67.216468883661562</v>
      </c>
      <c r="U22" s="91">
        <v>37.486107646657409</v>
      </c>
      <c r="V22" s="91">
        <v>29.73036123700415</v>
      </c>
      <c r="W22" s="105">
        <v>6.4631220080443814</v>
      </c>
      <c r="X22" s="91">
        <v>5.1704976064355055</v>
      </c>
      <c r="Y22" s="92">
        <v>1.2926244016088764</v>
      </c>
      <c r="Z22" s="91">
        <v>60.753346875617176</v>
      </c>
      <c r="AA22" s="91">
        <v>32.315610040221905</v>
      </c>
      <c r="AB22" s="93">
        <v>28.437736835395274</v>
      </c>
    </row>
    <row r="23" spans="1:28" s="3" customFormat="1" ht="12" customHeight="1" x14ac:dyDescent="0.2">
      <c r="A23" s="31" t="s">
        <v>29</v>
      </c>
      <c r="B23" s="32">
        <v>29.034186556191802</v>
      </c>
      <c r="C23" s="32">
        <v>12.097577731746584</v>
      </c>
      <c r="D23" s="33">
        <v>16.936608824445219</v>
      </c>
      <c r="E23" s="32">
        <v>9.6780621853972679</v>
      </c>
      <c r="F23" s="32">
        <v>1.2097577731746587</v>
      </c>
      <c r="G23" s="33">
        <v>8.4683044122226097</v>
      </c>
      <c r="H23" s="32">
        <v>19.356124370794536</v>
      </c>
      <c r="I23" s="32">
        <v>10.887819958571926</v>
      </c>
      <c r="J23" s="34">
        <v>8.4683044122226097</v>
      </c>
      <c r="K23" s="91">
        <v>30.013561175379131</v>
      </c>
      <c r="L23" s="91">
        <v>12.505650489741296</v>
      </c>
      <c r="M23" s="91">
        <v>17.507910685637817</v>
      </c>
      <c r="N23" s="105">
        <v>10.004520391793037</v>
      </c>
      <c r="O23" s="91">
        <v>1.2505650489741296</v>
      </c>
      <c r="P23" s="92">
        <v>8.753955342818907</v>
      </c>
      <c r="Q23" s="91">
        <v>20.00904078358608</v>
      </c>
      <c r="R23" s="91">
        <v>11.255085440767166</v>
      </c>
      <c r="S23" s="93">
        <v>8.753955342818907</v>
      </c>
      <c r="T23" s="91">
        <v>31.022985638613026</v>
      </c>
      <c r="U23" s="91">
        <v>12.926244016088761</v>
      </c>
      <c r="V23" s="91">
        <v>18.096741622524267</v>
      </c>
      <c r="W23" s="105">
        <v>10.340995212871009</v>
      </c>
      <c r="X23" s="91">
        <v>1.2926244016088764</v>
      </c>
      <c r="Y23" s="92">
        <v>9.0483708112621333</v>
      </c>
      <c r="Z23" s="91">
        <v>20.681990425742018</v>
      </c>
      <c r="AA23" s="91">
        <v>11.633619614479885</v>
      </c>
      <c r="AB23" s="93">
        <v>9.0483708112621333</v>
      </c>
    </row>
    <row r="24" spans="1:28" s="3" customFormat="1" ht="12" customHeight="1" x14ac:dyDescent="0.2">
      <c r="A24" s="31" t="s">
        <v>30</v>
      </c>
      <c r="B24" s="32">
        <v>19.356124370794536</v>
      </c>
      <c r="C24" s="32">
        <v>13.307335504921243</v>
      </c>
      <c r="D24" s="33">
        <v>6.0487888658732931</v>
      </c>
      <c r="E24" s="32">
        <v>3.6292733195239761</v>
      </c>
      <c r="F24" s="32">
        <v>3.6292733195239761</v>
      </c>
      <c r="G24" s="2">
        <v>0</v>
      </c>
      <c r="H24" s="35">
        <v>15.726851051270559</v>
      </c>
      <c r="I24" s="32">
        <v>9.6780621853972679</v>
      </c>
      <c r="J24" s="34">
        <v>6.0487888658732931</v>
      </c>
      <c r="K24" s="91">
        <v>20.00904078358608</v>
      </c>
      <c r="L24" s="91">
        <v>13.756215538715425</v>
      </c>
      <c r="M24" s="91">
        <v>6.2528252448706478</v>
      </c>
      <c r="N24" s="105">
        <v>3.7516951469223887</v>
      </c>
      <c r="O24" s="91">
        <v>3.7516951469223887</v>
      </c>
      <c r="P24" s="102">
        <v>0</v>
      </c>
      <c r="Q24" s="105">
        <v>16.257345636663686</v>
      </c>
      <c r="R24" s="91">
        <v>10.004520391793037</v>
      </c>
      <c r="S24" s="93">
        <v>6.2528252448706478</v>
      </c>
      <c r="T24" s="91">
        <v>20.681990425742018</v>
      </c>
      <c r="U24" s="91">
        <v>14.218868417697637</v>
      </c>
      <c r="V24" s="91">
        <v>6.4631220080443814</v>
      </c>
      <c r="W24" s="105">
        <v>3.8778732048266291</v>
      </c>
      <c r="X24" s="91">
        <v>3.8778732048266291</v>
      </c>
      <c r="Y24" s="102">
        <v>0</v>
      </c>
      <c r="Z24" s="105">
        <v>16.804117220915391</v>
      </c>
      <c r="AA24" s="91">
        <v>10.340995212871009</v>
      </c>
      <c r="AB24" s="93">
        <v>6.4631220080443814</v>
      </c>
    </row>
    <row r="25" spans="1:28" s="3" customFormat="1" ht="12" customHeight="1" thickBot="1" x14ac:dyDescent="0.25">
      <c r="A25" s="36" t="s">
        <v>31</v>
      </c>
      <c r="B25" s="37">
        <v>3.6292733195239761</v>
      </c>
      <c r="C25" s="37">
        <v>2.4195155463493174</v>
      </c>
      <c r="D25" s="38">
        <v>1.2097577731746587</v>
      </c>
      <c r="E25" s="37">
        <v>1.2097577731746587</v>
      </c>
      <c r="F25" s="5">
        <v>0</v>
      </c>
      <c r="G25" s="38">
        <v>1.2097577731746587</v>
      </c>
      <c r="H25" s="37">
        <v>2.4195155463493174</v>
      </c>
      <c r="I25" s="37">
        <v>2.4195155463493174</v>
      </c>
      <c r="J25" s="61">
        <v>0</v>
      </c>
      <c r="K25" s="94">
        <v>3.7516951469223887</v>
      </c>
      <c r="L25" s="94">
        <v>2.5011300979482591</v>
      </c>
      <c r="M25" s="94">
        <v>1.2505650489741296</v>
      </c>
      <c r="N25" s="109">
        <v>1.2505650489741296</v>
      </c>
      <c r="O25" s="110">
        <v>0</v>
      </c>
      <c r="P25" s="95">
        <v>1.2505650489741296</v>
      </c>
      <c r="Q25" s="94">
        <v>2.5011300979482591</v>
      </c>
      <c r="R25" s="94">
        <v>2.5011300979482591</v>
      </c>
      <c r="S25" s="135">
        <v>0</v>
      </c>
      <c r="T25" s="94">
        <v>3.8778732048266291</v>
      </c>
      <c r="U25" s="94">
        <v>2.5852488032177527</v>
      </c>
      <c r="V25" s="94">
        <v>1.2926244016088764</v>
      </c>
      <c r="W25" s="109">
        <v>1.2926244016088764</v>
      </c>
      <c r="X25" s="110">
        <v>0</v>
      </c>
      <c r="Y25" s="95">
        <v>1.2926244016088764</v>
      </c>
      <c r="Z25" s="94">
        <v>2.5852488032177527</v>
      </c>
      <c r="AA25" s="94">
        <v>2.5852488032177527</v>
      </c>
      <c r="AB25" s="135">
        <v>0</v>
      </c>
    </row>
    <row r="26" spans="1:28" s="3" customFormat="1" ht="14.25" customHeight="1" x14ac:dyDescent="0.2">
      <c r="A26" s="51" t="s">
        <v>64</v>
      </c>
      <c r="B26" s="100">
        <v>7219.9859424755423</v>
      </c>
      <c r="C26" s="101">
        <v>3627.4516684177752</v>
      </c>
      <c r="D26" s="155">
        <v>3592.534274057718</v>
      </c>
      <c r="E26" s="101">
        <v>1549.9419298686771</v>
      </c>
      <c r="F26" s="101">
        <v>799.51789669014215</v>
      </c>
      <c r="G26" s="155">
        <v>750.42403317855405</v>
      </c>
      <c r="H26" s="101">
        <v>5670.0440126068415</v>
      </c>
      <c r="I26" s="103">
        <v>2827.933771727633</v>
      </c>
      <c r="J26" s="176">
        <v>2842.1102408791567</v>
      </c>
      <c r="K26" s="103">
        <v>7463.5288765706791</v>
      </c>
      <c r="L26" s="103">
        <v>3749.812048292913</v>
      </c>
      <c r="M26" s="161">
        <v>3713.7168282776129</v>
      </c>
      <c r="N26" s="103">
        <v>1602.224220760138</v>
      </c>
      <c r="O26" s="103">
        <v>826.48705369024685</v>
      </c>
      <c r="P26" s="161">
        <v>775.73716706990001</v>
      </c>
      <c r="Q26" s="103">
        <v>5861.304655810417</v>
      </c>
      <c r="R26" s="103">
        <v>2923.3249946025985</v>
      </c>
      <c r="S26" s="162">
        <v>2937.9796612076548</v>
      </c>
      <c r="T26" s="103">
        <v>7714.5443620724482</v>
      </c>
      <c r="U26" s="103">
        <v>3875.9267732986141</v>
      </c>
      <c r="V26" s="161">
        <v>3838.6175887732056</v>
      </c>
      <c r="W26" s="101">
        <v>1656.1106727732872</v>
      </c>
      <c r="X26" s="101">
        <v>854.28369686985468</v>
      </c>
      <c r="Y26" s="155">
        <v>801.82697590347209</v>
      </c>
      <c r="Z26" s="101">
        <v>6058.4336892988358</v>
      </c>
      <c r="AA26" s="101">
        <v>3021.6430764287079</v>
      </c>
      <c r="AB26" s="165">
        <v>3036.7906128696818</v>
      </c>
    </row>
    <row r="27" spans="1:28" s="3" customFormat="1" ht="12" customHeight="1" x14ac:dyDescent="0.2">
      <c r="A27" s="51" t="s">
        <v>22</v>
      </c>
      <c r="B27" s="42">
        <v>291.55440907417454</v>
      </c>
      <c r="C27" s="42">
        <v>151.90229716469611</v>
      </c>
      <c r="D27" s="43">
        <v>139.65211190947878</v>
      </c>
      <c r="E27" s="42">
        <v>73.501111531304559</v>
      </c>
      <c r="F27" s="42">
        <v>36.750555765652294</v>
      </c>
      <c r="G27" s="43">
        <v>36.750555765652294</v>
      </c>
      <c r="H27" s="42">
        <v>218.0532975428697</v>
      </c>
      <c r="I27" s="42">
        <v>115.15174139904397</v>
      </c>
      <c r="J27" s="44">
        <v>102.9015561438265</v>
      </c>
      <c r="K27" s="97">
        <v>301.3890565097692</v>
      </c>
      <c r="L27" s="97">
        <v>157.02623112273676</v>
      </c>
      <c r="M27" s="98">
        <v>144.36282538703216</v>
      </c>
      <c r="N27" s="107">
        <v>75.980434414227332</v>
      </c>
      <c r="O27" s="97">
        <v>37.990217207113673</v>
      </c>
      <c r="P27" s="98">
        <v>37.990217207113673</v>
      </c>
      <c r="Q27" s="97">
        <v>225.4086220955416</v>
      </c>
      <c r="R27" s="97">
        <v>119.03601391562297</v>
      </c>
      <c r="S27" s="99">
        <v>106.37260817991837</v>
      </c>
      <c r="T27" s="97">
        <v>311.52545734585038</v>
      </c>
      <c r="U27" s="97">
        <v>162.30738113817478</v>
      </c>
      <c r="V27" s="98">
        <v>149.21807620767692</v>
      </c>
      <c r="W27" s="107">
        <v>78.53582958298793</v>
      </c>
      <c r="X27" s="97">
        <v>39.267914791493929</v>
      </c>
      <c r="Y27" s="98">
        <v>39.267914791493929</v>
      </c>
      <c r="Z27" s="97">
        <v>232.98962776286322</v>
      </c>
      <c r="AA27" s="97">
        <v>123.03946634668114</v>
      </c>
      <c r="AB27" s="99">
        <v>109.95016141618314</v>
      </c>
    </row>
    <row r="28" spans="1:28" ht="12.75" thickBot="1" x14ac:dyDescent="0.25">
      <c r="A28" s="52" t="s">
        <v>21</v>
      </c>
      <c r="B28" s="150">
        <v>6558.8001464015433</v>
      </c>
      <c r="C28" s="150">
        <v>3122.4106815930809</v>
      </c>
      <c r="D28" s="154">
        <v>3436.3894648080804</v>
      </c>
      <c r="E28" s="150">
        <v>1360.3605983309092</v>
      </c>
      <c r="F28" s="150">
        <v>634.90992616040501</v>
      </c>
      <c r="G28" s="154">
        <v>725.45067217049075</v>
      </c>
      <c r="H28" s="150">
        <v>5198.4395480704416</v>
      </c>
      <c r="I28" s="150">
        <v>2487.5007554326971</v>
      </c>
      <c r="J28" s="152">
        <v>2710.9387926376221</v>
      </c>
      <c r="K28" s="150">
        <v>6780.0401106508907</v>
      </c>
      <c r="L28" s="150">
        <v>3227.7351330397778</v>
      </c>
      <c r="M28" s="154">
        <v>3552.3049776109897</v>
      </c>
      <c r="N28" s="150">
        <v>1406.2479745923022</v>
      </c>
      <c r="O28" s="150">
        <v>656.32656430000497</v>
      </c>
      <c r="P28" s="154">
        <v>749.92141029229208</v>
      </c>
      <c r="Q28" s="150">
        <v>5373.7921360585515</v>
      </c>
      <c r="R28" s="150">
        <v>2571.4085687397678</v>
      </c>
      <c r="S28" s="152">
        <v>2802.3835673186995</v>
      </c>
      <c r="T28" s="150">
        <v>7008.0683112832794</v>
      </c>
      <c r="U28" s="150">
        <v>3336.2912215723609</v>
      </c>
      <c r="V28" s="154">
        <v>3671.7770897111873</v>
      </c>
      <c r="W28" s="150">
        <v>1453.5432988169914</v>
      </c>
      <c r="X28" s="150">
        <v>678.4003224256553</v>
      </c>
      <c r="Y28" s="154">
        <v>775.14297639131803</v>
      </c>
      <c r="Z28" s="150">
        <v>5554.5250124664026</v>
      </c>
      <c r="AA28" s="150">
        <v>2657.8908991466878</v>
      </c>
      <c r="AB28" s="152">
        <v>2896.6341133198503</v>
      </c>
    </row>
    <row r="29" spans="1:28" x14ac:dyDescent="0.2">
      <c r="A29" s="57" t="s">
        <v>82</v>
      </c>
    </row>
    <row r="30" spans="1:28" x14ac:dyDescent="0.2">
      <c r="B30" s="186"/>
      <c r="C30" s="186"/>
      <c r="D30" s="186"/>
      <c r="E30" s="186"/>
      <c r="F30" s="186"/>
      <c r="G30" s="186"/>
      <c r="H30" s="186"/>
      <c r="I30" s="186"/>
      <c r="J30" s="186"/>
      <c r="K30" s="186"/>
    </row>
    <row r="32" spans="1:28" ht="15" customHeight="1" x14ac:dyDescent="0.2"/>
    <row r="33" ht="15" customHeight="1" x14ac:dyDescent="0.2"/>
    <row r="34" ht="1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E31"/>
  <sheetViews>
    <sheetView workbookViewId="0">
      <pane xSplit="1" topLeftCell="B1" activePane="topRight" state="frozen"/>
      <selection pane="topRight" activeCell="F44" sqref="F44"/>
    </sheetView>
  </sheetViews>
  <sheetFormatPr defaultColWidth="9.140625" defaultRowHeight="12" x14ac:dyDescent="0.2"/>
  <cols>
    <col min="1" max="1" width="14.28515625" style="281" customWidth="1"/>
    <col min="2" max="16384" width="9.140625" style="1"/>
  </cols>
  <sheetData>
    <row r="1" spans="1:161" ht="20.25" customHeight="1" thickBot="1" x14ac:dyDescent="0.25">
      <c r="A1" s="269" t="s">
        <v>81</v>
      </c>
      <c r="B1" s="269"/>
      <c r="C1" s="269"/>
      <c r="D1" s="269"/>
      <c r="E1" s="269"/>
      <c r="F1" s="269"/>
      <c r="G1" s="269"/>
      <c r="H1" s="269"/>
      <c r="I1" s="269"/>
    </row>
    <row r="2" spans="1:161" s="69" customFormat="1" ht="11.1" customHeight="1" x14ac:dyDescent="0.2">
      <c r="A2" s="268" t="s">
        <v>34</v>
      </c>
      <c r="B2" s="282" t="s">
        <v>57</v>
      </c>
      <c r="C2" s="259"/>
      <c r="D2" s="259"/>
      <c r="E2" s="259"/>
      <c r="F2" s="259"/>
      <c r="G2" s="259"/>
      <c r="H2" s="259"/>
      <c r="I2" s="259"/>
      <c r="J2" s="260"/>
      <c r="K2" s="261" t="s">
        <v>58</v>
      </c>
      <c r="L2" s="259"/>
      <c r="M2" s="259"/>
      <c r="N2" s="259"/>
      <c r="O2" s="259"/>
      <c r="P2" s="259"/>
      <c r="Q2" s="259"/>
      <c r="R2" s="259"/>
      <c r="S2" s="260"/>
      <c r="T2" s="261" t="s">
        <v>59</v>
      </c>
      <c r="U2" s="259"/>
      <c r="V2" s="259"/>
      <c r="W2" s="259"/>
      <c r="X2" s="259"/>
      <c r="Y2" s="259"/>
      <c r="Z2" s="259"/>
      <c r="AA2" s="259"/>
      <c r="AB2" s="260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</row>
    <row r="3" spans="1:161" s="70" customFormat="1" ht="12" customHeight="1" thickBot="1" x14ac:dyDescent="0.25">
      <c r="A3" s="279"/>
      <c r="B3" s="283" t="s">
        <v>0</v>
      </c>
      <c r="C3" s="276"/>
      <c r="D3" s="276"/>
      <c r="E3" s="273" t="s">
        <v>1</v>
      </c>
      <c r="F3" s="274"/>
      <c r="G3" s="275"/>
      <c r="H3" s="270" t="s">
        <v>2</v>
      </c>
      <c r="I3" s="270"/>
      <c r="J3" s="271"/>
      <c r="K3" s="272" t="s">
        <v>0</v>
      </c>
      <c r="L3" s="270"/>
      <c r="M3" s="270"/>
      <c r="N3" s="273" t="s">
        <v>1</v>
      </c>
      <c r="O3" s="274"/>
      <c r="P3" s="275"/>
      <c r="Q3" s="270" t="s">
        <v>2</v>
      </c>
      <c r="R3" s="270"/>
      <c r="S3" s="271"/>
      <c r="T3" s="272" t="s">
        <v>0</v>
      </c>
      <c r="U3" s="270"/>
      <c r="V3" s="270"/>
      <c r="W3" s="273" t="s">
        <v>1</v>
      </c>
      <c r="X3" s="274"/>
      <c r="Y3" s="275"/>
      <c r="Z3" s="270" t="s">
        <v>2</v>
      </c>
      <c r="AA3" s="270"/>
      <c r="AB3" s="271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</row>
    <row r="4" spans="1:161" ht="15.75" customHeight="1" thickBot="1" x14ac:dyDescent="0.25">
      <c r="A4" s="279"/>
      <c r="B4" s="284" t="s">
        <v>0</v>
      </c>
      <c r="C4" s="277" t="s">
        <v>3</v>
      </c>
      <c r="D4" s="277" t="s">
        <v>4</v>
      </c>
      <c r="E4" s="71" t="s">
        <v>0</v>
      </c>
      <c r="F4" s="277" t="s">
        <v>3</v>
      </c>
      <c r="G4" s="72" t="s">
        <v>4</v>
      </c>
      <c r="H4" s="285" t="s">
        <v>0</v>
      </c>
      <c r="I4" s="277" t="s">
        <v>3</v>
      </c>
      <c r="J4" s="68" t="s">
        <v>4</v>
      </c>
      <c r="K4" s="66" t="s">
        <v>0</v>
      </c>
      <c r="L4" s="9" t="s">
        <v>3</v>
      </c>
      <c r="M4" s="9" t="s">
        <v>4</v>
      </c>
      <c r="N4" s="71" t="s">
        <v>0</v>
      </c>
      <c r="O4" s="9" t="s">
        <v>3</v>
      </c>
      <c r="P4" s="72" t="s">
        <v>4</v>
      </c>
      <c r="Q4" s="77" t="s">
        <v>0</v>
      </c>
      <c r="R4" s="9" t="s">
        <v>3</v>
      </c>
      <c r="S4" s="68" t="s">
        <v>4</v>
      </c>
      <c r="T4" s="75" t="s">
        <v>0</v>
      </c>
      <c r="U4" s="76" t="s">
        <v>3</v>
      </c>
      <c r="V4" s="76" t="s">
        <v>4</v>
      </c>
      <c r="W4" s="77" t="s">
        <v>0</v>
      </c>
      <c r="X4" s="76" t="s">
        <v>3</v>
      </c>
      <c r="Y4" s="78" t="s">
        <v>4</v>
      </c>
      <c r="Z4" s="79" t="s">
        <v>0</v>
      </c>
      <c r="AA4" s="76" t="s">
        <v>3</v>
      </c>
      <c r="AB4" s="80" t="s">
        <v>4</v>
      </c>
    </row>
    <row r="5" spans="1:161" ht="12.75" thickBot="1" x14ac:dyDescent="0.25">
      <c r="A5" s="65" t="s">
        <v>56</v>
      </c>
      <c r="B5" s="73">
        <f>+B6+B7+B8+B9+B10+B11+B12+B13+B14+B15+B16+B17+B18+B19+B20+B21+B22+B23+B24</f>
        <v>7529.2112537845824</v>
      </c>
      <c r="C5" s="64">
        <f t="shared" ref="C5:AB5" si="0">+C6+C7+C8+C9+C10+C11+C12+C13+C14+C15+C16+C17+C18+C19+C20+C21+C22+C23+C24</f>
        <v>3649.4711231975675</v>
      </c>
      <c r="D5" s="64">
        <f t="shared" si="0"/>
        <v>3879.7401305870067</v>
      </c>
      <c r="E5" s="138">
        <f t="shared" si="0"/>
        <v>0</v>
      </c>
      <c r="F5" s="139">
        <f t="shared" si="0"/>
        <v>0</v>
      </c>
      <c r="G5" s="139">
        <f t="shared" si="0"/>
        <v>0</v>
      </c>
      <c r="H5" s="73">
        <f t="shared" si="0"/>
        <v>7529.2112537845824</v>
      </c>
      <c r="I5" s="64">
        <f t="shared" si="0"/>
        <v>3649.4711231975675</v>
      </c>
      <c r="J5" s="137">
        <f t="shared" si="0"/>
        <v>3879.7401305870067</v>
      </c>
      <c r="K5" s="67">
        <f t="shared" si="0"/>
        <v>7783.1849061954817</v>
      </c>
      <c r="L5" s="64">
        <f t="shared" si="0"/>
        <v>3772.5742583448068</v>
      </c>
      <c r="M5" s="64">
        <f t="shared" si="0"/>
        <v>4010.6106478507068</v>
      </c>
      <c r="N5" s="73">
        <f t="shared" si="0"/>
        <v>0</v>
      </c>
      <c r="O5" s="64">
        <f t="shared" si="0"/>
        <v>0</v>
      </c>
      <c r="P5" s="64">
        <f t="shared" si="0"/>
        <v>0</v>
      </c>
      <c r="Q5" s="73">
        <f t="shared" si="0"/>
        <v>7783.1849061954817</v>
      </c>
      <c r="R5" s="64">
        <f t="shared" si="0"/>
        <v>3772.5742583448068</v>
      </c>
      <c r="S5" s="64">
        <f t="shared" si="0"/>
        <v>4010.6106478507068</v>
      </c>
      <c r="T5" s="67">
        <f t="shared" si="0"/>
        <v>8044.9511524692634</v>
      </c>
      <c r="U5" s="64">
        <f t="shared" si="0"/>
        <v>3899.454528349675</v>
      </c>
      <c r="V5" s="74">
        <f t="shared" si="0"/>
        <v>4145.4966241195852</v>
      </c>
      <c r="W5" s="64">
        <f t="shared" si="0"/>
        <v>0</v>
      </c>
      <c r="X5" s="64">
        <f t="shared" si="0"/>
        <v>0</v>
      </c>
      <c r="Y5" s="64">
        <f t="shared" si="0"/>
        <v>0</v>
      </c>
      <c r="Z5" s="73">
        <f t="shared" si="0"/>
        <v>8044.9511524692634</v>
      </c>
      <c r="AA5" s="64">
        <f t="shared" si="0"/>
        <v>3899.454528349675</v>
      </c>
      <c r="AB5" s="137">
        <f t="shared" si="0"/>
        <v>4145.4966241195852</v>
      </c>
    </row>
    <row r="6" spans="1:161" x14ac:dyDescent="0.2">
      <c r="A6" s="26" t="s">
        <v>5</v>
      </c>
      <c r="B6" s="63">
        <v>1271.9462666689267</v>
      </c>
      <c r="C6" s="278">
        <v>645.19013526685751</v>
      </c>
      <c r="D6" s="278">
        <v>626.75613140209077</v>
      </c>
      <c r="E6" s="115">
        <v>0</v>
      </c>
      <c r="F6" s="286">
        <v>0</v>
      </c>
      <c r="G6" s="117">
        <v>0</v>
      </c>
      <c r="H6" s="278">
        <v>1271.9462666689267</v>
      </c>
      <c r="I6" s="278">
        <v>645.19013526685751</v>
      </c>
      <c r="J6" s="60">
        <v>626.75613140209077</v>
      </c>
      <c r="K6" s="59">
        <v>1314.8512706763934</v>
      </c>
      <c r="L6" s="2">
        <v>666.95354309671825</v>
      </c>
      <c r="M6" s="2">
        <v>647.89772757966898</v>
      </c>
      <c r="N6" s="63">
        <v>0</v>
      </c>
      <c r="O6" s="2">
        <v>0</v>
      </c>
      <c r="P6" s="62">
        <v>0</v>
      </c>
      <c r="Q6" s="2">
        <v>1314.8512706763934</v>
      </c>
      <c r="R6" s="2">
        <v>666.95354309671825</v>
      </c>
      <c r="S6" s="60">
        <v>647.89772757966898</v>
      </c>
      <c r="T6" s="59">
        <v>1359.0727154552583</v>
      </c>
      <c r="U6" s="2">
        <v>689.38471073818118</v>
      </c>
      <c r="V6" s="2">
        <v>669.68800471708971</v>
      </c>
      <c r="W6" s="63">
        <v>0</v>
      </c>
      <c r="X6" s="2">
        <v>0</v>
      </c>
      <c r="Y6" s="62">
        <v>0</v>
      </c>
      <c r="Z6" s="2">
        <v>1359.0727154552583</v>
      </c>
      <c r="AA6" s="2">
        <v>689.38471073818118</v>
      </c>
      <c r="AB6" s="60">
        <v>669.68800471708971</v>
      </c>
    </row>
    <row r="7" spans="1:161" x14ac:dyDescent="0.2">
      <c r="A7" s="26" t="s">
        <v>6</v>
      </c>
      <c r="B7" s="63">
        <v>1133.5926331325213</v>
      </c>
      <c r="C7" s="278">
        <v>556.51170598339763</v>
      </c>
      <c r="D7" s="278">
        <v>577.08092714910936</v>
      </c>
      <c r="E7" s="115">
        <v>0</v>
      </c>
      <c r="F7" s="286">
        <v>0</v>
      </c>
      <c r="G7" s="117">
        <v>0</v>
      </c>
      <c r="H7" s="278">
        <v>1133.5926331325213</v>
      </c>
      <c r="I7" s="278">
        <v>556.51170598339763</v>
      </c>
      <c r="J7" s="60">
        <v>577.08092714910936</v>
      </c>
      <c r="K7" s="59">
        <v>1171.83072364138</v>
      </c>
      <c r="L7" s="2">
        <v>575.28383307798595</v>
      </c>
      <c r="M7" s="2">
        <v>596.54689056341385</v>
      </c>
      <c r="N7" s="63">
        <v>0</v>
      </c>
      <c r="O7" s="2">
        <v>0</v>
      </c>
      <c r="P7" s="62">
        <v>0</v>
      </c>
      <c r="Q7" s="2">
        <v>1171.83072364138</v>
      </c>
      <c r="R7" s="2">
        <v>575.28383307798595</v>
      </c>
      <c r="S7" s="60">
        <v>596.54689056341385</v>
      </c>
      <c r="T7" s="59">
        <v>1211.2420614796824</v>
      </c>
      <c r="U7" s="2">
        <v>594.63193945625414</v>
      </c>
      <c r="V7" s="2">
        <v>616.61012202342647</v>
      </c>
      <c r="W7" s="63">
        <v>0</v>
      </c>
      <c r="X7" s="2">
        <v>0</v>
      </c>
      <c r="Y7" s="62">
        <v>0</v>
      </c>
      <c r="Z7" s="2">
        <v>1211.2420614796824</v>
      </c>
      <c r="AA7" s="2">
        <v>594.63193945625414</v>
      </c>
      <c r="AB7" s="60">
        <v>616.61012202342647</v>
      </c>
    </row>
    <row r="8" spans="1:161" x14ac:dyDescent="0.2">
      <c r="A8" s="26" t="s">
        <v>7</v>
      </c>
      <c r="B8" s="63">
        <v>894.76112070843487</v>
      </c>
      <c r="C8" s="278">
        <v>407.95621978659597</v>
      </c>
      <c r="D8" s="278">
        <v>486.80490092182032</v>
      </c>
      <c r="E8" s="115">
        <v>0</v>
      </c>
      <c r="F8" s="286">
        <v>0</v>
      </c>
      <c r="G8" s="117">
        <v>0</v>
      </c>
      <c r="H8" s="278">
        <v>894.76112070843487</v>
      </c>
      <c r="I8" s="278">
        <v>407.95621978659597</v>
      </c>
      <c r="J8" s="60">
        <v>486.80490092182032</v>
      </c>
      <c r="K8" s="59">
        <v>924.94300061613376</v>
      </c>
      <c r="L8" s="2">
        <v>421.71730679433557</v>
      </c>
      <c r="M8" s="2">
        <v>503.22569382181314</v>
      </c>
      <c r="N8" s="63">
        <v>0</v>
      </c>
      <c r="O8" s="2">
        <v>0</v>
      </c>
      <c r="P8" s="62">
        <v>0</v>
      </c>
      <c r="Q8" s="2">
        <v>924.94300061613376</v>
      </c>
      <c r="R8" s="2">
        <v>421.71730679433557</v>
      </c>
      <c r="S8" s="60">
        <v>503.22569382181314</v>
      </c>
      <c r="T8" s="59">
        <v>956.05094167197683</v>
      </c>
      <c r="U8" s="2">
        <v>435.90062091556865</v>
      </c>
      <c r="V8" s="2">
        <v>520.15032075639238</v>
      </c>
      <c r="W8" s="63">
        <v>0</v>
      </c>
      <c r="X8" s="2">
        <v>0</v>
      </c>
      <c r="Y8" s="62">
        <v>0</v>
      </c>
      <c r="Z8" s="2">
        <v>956.05094167197683</v>
      </c>
      <c r="AA8" s="2">
        <v>435.90062091556865</v>
      </c>
      <c r="AB8" s="60">
        <v>520.15032075639238</v>
      </c>
    </row>
    <row r="9" spans="1:161" x14ac:dyDescent="0.2">
      <c r="A9" s="26" t="s">
        <v>8</v>
      </c>
      <c r="B9" s="63">
        <v>788.91193043599685</v>
      </c>
      <c r="C9" s="278">
        <v>327.07994631430563</v>
      </c>
      <c r="D9" s="278">
        <v>461.83198412169941</v>
      </c>
      <c r="E9" s="115">
        <v>0</v>
      </c>
      <c r="F9" s="286">
        <v>0</v>
      </c>
      <c r="G9" s="117">
        <v>0</v>
      </c>
      <c r="H9" s="278">
        <v>788.91193043599685</v>
      </c>
      <c r="I9" s="278">
        <v>327.07994631430563</v>
      </c>
      <c r="J9" s="60">
        <v>461.83198412169941</v>
      </c>
      <c r="K9" s="59">
        <v>815.52332937937592</v>
      </c>
      <c r="L9" s="2">
        <v>338.11293314331255</v>
      </c>
      <c r="M9" s="2">
        <v>477.41039623606315</v>
      </c>
      <c r="N9" s="63">
        <v>0</v>
      </c>
      <c r="O9" s="2">
        <v>0</v>
      </c>
      <c r="P9" s="62">
        <v>0</v>
      </c>
      <c r="Q9" s="2">
        <v>815.52332937937592</v>
      </c>
      <c r="R9" s="2">
        <v>338.11293314331255</v>
      </c>
      <c r="S9" s="60">
        <v>477.41039623606315</v>
      </c>
      <c r="T9" s="59">
        <v>842.9512375240779</v>
      </c>
      <c r="U9" s="2">
        <v>349.48444164429418</v>
      </c>
      <c r="V9" s="2">
        <v>493.46679587977064</v>
      </c>
      <c r="W9" s="63">
        <v>0</v>
      </c>
      <c r="X9" s="2">
        <v>0</v>
      </c>
      <c r="Y9" s="62">
        <v>0</v>
      </c>
      <c r="Z9" s="2">
        <v>842.9512375240779</v>
      </c>
      <c r="AA9" s="2">
        <v>349.48444164429418</v>
      </c>
      <c r="AB9" s="60">
        <v>493.46679587977064</v>
      </c>
    </row>
    <row r="10" spans="1:161" x14ac:dyDescent="0.2">
      <c r="A10" s="26" t="s">
        <v>9</v>
      </c>
      <c r="B10" s="63">
        <v>938.28767612687011</v>
      </c>
      <c r="C10" s="278">
        <v>422.97808804122906</v>
      </c>
      <c r="D10" s="278">
        <v>515.30958808562627</v>
      </c>
      <c r="E10" s="115">
        <v>0</v>
      </c>
      <c r="F10" s="286">
        <v>0</v>
      </c>
      <c r="G10" s="117">
        <v>0</v>
      </c>
      <c r="H10" s="278">
        <v>938.28767612687011</v>
      </c>
      <c r="I10" s="278">
        <v>422.97808804122906</v>
      </c>
      <c r="J10" s="60">
        <v>515.30958808562627</v>
      </c>
      <c r="K10" s="59">
        <v>969.93778396494508</v>
      </c>
      <c r="L10" s="2">
        <v>437.24588931398705</v>
      </c>
      <c r="M10" s="2">
        <v>532.69189465096258</v>
      </c>
      <c r="N10" s="63">
        <v>0</v>
      </c>
      <c r="O10" s="2">
        <v>0</v>
      </c>
      <c r="P10" s="62">
        <v>0</v>
      </c>
      <c r="Q10" s="2">
        <v>969.93778396494508</v>
      </c>
      <c r="R10" s="2">
        <v>437.24588931398705</v>
      </c>
      <c r="S10" s="60">
        <v>532.69189465096258</v>
      </c>
      <c r="T10" s="59">
        <v>1002.559002127896</v>
      </c>
      <c r="U10" s="2">
        <v>451.95146505500264</v>
      </c>
      <c r="V10" s="2">
        <v>550.60753707290814</v>
      </c>
      <c r="W10" s="63">
        <v>0</v>
      </c>
      <c r="X10" s="2">
        <v>0</v>
      </c>
      <c r="Y10" s="62">
        <v>0</v>
      </c>
      <c r="Z10" s="2">
        <v>1002.559002127896</v>
      </c>
      <c r="AA10" s="2">
        <v>451.95146505500264</v>
      </c>
      <c r="AB10" s="60">
        <v>550.60753707290814</v>
      </c>
    </row>
    <row r="11" spans="1:161" x14ac:dyDescent="0.2">
      <c r="A11" s="31" t="s">
        <v>10</v>
      </c>
      <c r="B11" s="63">
        <v>560.22761513425394</v>
      </c>
      <c r="C11" s="278">
        <v>310.68302041966501</v>
      </c>
      <c r="D11" s="278">
        <v>249.54459471459108</v>
      </c>
      <c r="E11" s="115">
        <v>0</v>
      </c>
      <c r="F11" s="286">
        <v>0</v>
      </c>
      <c r="G11" s="117">
        <v>0</v>
      </c>
      <c r="H11" s="278">
        <v>560.22761513425394</v>
      </c>
      <c r="I11" s="278">
        <v>310.68302041966501</v>
      </c>
      <c r="J11" s="60">
        <v>249.54459471459108</v>
      </c>
      <c r="K11" s="59">
        <v>579.12508643651825</v>
      </c>
      <c r="L11" s="2">
        <v>321.16290985009789</v>
      </c>
      <c r="M11" s="2">
        <v>257.9621765864249</v>
      </c>
      <c r="N11" s="63">
        <v>0</v>
      </c>
      <c r="O11" s="2">
        <v>0</v>
      </c>
      <c r="P11" s="62">
        <v>0</v>
      </c>
      <c r="Q11" s="2">
        <v>579.12508643651825</v>
      </c>
      <c r="R11" s="2">
        <v>321.16290985009789</v>
      </c>
      <c r="S11" s="60">
        <v>257.9621765864249</v>
      </c>
      <c r="T11" s="59">
        <v>598.60238291945552</v>
      </c>
      <c r="U11" s="2">
        <v>331.96435043862908</v>
      </c>
      <c r="V11" s="2">
        <v>266.6380324808257</v>
      </c>
      <c r="W11" s="63">
        <v>0</v>
      </c>
      <c r="X11" s="2">
        <v>0</v>
      </c>
      <c r="Y11" s="62">
        <v>0</v>
      </c>
      <c r="Z11" s="2">
        <v>598.60238291945552</v>
      </c>
      <c r="AA11" s="2">
        <v>331.96435043862908</v>
      </c>
      <c r="AB11" s="60">
        <v>266.6380324808257</v>
      </c>
    </row>
    <row r="12" spans="1:161" x14ac:dyDescent="0.2">
      <c r="A12" s="31" t="s">
        <v>11</v>
      </c>
      <c r="B12" s="63">
        <v>427.38869685570023</v>
      </c>
      <c r="C12" s="278">
        <v>202.71910998895925</v>
      </c>
      <c r="D12" s="278">
        <v>224.66958686674465</v>
      </c>
      <c r="E12" s="115">
        <v>0</v>
      </c>
      <c r="F12" s="286">
        <v>0</v>
      </c>
      <c r="G12" s="117">
        <v>0</v>
      </c>
      <c r="H12" s="278">
        <v>427.38869685570023</v>
      </c>
      <c r="I12" s="278">
        <v>202.71910998895925</v>
      </c>
      <c r="J12" s="60">
        <v>224.66958686674465</v>
      </c>
      <c r="K12" s="59">
        <v>441.8052757881967</v>
      </c>
      <c r="L12" s="2">
        <v>209.55718519258707</v>
      </c>
      <c r="M12" s="2">
        <v>232.24809059560602</v>
      </c>
      <c r="N12" s="63">
        <v>0</v>
      </c>
      <c r="O12" s="2">
        <v>0</v>
      </c>
      <c r="P12" s="62">
        <v>0</v>
      </c>
      <c r="Q12" s="2">
        <v>441.8052757881967</v>
      </c>
      <c r="R12" s="2">
        <v>209.55718519258707</v>
      </c>
      <c r="S12" s="60">
        <v>232.24809059560602</v>
      </c>
      <c r="T12" s="59">
        <v>456.6641940871736</v>
      </c>
      <c r="U12" s="2">
        <v>216.60507091143899</v>
      </c>
      <c r="V12" s="2">
        <v>240.0591231757349</v>
      </c>
      <c r="W12" s="63">
        <v>0</v>
      </c>
      <c r="X12" s="2">
        <v>0</v>
      </c>
      <c r="Y12" s="62">
        <v>0</v>
      </c>
      <c r="Z12" s="2">
        <v>456.6641940871736</v>
      </c>
      <c r="AA12" s="2">
        <v>216.60507091143899</v>
      </c>
      <c r="AB12" s="60">
        <v>240.0591231757349</v>
      </c>
    </row>
    <row r="13" spans="1:161" x14ac:dyDescent="0.2">
      <c r="A13" s="31" t="s">
        <v>12</v>
      </c>
      <c r="B13" s="63">
        <v>356.3724481334549</v>
      </c>
      <c r="C13" s="278">
        <v>184.64224667784185</v>
      </c>
      <c r="D13" s="278">
        <v>171.73020145561514</v>
      </c>
      <c r="E13" s="115">
        <v>0</v>
      </c>
      <c r="F13" s="286">
        <v>0</v>
      </c>
      <c r="G13" s="117">
        <v>0</v>
      </c>
      <c r="H13" s="278">
        <v>356.3724481334549</v>
      </c>
      <c r="I13" s="278">
        <v>184.64224667784185</v>
      </c>
      <c r="J13" s="60">
        <v>171.73020145561514</v>
      </c>
      <c r="K13" s="59">
        <v>368.39352301372207</v>
      </c>
      <c r="L13" s="2">
        <v>190.87055721363029</v>
      </c>
      <c r="M13" s="2">
        <v>177.52296580008974</v>
      </c>
      <c r="N13" s="63">
        <v>0</v>
      </c>
      <c r="O13" s="2">
        <v>0</v>
      </c>
      <c r="P13" s="62">
        <v>0</v>
      </c>
      <c r="Q13" s="2">
        <v>368.39352301372207</v>
      </c>
      <c r="R13" s="2">
        <v>190.87055721363029</v>
      </c>
      <c r="S13" s="60">
        <v>177.52296580008974</v>
      </c>
      <c r="T13" s="59">
        <v>380.78343676151036</v>
      </c>
      <c r="U13" s="2">
        <v>197.28996904672471</v>
      </c>
      <c r="V13" s="2">
        <v>183.49346771478594</v>
      </c>
      <c r="W13" s="63">
        <v>0</v>
      </c>
      <c r="X13" s="2">
        <v>0</v>
      </c>
      <c r="Y13" s="62">
        <v>0</v>
      </c>
      <c r="Z13" s="2">
        <v>380.78343676151036</v>
      </c>
      <c r="AA13" s="2">
        <v>197.28996904672471</v>
      </c>
      <c r="AB13" s="60">
        <v>183.49346771478594</v>
      </c>
    </row>
    <row r="14" spans="1:161" x14ac:dyDescent="0.2">
      <c r="A14" s="31" t="s">
        <v>13</v>
      </c>
      <c r="B14" s="63">
        <v>269.86174514453785</v>
      </c>
      <c r="C14" s="278">
        <v>127.82924770004435</v>
      </c>
      <c r="D14" s="278">
        <v>142.03249744449371</v>
      </c>
      <c r="E14" s="115">
        <v>0</v>
      </c>
      <c r="F14" s="286">
        <v>0</v>
      </c>
      <c r="G14" s="117">
        <v>0</v>
      </c>
      <c r="H14" s="278">
        <v>269.86174514453785</v>
      </c>
      <c r="I14" s="278">
        <v>127.82924770004435</v>
      </c>
      <c r="J14" s="60">
        <v>142.03249744449371</v>
      </c>
      <c r="K14" s="59">
        <v>278.96466054299844</v>
      </c>
      <c r="L14" s="2">
        <v>132.14115499405185</v>
      </c>
      <c r="M14" s="2">
        <v>146.82350554894646</v>
      </c>
      <c r="N14" s="63">
        <v>0</v>
      </c>
      <c r="O14" s="2">
        <v>0</v>
      </c>
      <c r="P14" s="62">
        <v>0</v>
      </c>
      <c r="Q14" s="2">
        <v>278.96466054299844</v>
      </c>
      <c r="R14" s="2">
        <v>132.14115499405185</v>
      </c>
      <c r="S14" s="60">
        <v>146.82350554894646</v>
      </c>
      <c r="T14" s="59">
        <v>288.34687783752059</v>
      </c>
      <c r="U14" s="2">
        <v>136.58536318619412</v>
      </c>
      <c r="V14" s="2">
        <v>151.76151465132676</v>
      </c>
      <c r="W14" s="63">
        <v>0</v>
      </c>
      <c r="X14" s="2">
        <v>0</v>
      </c>
      <c r="Y14" s="62">
        <v>0</v>
      </c>
      <c r="Z14" s="2">
        <v>288.34687783752059</v>
      </c>
      <c r="AA14" s="2">
        <v>136.58536318619412</v>
      </c>
      <c r="AB14" s="60">
        <v>151.76151465132676</v>
      </c>
    </row>
    <row r="15" spans="1:161" x14ac:dyDescent="0.2">
      <c r="A15" s="31" t="s">
        <v>14</v>
      </c>
      <c r="B15" s="63">
        <v>174.53027007806335</v>
      </c>
      <c r="C15" s="278">
        <v>82.417071981307799</v>
      </c>
      <c r="D15" s="278">
        <v>92.113198096755809</v>
      </c>
      <c r="E15" s="115">
        <v>0</v>
      </c>
      <c r="F15" s="286">
        <v>0</v>
      </c>
      <c r="G15" s="117">
        <v>0</v>
      </c>
      <c r="H15" s="278">
        <v>174.53027007806335</v>
      </c>
      <c r="I15" s="278">
        <v>82.417071981307799</v>
      </c>
      <c r="J15" s="60">
        <v>92.113198096755809</v>
      </c>
      <c r="K15" s="59">
        <v>180.4174857044957</v>
      </c>
      <c r="L15" s="2">
        <v>85.197146027122884</v>
      </c>
      <c r="M15" s="2">
        <v>95.220339677372593</v>
      </c>
      <c r="N15" s="63">
        <v>0</v>
      </c>
      <c r="O15" s="2">
        <v>0</v>
      </c>
      <c r="P15" s="62">
        <v>0</v>
      </c>
      <c r="Q15" s="2">
        <v>180.4174857044957</v>
      </c>
      <c r="R15" s="2">
        <v>85.197146027122884</v>
      </c>
      <c r="S15" s="60">
        <v>95.220339677372593</v>
      </c>
      <c r="T15" s="59">
        <v>186.48533692018785</v>
      </c>
      <c r="U15" s="2">
        <v>88.062520212310929</v>
      </c>
      <c r="V15" s="2">
        <v>98.422816707876919</v>
      </c>
      <c r="W15" s="63">
        <v>0</v>
      </c>
      <c r="X15" s="2">
        <v>0</v>
      </c>
      <c r="Y15" s="62">
        <v>0</v>
      </c>
      <c r="Z15" s="2">
        <v>186.48533692018785</v>
      </c>
      <c r="AA15" s="2">
        <v>88.062520212310929</v>
      </c>
      <c r="AB15" s="60">
        <v>98.422816707876919</v>
      </c>
    </row>
    <row r="16" spans="1:161" x14ac:dyDescent="0.2">
      <c r="A16" s="31" t="s">
        <v>15</v>
      </c>
      <c r="B16" s="63">
        <v>170.89422278477039</v>
      </c>
      <c r="C16" s="278">
        <v>83.629087745738801</v>
      </c>
      <c r="D16" s="278">
        <v>87.265135039031804</v>
      </c>
      <c r="E16" s="115">
        <v>0</v>
      </c>
      <c r="F16" s="286">
        <v>0</v>
      </c>
      <c r="G16" s="117">
        <v>0</v>
      </c>
      <c r="H16" s="278">
        <v>170.89422278477039</v>
      </c>
      <c r="I16" s="278">
        <v>83.629087745738801</v>
      </c>
      <c r="J16" s="60">
        <v>87.265135039031804</v>
      </c>
      <c r="K16" s="59">
        <v>176.65878808565202</v>
      </c>
      <c r="L16" s="2">
        <v>86.450045233404097</v>
      </c>
      <c r="M16" s="2">
        <v>90.208742852247738</v>
      </c>
      <c r="N16" s="63">
        <v>0</v>
      </c>
      <c r="O16" s="2">
        <v>0</v>
      </c>
      <c r="P16" s="62">
        <v>0</v>
      </c>
      <c r="Q16" s="2">
        <v>176.65878808565202</v>
      </c>
      <c r="R16" s="2">
        <v>86.450045233404097</v>
      </c>
      <c r="S16" s="60">
        <v>90.208742852247738</v>
      </c>
      <c r="T16" s="59">
        <v>182.6002257343506</v>
      </c>
      <c r="U16" s="2">
        <v>89.357557274256678</v>
      </c>
      <c r="V16" s="2">
        <v>93.242668460093924</v>
      </c>
      <c r="W16" s="63">
        <v>0</v>
      </c>
      <c r="X16" s="2">
        <v>0</v>
      </c>
      <c r="Y16" s="62">
        <v>0</v>
      </c>
      <c r="Z16" s="2">
        <v>182.6002257343506</v>
      </c>
      <c r="AA16" s="2">
        <v>89.357557274256678</v>
      </c>
      <c r="AB16" s="60">
        <v>93.242668460093924</v>
      </c>
    </row>
    <row r="17" spans="1:28" x14ac:dyDescent="0.2">
      <c r="A17" s="31" t="s">
        <v>16</v>
      </c>
      <c r="B17" s="63">
        <v>144.22987596728868</v>
      </c>
      <c r="C17" s="278">
        <v>67.872882808135785</v>
      </c>
      <c r="D17" s="278">
        <v>76.356993159152793</v>
      </c>
      <c r="E17" s="115">
        <v>0</v>
      </c>
      <c r="F17" s="286">
        <v>0</v>
      </c>
      <c r="G17" s="117">
        <v>0</v>
      </c>
      <c r="H17" s="278">
        <v>144.22987596728868</v>
      </c>
      <c r="I17" s="278">
        <v>67.872882808135785</v>
      </c>
      <c r="J17" s="60">
        <v>76.356993159152793</v>
      </c>
      <c r="K17" s="59">
        <v>149.09500554746501</v>
      </c>
      <c r="L17" s="2">
        <v>70.16235555174832</v>
      </c>
      <c r="M17" s="2">
        <v>78.932649995716815</v>
      </c>
      <c r="N17" s="63">
        <v>0</v>
      </c>
      <c r="O17" s="2">
        <v>0</v>
      </c>
      <c r="P17" s="62">
        <v>0</v>
      </c>
      <c r="Q17" s="2">
        <v>149.09500554746501</v>
      </c>
      <c r="R17" s="2">
        <v>70.16235555174832</v>
      </c>
      <c r="S17" s="60">
        <v>78.932649995716815</v>
      </c>
      <c r="T17" s="59">
        <v>154.10941037154413</v>
      </c>
      <c r="U17" s="2">
        <v>72.522075468961944</v>
      </c>
      <c r="V17" s="2">
        <v>81.587334902582185</v>
      </c>
      <c r="W17" s="63">
        <v>0</v>
      </c>
      <c r="X17" s="2">
        <v>0</v>
      </c>
      <c r="Y17" s="62">
        <v>0</v>
      </c>
      <c r="Z17" s="2">
        <v>154.10941037154413</v>
      </c>
      <c r="AA17" s="2">
        <v>72.522075468961944</v>
      </c>
      <c r="AB17" s="60">
        <v>81.587334902582185</v>
      </c>
    </row>
    <row r="18" spans="1:28" x14ac:dyDescent="0.2">
      <c r="A18" s="31" t="s">
        <v>17</v>
      </c>
      <c r="B18" s="63">
        <v>105.44537150549682</v>
      </c>
      <c r="C18" s="278">
        <v>58.176756692687803</v>
      </c>
      <c r="D18" s="278">
        <v>47.268614812808856</v>
      </c>
      <c r="E18" s="115">
        <v>0</v>
      </c>
      <c r="F18" s="286">
        <v>0</v>
      </c>
      <c r="G18" s="117">
        <v>0</v>
      </c>
      <c r="H18" s="278">
        <v>105.44537150549682</v>
      </c>
      <c r="I18" s="278">
        <v>58.176756692687803</v>
      </c>
      <c r="J18" s="60">
        <v>47.268614812808856</v>
      </c>
      <c r="K18" s="59">
        <v>109.00223094646594</v>
      </c>
      <c r="L18" s="2">
        <v>60.139161901498589</v>
      </c>
      <c r="M18" s="2">
        <v>48.863069044967602</v>
      </c>
      <c r="N18" s="63">
        <v>0</v>
      </c>
      <c r="O18" s="2">
        <v>0</v>
      </c>
      <c r="P18" s="62">
        <v>0</v>
      </c>
      <c r="Q18" s="2">
        <v>109.00223094646594</v>
      </c>
      <c r="R18" s="2">
        <v>60.139161901498589</v>
      </c>
      <c r="S18" s="60">
        <v>48.863069044967602</v>
      </c>
      <c r="T18" s="59">
        <v>112.66822438928016</v>
      </c>
      <c r="U18" s="2">
        <v>62.161778973395947</v>
      </c>
      <c r="V18" s="2">
        <v>50.506445415884208</v>
      </c>
      <c r="W18" s="63">
        <v>0</v>
      </c>
      <c r="X18" s="2">
        <v>0</v>
      </c>
      <c r="Y18" s="62">
        <v>0</v>
      </c>
      <c r="Z18" s="2">
        <v>112.66822438928016</v>
      </c>
      <c r="AA18" s="2">
        <v>62.161778973395947</v>
      </c>
      <c r="AB18" s="60">
        <v>50.506445415884208</v>
      </c>
    </row>
    <row r="19" spans="1:28" x14ac:dyDescent="0.2">
      <c r="A19" s="31" t="s">
        <v>18</v>
      </c>
      <c r="B19" s="63">
        <v>78.634255256352802</v>
      </c>
      <c r="C19" s="278">
        <v>42.341522061113047</v>
      </c>
      <c r="D19" s="278">
        <v>36.292733195239755</v>
      </c>
      <c r="E19" s="115">
        <v>0</v>
      </c>
      <c r="F19" s="286">
        <v>0</v>
      </c>
      <c r="G19" s="117">
        <v>0</v>
      </c>
      <c r="H19" s="278">
        <v>78.634255256352802</v>
      </c>
      <c r="I19" s="278">
        <v>42.341522061113047</v>
      </c>
      <c r="J19" s="60">
        <v>36.292733195239755</v>
      </c>
      <c r="K19" s="59">
        <v>81.286728183318417</v>
      </c>
      <c r="L19" s="2">
        <v>43.769776714094576</v>
      </c>
      <c r="M19" s="2">
        <v>37.516951469223919</v>
      </c>
      <c r="N19" s="63">
        <v>0</v>
      </c>
      <c r="O19" s="2">
        <v>0</v>
      </c>
      <c r="P19" s="62">
        <v>0</v>
      </c>
      <c r="Q19" s="2">
        <v>81.286728183318417</v>
      </c>
      <c r="R19" s="2">
        <v>43.769776714094576</v>
      </c>
      <c r="S19" s="60">
        <v>37.516951469223919</v>
      </c>
      <c r="T19" s="59">
        <v>84.02058610457695</v>
      </c>
      <c r="U19" s="2">
        <v>45.241854056310665</v>
      </c>
      <c r="V19" s="2">
        <v>38.778732048266285</v>
      </c>
      <c r="W19" s="63">
        <v>0</v>
      </c>
      <c r="X19" s="2">
        <v>0</v>
      </c>
      <c r="Y19" s="62">
        <v>0</v>
      </c>
      <c r="Z19" s="2">
        <v>84.02058610457695</v>
      </c>
      <c r="AA19" s="2">
        <v>45.241854056310665</v>
      </c>
      <c r="AB19" s="60">
        <v>38.778732048266285</v>
      </c>
    </row>
    <row r="20" spans="1:28" x14ac:dyDescent="0.2">
      <c r="A20" s="31" t="s">
        <v>19</v>
      </c>
      <c r="B20" s="63">
        <v>88.312317441750068</v>
      </c>
      <c r="C20" s="278">
        <v>55.648857566034287</v>
      </c>
      <c r="D20" s="278">
        <v>32.66345987571578</v>
      </c>
      <c r="E20" s="115">
        <v>0</v>
      </c>
      <c r="F20" s="286">
        <v>0</v>
      </c>
      <c r="G20" s="117">
        <v>0</v>
      </c>
      <c r="H20" s="278">
        <v>88.312317441750068</v>
      </c>
      <c r="I20" s="278">
        <v>55.648857566034287</v>
      </c>
      <c r="J20" s="60">
        <v>32.66345987571578</v>
      </c>
      <c r="K20" s="59">
        <v>91.29124857511141</v>
      </c>
      <c r="L20" s="2">
        <v>57.52599225281002</v>
      </c>
      <c r="M20" s="2">
        <v>33.765256322301525</v>
      </c>
      <c r="N20" s="63">
        <v>0</v>
      </c>
      <c r="O20" s="2">
        <v>0</v>
      </c>
      <c r="P20" s="62">
        <v>0</v>
      </c>
      <c r="Q20" s="2">
        <v>91.29124857511141</v>
      </c>
      <c r="R20" s="2">
        <v>57.52599225281002</v>
      </c>
      <c r="S20" s="60">
        <v>33.765256322301525</v>
      </c>
      <c r="T20" s="59">
        <v>94.361581317447957</v>
      </c>
      <c r="U20" s="2">
        <v>59.4607224740083</v>
      </c>
      <c r="V20" s="2">
        <v>34.900858843439657</v>
      </c>
      <c r="W20" s="63">
        <v>0</v>
      </c>
      <c r="X20" s="2">
        <v>0</v>
      </c>
      <c r="Y20" s="62">
        <v>0</v>
      </c>
      <c r="Z20" s="2">
        <v>94.361581317447957</v>
      </c>
      <c r="AA20" s="2">
        <v>59.4607224740083</v>
      </c>
      <c r="AB20" s="60">
        <v>34.900858843439657</v>
      </c>
    </row>
    <row r="21" spans="1:28" x14ac:dyDescent="0.2">
      <c r="A21" s="31" t="s">
        <v>20</v>
      </c>
      <c r="B21" s="63">
        <v>47.18055315381168</v>
      </c>
      <c r="C21" s="278">
        <v>30.24394432936646</v>
      </c>
      <c r="D21" s="278">
        <v>16.936608824445219</v>
      </c>
      <c r="E21" s="115">
        <v>0</v>
      </c>
      <c r="F21" s="286">
        <v>0</v>
      </c>
      <c r="G21" s="117">
        <v>0</v>
      </c>
      <c r="H21" s="278">
        <v>47.18055315381168</v>
      </c>
      <c r="I21" s="278">
        <v>30.24394432936646</v>
      </c>
      <c r="J21" s="60">
        <v>16.936608824445219</v>
      </c>
      <c r="K21" s="59">
        <v>48.772036909991101</v>
      </c>
      <c r="L21" s="2">
        <v>31.264126224353262</v>
      </c>
      <c r="M21" s="2">
        <v>17.507910685637817</v>
      </c>
      <c r="N21" s="63">
        <v>0</v>
      </c>
      <c r="O21" s="2">
        <v>0</v>
      </c>
      <c r="P21" s="62">
        <v>0</v>
      </c>
      <c r="Q21" s="2">
        <v>48.772036909991101</v>
      </c>
      <c r="R21" s="2">
        <v>31.264126224353262</v>
      </c>
      <c r="S21" s="60">
        <v>17.507910685637817</v>
      </c>
      <c r="T21" s="59">
        <v>50.412351662746168</v>
      </c>
      <c r="U21" s="2">
        <v>32.315610040221905</v>
      </c>
      <c r="V21" s="2">
        <v>18.096741622524267</v>
      </c>
      <c r="W21" s="63">
        <v>0</v>
      </c>
      <c r="X21" s="2">
        <v>0</v>
      </c>
      <c r="Y21" s="62">
        <v>0</v>
      </c>
      <c r="Z21" s="2">
        <v>50.412351662746168</v>
      </c>
      <c r="AA21" s="2">
        <v>32.315610040221905</v>
      </c>
      <c r="AB21" s="60">
        <v>18.096741622524267</v>
      </c>
    </row>
    <row r="22" spans="1:28" x14ac:dyDescent="0.2">
      <c r="A22" s="31" t="s">
        <v>28</v>
      </c>
      <c r="B22" s="63">
        <v>61.697646431907579</v>
      </c>
      <c r="C22" s="278">
        <v>31.453702102541119</v>
      </c>
      <c r="D22" s="278">
        <v>30.24394432936646</v>
      </c>
      <c r="E22" s="115">
        <v>0</v>
      </c>
      <c r="F22" s="286">
        <v>0</v>
      </c>
      <c r="G22" s="117">
        <v>0</v>
      </c>
      <c r="H22" s="278">
        <v>61.697646431907579</v>
      </c>
      <c r="I22" s="278">
        <v>31.453702102541119</v>
      </c>
      <c r="J22" s="60">
        <v>30.24394432936646</v>
      </c>
      <c r="K22" s="59">
        <v>63.778817497680677</v>
      </c>
      <c r="L22" s="2">
        <v>32.514691273327394</v>
      </c>
      <c r="M22" s="2">
        <v>31.264126224353262</v>
      </c>
      <c r="N22" s="63">
        <v>0</v>
      </c>
      <c r="O22" s="2">
        <v>0</v>
      </c>
      <c r="P22" s="62">
        <v>0</v>
      </c>
      <c r="Q22" s="2">
        <v>63.778817497680677</v>
      </c>
      <c r="R22" s="2">
        <v>32.514691273327394</v>
      </c>
      <c r="S22" s="60">
        <v>31.264126224353262</v>
      </c>
      <c r="T22" s="59">
        <v>65.923844482052687</v>
      </c>
      <c r="U22" s="2">
        <v>33.608234441830781</v>
      </c>
      <c r="V22" s="2">
        <v>32.315610040221905</v>
      </c>
      <c r="W22" s="63">
        <v>0</v>
      </c>
      <c r="X22" s="2">
        <v>0</v>
      </c>
      <c r="Y22" s="62">
        <v>0</v>
      </c>
      <c r="Z22" s="2">
        <v>65.923844482052687</v>
      </c>
      <c r="AA22" s="2">
        <v>33.608234441830781</v>
      </c>
      <c r="AB22" s="60">
        <v>32.315610040221905</v>
      </c>
    </row>
    <row r="23" spans="1:28" x14ac:dyDescent="0.2">
      <c r="A23" s="31" t="s">
        <v>29</v>
      </c>
      <c r="B23" s="63">
        <v>10.887819958571926</v>
      </c>
      <c r="C23" s="278">
        <v>6.0487888658732931</v>
      </c>
      <c r="D23" s="278">
        <v>4.8390310926986349</v>
      </c>
      <c r="E23" s="115">
        <v>0</v>
      </c>
      <c r="F23" s="286">
        <v>0</v>
      </c>
      <c r="G23" s="117">
        <v>0</v>
      </c>
      <c r="H23" s="278">
        <v>10.887819958571926</v>
      </c>
      <c r="I23" s="278">
        <v>6.0487888658732931</v>
      </c>
      <c r="J23" s="60">
        <v>4.8390310926986349</v>
      </c>
      <c r="K23" s="59">
        <v>11.255085440767166</v>
      </c>
      <c r="L23" s="2">
        <v>6.2528252448706478</v>
      </c>
      <c r="M23" s="2">
        <v>5.0022601958965183</v>
      </c>
      <c r="N23" s="63">
        <v>0</v>
      </c>
      <c r="O23" s="2">
        <v>0</v>
      </c>
      <c r="P23" s="62">
        <v>0</v>
      </c>
      <c r="Q23" s="2">
        <v>11.255085440767166</v>
      </c>
      <c r="R23" s="2">
        <v>6.2528252448706478</v>
      </c>
      <c r="S23" s="60">
        <v>5.0022601958965183</v>
      </c>
      <c r="T23" s="59">
        <v>11.633619614479885</v>
      </c>
      <c r="U23" s="2">
        <v>6.4631220080443814</v>
      </c>
      <c r="V23" s="2">
        <v>5.1704976064355055</v>
      </c>
      <c r="W23" s="63">
        <v>0</v>
      </c>
      <c r="X23" s="2">
        <v>0</v>
      </c>
      <c r="Y23" s="62">
        <v>0</v>
      </c>
      <c r="Z23" s="2">
        <v>11.633619614479885</v>
      </c>
      <c r="AA23" s="2">
        <v>6.4631220080443814</v>
      </c>
      <c r="AB23" s="60">
        <v>5.1704976064355055</v>
      </c>
    </row>
    <row r="24" spans="1:28" x14ac:dyDescent="0.2">
      <c r="A24" s="31" t="s">
        <v>30</v>
      </c>
      <c r="B24" s="63">
        <v>6.0487888658732931</v>
      </c>
      <c r="C24" s="278">
        <v>6.0487888658732931</v>
      </c>
      <c r="D24" s="278">
        <v>0</v>
      </c>
      <c r="E24" s="115">
        <v>0</v>
      </c>
      <c r="F24" s="286">
        <v>0</v>
      </c>
      <c r="G24" s="117">
        <v>0</v>
      </c>
      <c r="H24" s="278">
        <v>6.0487888658732931</v>
      </c>
      <c r="I24" s="278">
        <v>6.0487888658732931</v>
      </c>
      <c r="J24" s="60">
        <v>0</v>
      </c>
      <c r="K24" s="2">
        <v>6.2528252448706478</v>
      </c>
      <c r="L24" s="2">
        <v>6.2528252448706478</v>
      </c>
      <c r="M24" s="2">
        <v>0</v>
      </c>
      <c r="N24" s="63">
        <v>0</v>
      </c>
      <c r="O24" s="2">
        <v>0</v>
      </c>
      <c r="P24" s="62">
        <v>0</v>
      </c>
      <c r="Q24" s="2">
        <v>6.2528252448706478</v>
      </c>
      <c r="R24" s="2">
        <v>6.2528252448706478</v>
      </c>
      <c r="S24" s="60">
        <v>0</v>
      </c>
      <c r="T24" s="59">
        <v>6.4631220080443814</v>
      </c>
      <c r="U24" s="2">
        <v>6.4631220080443814</v>
      </c>
      <c r="V24" s="2">
        <v>0</v>
      </c>
      <c r="W24" s="63">
        <v>0</v>
      </c>
      <c r="X24" s="2">
        <v>0</v>
      </c>
      <c r="Y24" s="62">
        <v>0</v>
      </c>
      <c r="Z24" s="2">
        <v>6.4631220080443814</v>
      </c>
      <c r="AA24" s="2">
        <v>6.4631220080443814</v>
      </c>
      <c r="AB24" s="60">
        <v>0</v>
      </c>
    </row>
    <row r="25" spans="1:28" ht="12.75" thickBot="1" x14ac:dyDescent="0.25">
      <c r="A25" s="36" t="s">
        <v>31</v>
      </c>
      <c r="B25" s="123">
        <v>0</v>
      </c>
      <c r="C25" s="122">
        <v>0</v>
      </c>
      <c r="D25" s="124">
        <v>0</v>
      </c>
      <c r="E25" s="123">
        <v>0</v>
      </c>
      <c r="F25" s="122">
        <v>0</v>
      </c>
      <c r="G25" s="124">
        <v>0</v>
      </c>
      <c r="H25" s="123">
        <v>0</v>
      </c>
      <c r="I25" s="122">
        <v>0</v>
      </c>
      <c r="J25" s="125">
        <v>0</v>
      </c>
      <c r="K25" s="122">
        <v>0</v>
      </c>
      <c r="L25" s="122">
        <v>0</v>
      </c>
      <c r="M25" s="124">
        <v>0</v>
      </c>
      <c r="N25" s="123">
        <v>0</v>
      </c>
      <c r="O25" s="122">
        <v>0</v>
      </c>
      <c r="P25" s="124">
        <v>0</v>
      </c>
      <c r="Q25" s="123">
        <v>0</v>
      </c>
      <c r="R25" s="122">
        <v>0</v>
      </c>
      <c r="S25" s="125">
        <v>0</v>
      </c>
      <c r="T25" s="122">
        <v>0</v>
      </c>
      <c r="U25" s="122">
        <v>0</v>
      </c>
      <c r="V25" s="124">
        <v>0</v>
      </c>
      <c r="W25" s="123">
        <v>0</v>
      </c>
      <c r="X25" s="122">
        <v>0</v>
      </c>
      <c r="Y25" s="124">
        <v>0</v>
      </c>
      <c r="Z25" s="123">
        <v>0</v>
      </c>
      <c r="AA25" s="122">
        <v>0</v>
      </c>
      <c r="AB25" s="125">
        <v>0</v>
      </c>
    </row>
    <row r="26" spans="1:28" s="3" customFormat="1" x14ac:dyDescent="0.2">
      <c r="A26" s="51" t="s">
        <v>64</v>
      </c>
      <c r="B26" s="287">
        <v>3765.8070602081343</v>
      </c>
      <c r="C26" s="91">
        <v>1816.6861918500042</v>
      </c>
      <c r="D26" s="91">
        <v>1949.1208683580817</v>
      </c>
      <c r="E26" s="181">
        <v>0</v>
      </c>
      <c r="F26" s="228">
        <v>0</v>
      </c>
      <c r="G26" s="228">
        <v>0</v>
      </c>
      <c r="H26" s="153">
        <v>3765.8070602081343</v>
      </c>
      <c r="I26" s="164">
        <v>1816.6861918500042</v>
      </c>
      <c r="J26" s="176">
        <v>1949.1208683580817</v>
      </c>
      <c r="K26" s="103">
        <v>3892.8344128908197</v>
      </c>
      <c r="L26" s="103">
        <v>1877.9662399024255</v>
      </c>
      <c r="M26" s="103">
        <v>2014.8681729882383</v>
      </c>
      <c r="N26" s="183">
        <v>0</v>
      </c>
      <c r="O26" s="145">
        <v>0</v>
      </c>
      <c r="P26" s="145">
        <v>0</v>
      </c>
      <c r="Q26" s="160">
        <v>3892.8344128908197</v>
      </c>
      <c r="R26" s="103">
        <v>1877.9662399024255</v>
      </c>
      <c r="S26" s="176">
        <v>2014.8681729882383</v>
      </c>
      <c r="T26" s="103">
        <v>4023.7593059659116</v>
      </c>
      <c r="U26" s="103">
        <v>1941.1265244353765</v>
      </c>
      <c r="V26" s="103">
        <v>2082.6327815303703</v>
      </c>
      <c r="W26" s="185">
        <v>0</v>
      </c>
      <c r="X26" s="146">
        <v>0</v>
      </c>
      <c r="Y26" s="146">
        <v>0</v>
      </c>
      <c r="Z26" s="153">
        <v>4023.7593059659116</v>
      </c>
      <c r="AA26" s="101">
        <v>1941.1265244353765</v>
      </c>
      <c r="AB26" s="165">
        <v>2082.6327815303703</v>
      </c>
    </row>
    <row r="27" spans="1:28" x14ac:dyDescent="0.2">
      <c r="A27" s="51" t="s">
        <v>22</v>
      </c>
      <c r="B27" s="288">
        <v>167.82753799647864</v>
      </c>
      <c r="C27" s="96">
        <v>62.47594480160884</v>
      </c>
      <c r="D27" s="96">
        <v>105.35159319486999</v>
      </c>
      <c r="E27" s="140">
        <v>0</v>
      </c>
      <c r="F27" s="177">
        <v>0</v>
      </c>
      <c r="G27" s="141">
        <v>0</v>
      </c>
      <c r="H27" s="96">
        <v>167.82753799647864</v>
      </c>
      <c r="I27" s="96">
        <v>62.47594480160884</v>
      </c>
      <c r="J27" s="136">
        <v>105.35159319486999</v>
      </c>
      <c r="K27" s="96">
        <v>173.48865857915274</v>
      </c>
      <c r="L27" s="96">
        <v>64.583369252093192</v>
      </c>
      <c r="M27" s="96">
        <v>108.90528932705929</v>
      </c>
      <c r="N27" s="143">
        <v>0</v>
      </c>
      <c r="O27" s="178">
        <v>0</v>
      </c>
      <c r="P27" s="144">
        <v>0</v>
      </c>
      <c r="Q27" s="96">
        <v>173.48865857915274</v>
      </c>
      <c r="R27" s="96">
        <v>64.583369252093192</v>
      </c>
      <c r="S27" s="136">
        <v>108.90528932705929</v>
      </c>
      <c r="T27" s="96">
        <v>179.32347754782199</v>
      </c>
      <c r="U27" s="96">
        <v>66.755455145539727</v>
      </c>
      <c r="V27" s="96">
        <v>112.56802240228274</v>
      </c>
      <c r="W27" s="143">
        <v>0</v>
      </c>
      <c r="X27" s="178">
        <v>0</v>
      </c>
      <c r="Y27" s="144">
        <v>0</v>
      </c>
      <c r="Z27" s="96">
        <v>179.32347754782199</v>
      </c>
      <c r="AA27" s="96">
        <v>66.755455145539727</v>
      </c>
      <c r="AB27" s="136">
        <v>112.56802240228274</v>
      </c>
    </row>
    <row r="28" spans="1:28" ht="12.75" thickBot="1" x14ac:dyDescent="0.25">
      <c r="A28" s="52" t="s">
        <v>21</v>
      </c>
      <c r="B28" s="157">
        <v>3763.4041935763894</v>
      </c>
      <c r="C28" s="150">
        <v>1832.7849313475654</v>
      </c>
      <c r="D28" s="154">
        <v>1930.6192622289202</v>
      </c>
      <c r="E28" s="179">
        <v>0</v>
      </c>
      <c r="F28" s="179">
        <v>0</v>
      </c>
      <c r="G28" s="182">
        <v>0</v>
      </c>
      <c r="H28" s="150">
        <v>3763.4041935763894</v>
      </c>
      <c r="I28" s="150">
        <v>1832.7849313475654</v>
      </c>
      <c r="J28" s="152">
        <v>1930.6192622289202</v>
      </c>
      <c r="K28" s="150">
        <v>3890.3504933048134</v>
      </c>
      <c r="L28" s="150">
        <v>1894.6080184423627</v>
      </c>
      <c r="M28" s="150">
        <v>1995.7424748624499</v>
      </c>
      <c r="N28" s="184">
        <v>0</v>
      </c>
      <c r="O28" s="180">
        <v>0</v>
      </c>
      <c r="P28" s="180">
        <v>0</v>
      </c>
      <c r="Q28" s="157">
        <v>3890.3504933048134</v>
      </c>
      <c r="R28" s="150">
        <v>1894.6080184423627</v>
      </c>
      <c r="S28" s="152">
        <v>1995.7424748624499</v>
      </c>
      <c r="T28" s="150">
        <v>4021.1918465035478</v>
      </c>
      <c r="U28" s="150">
        <v>1958.328003914299</v>
      </c>
      <c r="V28" s="150">
        <v>2062.8638425892191</v>
      </c>
      <c r="W28" s="184">
        <v>0</v>
      </c>
      <c r="X28" s="180">
        <v>0</v>
      </c>
      <c r="Y28" s="180">
        <v>0</v>
      </c>
      <c r="Z28" s="157">
        <v>4021.1918465035478</v>
      </c>
      <c r="AA28" s="150">
        <v>1958.328003914299</v>
      </c>
      <c r="AB28" s="152">
        <v>2062.8638425892191</v>
      </c>
    </row>
    <row r="29" spans="1:28" x14ac:dyDescent="0.2">
      <c r="A29" s="280" t="s">
        <v>82</v>
      </c>
    </row>
    <row r="30" spans="1:28" x14ac:dyDescent="0.2">
      <c r="B30" s="6"/>
    </row>
    <row r="31" spans="1:28" x14ac:dyDescent="0.2">
      <c r="B31" s="186"/>
    </row>
  </sheetData>
  <mergeCells count="14">
    <mergeCell ref="A2:A4"/>
    <mergeCell ref="K2:S2"/>
    <mergeCell ref="T2:AB2"/>
    <mergeCell ref="A1:I1"/>
    <mergeCell ref="Q3:S3"/>
    <mergeCell ref="T3:V3"/>
    <mergeCell ref="W3:Y3"/>
    <mergeCell ref="Z3:AB3"/>
    <mergeCell ref="B2:J2"/>
    <mergeCell ref="B3:D3"/>
    <mergeCell ref="E3:G3"/>
    <mergeCell ref="H3:J3"/>
    <mergeCell ref="K3:M3"/>
    <mergeCell ref="N3:P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Moxico Leste</vt:lpstr>
      <vt:lpstr>Grupos etários</vt:lpstr>
      <vt:lpstr>Luau</vt:lpstr>
      <vt:lpstr>Cazombo</vt:lpstr>
      <vt:lpstr>Luacano</vt:lpstr>
      <vt:lpstr>Cameia</vt:lpstr>
      <vt:lpstr>Lago Dilolo</vt:lpstr>
      <vt:lpstr>Macondo</vt:lpstr>
      <vt:lpstr>Lóvua do Zambeze</vt:lpstr>
      <vt:lpstr>Nana Candundo</vt:lpstr>
      <vt:lpstr>Caianda</vt:lpstr>
      <vt:lpstr>Cameia!OLE_LINK1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Eliana  Quintas</cp:lastModifiedBy>
  <cp:lastPrinted>2025-09-19T12:30:52Z</cp:lastPrinted>
  <dcterms:created xsi:type="dcterms:W3CDTF">2025-08-25T11:22:45Z</dcterms:created>
  <dcterms:modified xsi:type="dcterms:W3CDTF">2026-03-27T10:38:39Z</dcterms:modified>
</cp:coreProperties>
</file>