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Z:\ESTIMATIVAS DA POPULAÇÃO\Estimativa 2025-2027 versão 2\SEM CÁLCULOS\"/>
    </mc:Choice>
  </mc:AlternateContent>
  <xr:revisionPtr revIDLastSave="0" documentId="13_ncr:1_{D90FA249-B2F2-45E9-8403-45B7830CA51F}" xr6:coauthVersionLast="47" xr6:coauthVersionMax="47" xr10:uidLastSave="{00000000-0000-0000-0000-000000000000}"/>
  <bookViews>
    <workbookView xWindow="-120" yWindow="-120" windowWidth="29040" windowHeight="15720" tabRatio="836" activeTab="15" xr2:uid="{00000000-000D-0000-FFFF-FFFF00000000}"/>
  </bookViews>
  <sheets>
    <sheet name="Lunda Sul" sheetId="22" r:id="rId1"/>
    <sheet name="Grupos etários" sheetId="19" r:id="rId2"/>
    <sheet name="Saurimo" sheetId="1" r:id="rId3"/>
    <sheet name="Muconda" sheetId="2" r:id="rId4"/>
    <sheet name="Cacolo" sheetId="3" r:id="rId5"/>
    <sheet name="Dala" sheetId="4" r:id="rId6"/>
    <sheet name="Chiluage" sheetId="18" r:id="rId7"/>
    <sheet name="Alto Chicapa" sheetId="17" r:id="rId8"/>
    <sheet name="Luma Cassai" sheetId="16" r:id="rId9"/>
    <sheet name="Sombo" sheetId="15" r:id="rId10"/>
    <sheet name="Cassengo" sheetId="20" r:id="rId11"/>
    <sheet name="Cassai- Sul" sheetId="21" r:id="rId12"/>
    <sheet name="Cazage" sheetId="13" r:id="rId13"/>
    <sheet name="Muangueji" sheetId="11" r:id="rId14"/>
    <sheet name="Muriege" sheetId="10" r:id="rId15"/>
    <sheet name="Xassengue" sheetId="9" r:id="rId16"/>
  </sheets>
  <definedNames>
    <definedName name="_Toc467739327" localSheetId="5">Dala!#REF!</definedName>
    <definedName name="_Toc470620764" localSheetId="2">Saurimo!#REF!</definedName>
    <definedName name="_Toc470620765" localSheetId="2">Saurimo!#REF!</definedName>
    <definedName name="_Toc470620766" localSheetId="2">Saurimo!#REF!</definedName>
    <definedName name="_Toc470620767" localSheetId="2">Saurimo!#REF!</definedName>
    <definedName name="_Toc470620768" localSheetId="2">Saurimo!#REF!</definedName>
    <definedName name="_Toc470620769" localSheetId="2">Saurimo!#REF!</definedName>
    <definedName name="_Toc470620770" localSheetId="2">Saurimo!#REF!</definedName>
    <definedName name="_Toc470620771" localSheetId="2">Saurimo!#REF!</definedName>
    <definedName name="_Toc470620772" localSheetId="2">Saurimo!#REF!</definedName>
    <definedName name="_Toc470620773" localSheetId="2">Saurimo!#REF!</definedName>
    <definedName name="_Toc470620774" localSheetId="2">Saurimo!#REF!</definedName>
    <definedName name="_Toc470620775" localSheetId="2">Saurimo!#REF!</definedName>
    <definedName name="_Toc470620776" localSheetId="2">Saurimo!#REF!</definedName>
    <definedName name="_Toc470620777" localSheetId="2">Saurimo!#REF!</definedName>
    <definedName name="_Toc470620778" localSheetId="2">Saurimo!#REF!</definedName>
    <definedName name="_Toc470620779" localSheetId="2">Saurimo!#REF!</definedName>
    <definedName name="_Toc470620780" localSheetId="2">Saurimo!#REF!</definedName>
    <definedName name="_Toc470620781" localSheetId="2">Saurimo!#REF!</definedName>
    <definedName name="_Toc470620782" localSheetId="2">Saurimo!#REF!</definedName>
    <definedName name="_Toc470620783" localSheetId="2">Saurimo!#REF!</definedName>
    <definedName name="_Toc470620784" localSheetId="2">Saurimo!#REF!</definedName>
    <definedName name="_Toc470620785" localSheetId="2">Saurimo!#REF!</definedName>
    <definedName name="_Toc470620786" localSheetId="2">Saurimo!#REF!</definedName>
    <definedName name="_Toc470620787" localSheetId="2">Saurimo!#REF!</definedName>
    <definedName name="_Toc470620788" localSheetId="2">Saurimo!#REF!</definedName>
    <definedName name="_Toc470620789" localSheetId="2">Saurimo!#REF!</definedName>
    <definedName name="_Toc470620790" localSheetId="2">Saurimo!#REF!</definedName>
    <definedName name="_Toc470620791" localSheetId="2">Saurimo!#REF!</definedName>
    <definedName name="_Toc470620792" localSheetId="2">Saurimo!#REF!</definedName>
    <definedName name="_Toc470620793" localSheetId="2">Saurimo!#REF!</definedName>
    <definedName name="_Toc470620794" localSheetId="2">Saurimo!#REF!</definedName>
    <definedName name="_Toc470620795" localSheetId="2">Saurimo!#REF!</definedName>
    <definedName name="_Toc470620796" localSheetId="2">Saurimo!#REF!</definedName>
    <definedName name="_Toc470620797" localSheetId="2">Saurimo!#REF!</definedName>
    <definedName name="_Toc470620798" localSheetId="2">Saurimo!#REF!</definedName>
    <definedName name="_Toc470620799" localSheetId="2">Saurimo!#REF!</definedName>
    <definedName name="_Toc470620800" localSheetId="2">Saurimo!#REF!</definedName>
    <definedName name="_Toc470620809" localSheetId="2">Saurimo!#REF!</definedName>
    <definedName name="_Toc470704477" localSheetId="5">Dala!#REF!</definedName>
    <definedName name="_Toc470704478" localSheetId="5">Dala!#REF!</definedName>
    <definedName name="_Toc470704479" localSheetId="5">Dala!#REF!</definedName>
    <definedName name="_Toc470704480" localSheetId="5">Dala!#REF!</definedName>
    <definedName name="_Toc470704481" localSheetId="5">Dala!#REF!</definedName>
    <definedName name="_Toc470704482" localSheetId="5">Dala!#REF!</definedName>
    <definedName name="_Toc470704483" localSheetId="5">Dala!#REF!</definedName>
    <definedName name="_Toc470704484" localSheetId="5">Dala!#REF!</definedName>
    <definedName name="_Toc470704485" localSheetId="5">Dala!#REF!</definedName>
    <definedName name="_Toc470704486" localSheetId="5">Dala!#REF!</definedName>
    <definedName name="_Toc470704487" localSheetId="5">Dala!#REF!</definedName>
    <definedName name="_Toc470704488" localSheetId="5">Dala!#REF!</definedName>
    <definedName name="_Toc470704489" localSheetId="5">Dala!#REF!</definedName>
    <definedName name="_Toc470704490" localSheetId="5">Dala!#REF!</definedName>
    <definedName name="_Toc470704491" localSheetId="5">Dala!#REF!</definedName>
    <definedName name="_Toc470704492" localSheetId="5">Dala!#REF!</definedName>
    <definedName name="_Toc470704493" localSheetId="5">Dala!#REF!</definedName>
    <definedName name="_Toc470704494" localSheetId="5">Dala!#REF!</definedName>
    <definedName name="_Toc470704495" localSheetId="5">Dala!#REF!</definedName>
    <definedName name="_Toc470704496" localSheetId="5">Dala!#REF!</definedName>
    <definedName name="_Toc470704498" localSheetId="5">Dala!#REF!</definedName>
    <definedName name="_Toc470704499" localSheetId="5">Dala!#REF!</definedName>
    <definedName name="_Toc470704500" localSheetId="5">Dala!#REF!</definedName>
    <definedName name="_Toc470704501" localSheetId="5">Dala!#REF!</definedName>
    <definedName name="_Toc470704502" localSheetId="5">Dala!#REF!</definedName>
    <definedName name="_Toc470704503" localSheetId="5">Dala!#REF!</definedName>
    <definedName name="_Toc470704504" localSheetId="5">Dala!#REF!</definedName>
    <definedName name="_Toc470704505" localSheetId="5">Dala!#REF!</definedName>
    <definedName name="_Toc470704506" localSheetId="5">Dala!#REF!</definedName>
    <definedName name="_Toc470704507" localSheetId="5">Dala!#REF!</definedName>
    <definedName name="_Toc470704508" localSheetId="5">Dala!#REF!</definedName>
    <definedName name="_Toc470704509" localSheetId="5">Dala!#REF!</definedName>
    <definedName name="_Toc470704510" localSheetId="5">Dala!#REF!</definedName>
    <definedName name="_Toc470704511" localSheetId="5">Dala!#REF!</definedName>
    <definedName name="_Toc470704512" localSheetId="5">Dala!#REF!</definedName>
    <definedName name="_Toc470704513" localSheetId="5">Dala!#REF!</definedName>
    <definedName name="_Toc470704522" localSheetId="5">Dala!#REF!</definedName>
    <definedName name="_Toc470707439" localSheetId="3">Muconda!#REF!</definedName>
    <definedName name="_Toc470707440" localSheetId="3">Muconda!#REF!</definedName>
    <definedName name="_Toc470707441" localSheetId="3">Muconda!#REF!</definedName>
    <definedName name="_Toc470707442" localSheetId="3">Muconda!#REF!</definedName>
    <definedName name="_Toc470707443" localSheetId="3">Muconda!#REF!</definedName>
    <definedName name="_Toc470707444" localSheetId="3">Muconda!#REF!</definedName>
    <definedName name="_Toc470707445" localSheetId="3">Muconda!#REF!</definedName>
    <definedName name="_Toc470707446" localSheetId="3">Muconda!#REF!</definedName>
    <definedName name="_Toc470707447" localSheetId="3">Muconda!#REF!</definedName>
    <definedName name="_Toc470707448" localSheetId="3">Muconda!#REF!</definedName>
    <definedName name="_Toc470707449" localSheetId="3">Muconda!#REF!</definedName>
    <definedName name="_Toc470707450" localSheetId="3">Muconda!#REF!</definedName>
    <definedName name="_Toc470707451" localSheetId="3">Muconda!#REF!</definedName>
    <definedName name="_Toc470707452" localSheetId="3">Muconda!#REF!</definedName>
    <definedName name="_Toc470707453" localSheetId="3">Muconda!#REF!</definedName>
    <definedName name="_Toc470707454" localSheetId="3">Muconda!#REF!</definedName>
    <definedName name="_Toc470707455" localSheetId="3">Muconda!#REF!</definedName>
    <definedName name="_Toc470707456" localSheetId="3">Muconda!#REF!</definedName>
    <definedName name="_Toc470707457" localSheetId="3">Muconda!#REF!</definedName>
    <definedName name="_Toc470707458" localSheetId="3">Muconda!#REF!</definedName>
    <definedName name="_Toc470707459" localSheetId="3">Muconda!#REF!</definedName>
    <definedName name="_Toc470707460" localSheetId="3">Muconda!#REF!</definedName>
    <definedName name="_Toc470707461" localSheetId="3">Muconda!#REF!</definedName>
    <definedName name="_Toc470707462" localSheetId="3">Muconda!#REF!</definedName>
    <definedName name="_Toc470707463" localSheetId="3">Muconda!#REF!</definedName>
    <definedName name="_Toc470707464" localSheetId="3">Muconda!#REF!</definedName>
    <definedName name="_Toc470707465" localSheetId="3">Muconda!#REF!</definedName>
    <definedName name="_Toc470707466" localSheetId="3">Muconda!#REF!</definedName>
    <definedName name="_Toc470707467" localSheetId="3">Muconda!#REF!</definedName>
    <definedName name="_Toc470707468" localSheetId="3">Muconda!#REF!</definedName>
    <definedName name="_Toc470707469" localSheetId="3">Muconda!#REF!</definedName>
    <definedName name="_Toc470707470" localSheetId="3">Muconda!#REF!</definedName>
    <definedName name="_Toc470707471" localSheetId="3">Muconda!#REF!</definedName>
    <definedName name="_Toc470707472" localSheetId="3">Muconda!#REF!</definedName>
    <definedName name="_Toc470707473" localSheetId="3">Muconda!#REF!</definedName>
    <definedName name="_Toc470707474" localSheetId="3">Muconda!#REF!</definedName>
    <definedName name="_Toc470707475" localSheetId="3">Muconda!#REF!</definedName>
    <definedName name="_Toc470707484" localSheetId="3">Muconda!#REF!</definedName>
    <definedName name="_Toc470777506" localSheetId="13">Muangueji!#REF!</definedName>
    <definedName name="_Toc470777507" localSheetId="13">Muangueji!#REF!</definedName>
    <definedName name="_Toc470777508" localSheetId="13">Muangueji!#REF!</definedName>
    <definedName name="_Toc470777509" localSheetId="13">Muangueji!#REF!</definedName>
    <definedName name="_Toc470777510" localSheetId="13">Muangueji!#REF!</definedName>
    <definedName name="_Toc470777511" localSheetId="13">Muangueji!#REF!</definedName>
    <definedName name="_Toc470777512" localSheetId="13">Muangueji!#REF!</definedName>
    <definedName name="_Toc470777513" localSheetId="13">Muangueji!#REF!</definedName>
    <definedName name="_Toc470777514" localSheetId="13">Muangueji!#REF!</definedName>
    <definedName name="_Toc470777515" localSheetId="13">Muangueji!#REF!</definedName>
    <definedName name="_Toc470777516" localSheetId="13">Muangueji!#REF!</definedName>
    <definedName name="_Toc470777517" localSheetId="13">Muangueji!#REF!</definedName>
    <definedName name="_Toc470777518" localSheetId="13">Muangueji!#REF!</definedName>
    <definedName name="_Toc470777519" localSheetId="13">Muangueji!#REF!</definedName>
    <definedName name="_Toc470777520" localSheetId="13">Muangueji!#REF!</definedName>
    <definedName name="_Toc470777521" localSheetId="13">Muangueji!#REF!</definedName>
    <definedName name="_Toc470777522" localSheetId="13">Muangueji!#REF!</definedName>
    <definedName name="_Toc470777523" localSheetId="13">Muangueji!#REF!</definedName>
    <definedName name="_Toc470777524" localSheetId="13">Muangueji!#REF!</definedName>
    <definedName name="_Toc470777525" localSheetId="13">Muangueji!#REF!</definedName>
    <definedName name="_Toc470777526" localSheetId="13">Muangueji!#REF!</definedName>
    <definedName name="_Toc470777527" localSheetId="13">Muangueji!#REF!</definedName>
    <definedName name="_Toc470777528" localSheetId="13">Muangueji!#REF!</definedName>
    <definedName name="_Toc470777529" localSheetId="13">Muangueji!#REF!</definedName>
    <definedName name="_Toc470777530" localSheetId="13">Muangueji!#REF!</definedName>
    <definedName name="_Toc470777531" localSheetId="13">Muangueji!#REF!</definedName>
    <definedName name="_Toc470777532" localSheetId="13">Muangueji!#REF!</definedName>
    <definedName name="_Toc470777533" localSheetId="13">Muangueji!#REF!</definedName>
    <definedName name="_Toc470777534" localSheetId="13">Muangueji!#REF!</definedName>
    <definedName name="_Toc470777535" localSheetId="13">Muangueji!#REF!</definedName>
    <definedName name="_Toc470777536" localSheetId="13">Muangueji!#REF!</definedName>
    <definedName name="_Toc470777537" localSheetId="13">Muangueji!#REF!</definedName>
    <definedName name="_Toc470777538" localSheetId="13">Muangueji!#REF!</definedName>
    <definedName name="_Toc470777539" localSheetId="13">Muangueji!#REF!</definedName>
    <definedName name="_Toc470777540" localSheetId="13">Muangueji!#REF!</definedName>
    <definedName name="_Toc470777541" localSheetId="13">Muangueji!#REF!</definedName>
    <definedName name="_Toc470777542" localSheetId="13">Muangueji!#REF!</definedName>
    <definedName name="_Toc470777549" localSheetId="13">Muangueji!#REF!</definedName>
    <definedName name="_Toc470789247" localSheetId="14">Muriege!#REF!</definedName>
    <definedName name="_Toc470789248" localSheetId="14">Muriege!#REF!</definedName>
    <definedName name="_Toc470789249" localSheetId="14">Muriege!#REF!</definedName>
    <definedName name="_Toc470789250" localSheetId="14">Muriege!#REF!</definedName>
    <definedName name="_Toc470789251" localSheetId="14">Muriege!#REF!</definedName>
    <definedName name="_Toc470789252" localSheetId="14">Muriege!#REF!</definedName>
    <definedName name="_Toc470789253" localSheetId="14">Muriege!#REF!</definedName>
    <definedName name="_Toc470789254" localSheetId="14">Muriege!#REF!</definedName>
    <definedName name="_Toc470789255" localSheetId="14">Muriege!#REF!</definedName>
    <definedName name="_Toc470789256" localSheetId="14">Muriege!#REF!</definedName>
    <definedName name="_Toc470789257" localSheetId="14">Muriege!#REF!</definedName>
    <definedName name="_Toc470789258" localSheetId="14">Muriege!#REF!</definedName>
    <definedName name="_Toc470789259" localSheetId="14">Muriege!#REF!</definedName>
    <definedName name="_Toc470789260" localSheetId="14">Muriege!#REF!</definedName>
    <definedName name="_Toc470789261" localSheetId="14">Muriege!#REF!</definedName>
    <definedName name="_Toc470789262" localSheetId="14">Muriege!#REF!</definedName>
    <definedName name="_Toc470789263" localSheetId="14">Muriege!#REF!</definedName>
    <definedName name="_Toc470789264" localSheetId="14">Muriege!#REF!</definedName>
    <definedName name="_Toc470789265" localSheetId="14">Muriege!#REF!</definedName>
    <definedName name="_Toc470789266" localSheetId="14">Muriege!#REF!</definedName>
    <definedName name="_Toc470789267" localSheetId="14">Muriege!#REF!</definedName>
    <definedName name="_Toc470789268" localSheetId="14">Muriege!#REF!</definedName>
    <definedName name="_Toc470789269" localSheetId="14">Muriege!#REF!</definedName>
    <definedName name="_Toc470789270" localSheetId="14">Muriege!#REF!</definedName>
    <definedName name="_Toc470789271" localSheetId="14">Muriege!#REF!</definedName>
    <definedName name="_Toc470789272" localSheetId="14">Muriege!#REF!</definedName>
    <definedName name="_Toc470789273" localSheetId="14">Muriege!#REF!</definedName>
    <definedName name="_Toc470789274" localSheetId="14">Muriege!#REF!</definedName>
    <definedName name="_Toc470789275" localSheetId="14">Muriege!#REF!</definedName>
    <definedName name="_Toc470789276" localSheetId="14">Muriege!#REF!</definedName>
    <definedName name="_Toc470789277" localSheetId="14">Muriege!#REF!</definedName>
    <definedName name="_Toc470789278" localSheetId="14">Muriege!#REF!</definedName>
    <definedName name="_Toc470789279" localSheetId="14">Muriege!#REF!</definedName>
    <definedName name="_Toc470789280" localSheetId="14">Muriege!#REF!</definedName>
    <definedName name="_Toc470789281" localSheetId="14">Muriege!#REF!</definedName>
    <definedName name="_Toc470789282" localSheetId="14">Muriege!#REF!</definedName>
    <definedName name="_Toc470789283" localSheetId="14">Muriege!#REF!</definedName>
    <definedName name="_Toc470789291" localSheetId="14">Muriege!#REF!</definedName>
    <definedName name="_Toc470881254" localSheetId="15">Xassengue!#REF!</definedName>
    <definedName name="_Toc470881255" localSheetId="15">Xassengue!#REF!</definedName>
    <definedName name="_Toc470881256" localSheetId="15">Xassengue!#REF!</definedName>
    <definedName name="_Toc470881257" localSheetId="15">Xassengue!#REF!</definedName>
    <definedName name="_Toc470881258" localSheetId="15">Xassengue!#REF!</definedName>
    <definedName name="_Toc470881259" localSheetId="15">Xassengue!#REF!</definedName>
    <definedName name="_Toc470881260" localSheetId="15">Xassengue!#REF!</definedName>
    <definedName name="_Toc470881261" localSheetId="15">Xassengue!#REF!</definedName>
    <definedName name="_Toc470881262" localSheetId="15">Xassengue!#REF!</definedName>
    <definedName name="_Toc470881263" localSheetId="15">Xassengue!#REF!</definedName>
    <definedName name="_Toc470881264" localSheetId="15">Xassengue!#REF!</definedName>
    <definedName name="_Toc470881265" localSheetId="15">Xassengue!#REF!</definedName>
    <definedName name="_Toc470881266" localSheetId="15">Xassengue!#REF!</definedName>
    <definedName name="_Toc470881267" localSheetId="15">Xassengue!#REF!</definedName>
    <definedName name="_Toc470881268" localSheetId="15">Xassengue!#REF!</definedName>
    <definedName name="_Toc470881269" localSheetId="15">Xassengue!#REF!</definedName>
    <definedName name="_Toc470881270" localSheetId="15">Xassengue!#REF!</definedName>
    <definedName name="_Toc470881271" localSheetId="15">Xassengue!#REF!</definedName>
    <definedName name="_Toc470881272" localSheetId="15">Xassengue!#REF!</definedName>
    <definedName name="_Toc470881273" localSheetId="15">Xassengue!#REF!</definedName>
    <definedName name="_Toc470881274" localSheetId="15">Xassengue!#REF!</definedName>
    <definedName name="_Toc470881275" localSheetId="15">Xassengue!#REF!</definedName>
    <definedName name="_Toc470881276" localSheetId="15">Xassengue!#REF!</definedName>
    <definedName name="_Toc470881277" localSheetId="15">Xassengue!#REF!</definedName>
    <definedName name="_Toc470881278" localSheetId="15">Xassengue!#REF!</definedName>
    <definedName name="_Toc470881279" localSheetId="15">Xassengue!#REF!</definedName>
    <definedName name="_Toc470881280" localSheetId="15">Xassengue!#REF!</definedName>
    <definedName name="_Toc470881281" localSheetId="15">Xassengue!#REF!</definedName>
    <definedName name="_Toc470881282" localSheetId="15">Xassengue!#REF!</definedName>
    <definedName name="_Toc470881283" localSheetId="15">Xassengue!#REF!</definedName>
    <definedName name="_Toc470881284" localSheetId="15">Xassengue!#REF!</definedName>
    <definedName name="_Toc470881285" localSheetId="15">Xassengue!#REF!</definedName>
    <definedName name="_Toc470881286" localSheetId="15">Xassengue!#REF!</definedName>
    <definedName name="_Toc470881287" localSheetId="15">Xassengue!#REF!</definedName>
    <definedName name="_Toc470881288" localSheetId="15">Xassengue!#REF!</definedName>
    <definedName name="_Toc470881289" localSheetId="15">Xassengue!#REF!</definedName>
    <definedName name="_Toc470881290" localSheetId="15">Xassengue!#REF!</definedName>
    <definedName name="_Toc470881303" localSheetId="15">Xassengue!#REF!</definedName>
    <definedName name="_Toc471738126" localSheetId="12">Cazage!#REF!</definedName>
    <definedName name="_Toc471738127" localSheetId="12">Cazage!#REF!</definedName>
    <definedName name="_Toc471738128" localSheetId="12">Cazage!#REF!</definedName>
    <definedName name="_Toc471738129" localSheetId="12">Cazage!#REF!</definedName>
    <definedName name="_Toc471738130" localSheetId="12">Cazage!#REF!</definedName>
    <definedName name="_Toc471738131" localSheetId="12">Cazage!#REF!</definedName>
    <definedName name="_Toc471738132" localSheetId="12">Cazage!#REF!</definedName>
    <definedName name="_Toc471738133" localSheetId="12">Cazage!#REF!</definedName>
    <definedName name="_Toc471738134" localSheetId="12">Cazage!#REF!</definedName>
    <definedName name="_Toc471738135" localSheetId="12">Cazage!#REF!</definedName>
    <definedName name="_Toc471738136" localSheetId="12">Cazage!#REF!</definedName>
    <definedName name="_Toc471738137" localSheetId="12">Cazage!#REF!</definedName>
    <definedName name="_Toc471738138" localSheetId="12">Cazage!#REF!</definedName>
    <definedName name="_Toc471738139" localSheetId="12">Cazage!#REF!</definedName>
    <definedName name="_Toc471738140" localSheetId="12">Cazage!#REF!</definedName>
    <definedName name="_Toc471738141" localSheetId="12">Cazage!#REF!</definedName>
    <definedName name="_Toc471738142" localSheetId="12">Cazage!#REF!</definedName>
    <definedName name="_Toc471738143" localSheetId="12">Cazage!#REF!</definedName>
    <definedName name="_Toc471738144" localSheetId="12">Cazage!#REF!</definedName>
    <definedName name="_Toc471738145" localSheetId="12">Cazage!#REF!</definedName>
    <definedName name="_Toc471738146" localSheetId="12">Cazage!#REF!</definedName>
    <definedName name="_Toc471738147" localSheetId="12">Cazage!#REF!</definedName>
    <definedName name="_Toc471738148" localSheetId="12">Cazage!#REF!</definedName>
    <definedName name="_Toc471738149" localSheetId="12">Cazage!#REF!</definedName>
    <definedName name="_Toc471738150" localSheetId="12">Cazage!#REF!</definedName>
    <definedName name="_Toc471738151" localSheetId="12">Cazage!#REF!</definedName>
    <definedName name="_Toc471738152" localSheetId="12">Cazage!#REF!</definedName>
    <definedName name="_Toc471738153" localSheetId="12">Cazage!#REF!</definedName>
    <definedName name="_Toc471738154" localSheetId="12">Cazage!#REF!</definedName>
    <definedName name="_Toc471738155" localSheetId="12">Cazage!#REF!</definedName>
    <definedName name="_Toc471738156" localSheetId="12">Cazage!#REF!</definedName>
    <definedName name="_Toc471738157" localSheetId="12">Cazage!#REF!</definedName>
    <definedName name="_Toc471738158" localSheetId="12">Cazage!#REF!</definedName>
    <definedName name="_Toc471738159" localSheetId="12">Cazage!#REF!</definedName>
    <definedName name="_Toc471738160" localSheetId="12">Cazage!#REF!</definedName>
    <definedName name="_Toc471738161" localSheetId="12">Cazage!#REF!</definedName>
    <definedName name="_Toc471738170" localSheetId="12">Cazage!#REF!</definedName>
    <definedName name="_Toc472320885" localSheetId="4">Cacolo!#REF!</definedName>
    <definedName name="_Toc472320886" localSheetId="4">Cacolo!#REF!</definedName>
    <definedName name="_Toc472320887" localSheetId="4">Cacolo!#REF!</definedName>
    <definedName name="_Toc472320888" localSheetId="4">Cacolo!#REF!</definedName>
    <definedName name="_Toc472320889" localSheetId="4">Cacolo!#REF!</definedName>
    <definedName name="_Toc472320890" localSheetId="4">Cacolo!#REF!</definedName>
    <definedName name="_Toc472320891" localSheetId="4">Cacolo!#REF!</definedName>
    <definedName name="_Toc472320892" localSheetId="4">Cacolo!#REF!</definedName>
    <definedName name="_Toc472320893" localSheetId="4">Cacolo!#REF!</definedName>
    <definedName name="_Toc472320894" localSheetId="4">Cacolo!#REF!</definedName>
    <definedName name="_Toc472320895" localSheetId="4">Cacolo!#REF!</definedName>
    <definedName name="_Toc472320896" localSheetId="4">Cacolo!#REF!</definedName>
    <definedName name="_Toc472320897" localSheetId="4">Cacolo!#REF!</definedName>
    <definedName name="_Toc472320898" localSheetId="4">Cacolo!#REF!</definedName>
    <definedName name="_Toc472320899" localSheetId="4">Cacolo!#REF!</definedName>
    <definedName name="_Toc472320900" localSheetId="4">Cacolo!#REF!</definedName>
    <definedName name="_Toc472320901" localSheetId="4">Cacolo!#REF!</definedName>
    <definedName name="_Toc472320902" localSheetId="4">Cacolo!#REF!</definedName>
    <definedName name="_Toc472320903" localSheetId="4">Cacolo!#REF!</definedName>
    <definedName name="_Toc472320904" localSheetId="4">Cacolo!#REF!</definedName>
    <definedName name="_Toc472320905" localSheetId="4">Cacolo!#REF!</definedName>
    <definedName name="_Toc472320906" localSheetId="4">Cacolo!#REF!</definedName>
    <definedName name="_Toc472320907" localSheetId="4">Cacolo!#REF!</definedName>
    <definedName name="_Toc472320908" localSheetId="4">Cacolo!#REF!</definedName>
    <definedName name="_Toc472320909" localSheetId="4">Cacolo!#REF!</definedName>
    <definedName name="_Toc472320910" localSheetId="4">Cacolo!#REF!</definedName>
    <definedName name="_Toc472320911" localSheetId="4">Cacolo!#REF!</definedName>
    <definedName name="_Toc472320912" localSheetId="4">Cacolo!#REF!</definedName>
    <definedName name="_Toc472320913" localSheetId="4">Cacolo!#REF!</definedName>
    <definedName name="_Toc472320914" localSheetId="4">Cacolo!#REF!</definedName>
    <definedName name="_Toc472320915" localSheetId="4">Cacolo!#REF!</definedName>
    <definedName name="_Toc472320916" localSheetId="4">Cacolo!#REF!</definedName>
    <definedName name="_Toc472320917" localSheetId="4">Cacolo!#REF!</definedName>
    <definedName name="_Toc472320918" localSheetId="4">Cacolo!#REF!</definedName>
    <definedName name="_Toc472320919" localSheetId="4">Cacolo!#REF!</definedName>
    <definedName name="_Toc472320920" localSheetId="4">Cacolo!#REF!</definedName>
    <definedName name="_Toc472320921" localSheetId="4">Cacolo!#REF!</definedName>
    <definedName name="_Toc472320929" localSheetId="4">Cacolo!#REF!</definedName>
    <definedName name="OLE_LINK1" localSheetId="5">Dala!$M$11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A5" i="22" l="1"/>
  <c r="AB5" i="22"/>
  <c r="Z5" i="22"/>
  <c r="X5" i="22"/>
  <c r="Y5" i="22"/>
  <c r="W5" i="22"/>
  <c r="R5" i="22"/>
  <c r="S5" i="22"/>
  <c r="Q5" i="22"/>
  <c r="O5" i="22"/>
  <c r="P5" i="22"/>
  <c r="N5" i="22"/>
  <c r="F5" i="22"/>
  <c r="G5" i="22"/>
  <c r="E5" i="22"/>
</calcChain>
</file>

<file path=xl/sharedStrings.xml><?xml version="1.0" encoding="utf-8"?>
<sst xmlns="http://schemas.openxmlformats.org/spreadsheetml/2006/main" count="1047" uniqueCount="122">
  <si>
    <t>Total</t>
  </si>
  <si>
    <t>Urbana</t>
  </si>
  <si>
    <t>Rural</t>
  </si>
  <si>
    <t>Homens</t>
  </si>
  <si>
    <t>Mulheres</t>
  </si>
  <si>
    <t>0-4 anos</t>
  </si>
  <si>
    <t>5-9 anos</t>
  </si>
  <si>
    <t>10-14 anos</t>
  </si>
  <si>
    <t>15-19 anos</t>
  </si>
  <si>
    <t>20-24 anos</t>
  </si>
  <si>
    <t>25-29 anos</t>
  </si>
  <si>
    <t>30-34 anos</t>
  </si>
  <si>
    <t>35-39 anos</t>
  </si>
  <si>
    <t>40-44 anos</t>
  </si>
  <si>
    <t>45-49 anos</t>
  </si>
  <si>
    <t>50-54 anos</t>
  </si>
  <si>
    <t>55-59 anos</t>
  </si>
  <si>
    <t>60-64 anos</t>
  </si>
  <si>
    <t>65-69 anos</t>
  </si>
  <si>
    <t>70-74 anos</t>
  </si>
  <si>
    <t>75-79 anos</t>
  </si>
  <si>
    <t>18 ou mais anos</t>
  </si>
  <si>
    <t>18 anos</t>
  </si>
  <si>
    <t xml:space="preserve">    18 anos</t>
  </si>
  <si>
    <t>Lunda Sul 2025</t>
  </si>
  <si>
    <t xml:space="preserve"> Lunda -Sul 2026 </t>
  </si>
  <si>
    <t>Lunda - Sul 2027</t>
  </si>
  <si>
    <t>80 -84 anos</t>
  </si>
  <si>
    <t>85-89 anos</t>
  </si>
  <si>
    <t>90-94 anos</t>
  </si>
  <si>
    <t>95 ou mais anos</t>
  </si>
  <si>
    <t>85 - 89 anos</t>
  </si>
  <si>
    <t>90 -94 anos</t>
  </si>
  <si>
    <t>Saurimo 2025</t>
  </si>
  <si>
    <t>Saurimo 2026</t>
  </si>
  <si>
    <t>Saurimo 2027</t>
  </si>
  <si>
    <t xml:space="preserve">Grupos etários </t>
  </si>
  <si>
    <t>Muconda 2025</t>
  </si>
  <si>
    <t>Muconda 2026</t>
  </si>
  <si>
    <t>Muconda 2027</t>
  </si>
  <si>
    <t xml:space="preserve">    80 - 84 anos</t>
  </si>
  <si>
    <t>85 -89 anos</t>
  </si>
  <si>
    <t>90 - 94 anos</t>
  </si>
  <si>
    <t>Cacolo 2025</t>
  </si>
  <si>
    <t>Cacolo 2026</t>
  </si>
  <si>
    <t>cacolo  2027</t>
  </si>
  <si>
    <t>Dala  2026</t>
  </si>
  <si>
    <t>Chiluage 2025</t>
  </si>
  <si>
    <t>Chiluage 2026</t>
  </si>
  <si>
    <t>Chiluage 2027</t>
  </si>
  <si>
    <t>Alto Chicapa 2025</t>
  </si>
  <si>
    <t xml:space="preserve"> Alto Chicapa 2026</t>
  </si>
  <si>
    <t xml:space="preserve"> Alto Chicapa 2027</t>
  </si>
  <si>
    <t>80-84 anos</t>
  </si>
  <si>
    <t>Luma Cassai 2025</t>
  </si>
  <si>
    <t>Luma Cassai 2026</t>
  </si>
  <si>
    <t>Luma Cassai 2027</t>
  </si>
  <si>
    <t>85 - 85 anos</t>
  </si>
  <si>
    <t>95ou mais anos</t>
  </si>
  <si>
    <t>Sombo 2025</t>
  </si>
  <si>
    <t>Sombo 2026</t>
  </si>
  <si>
    <t>Sombo 2027</t>
  </si>
  <si>
    <t>Sombo</t>
  </si>
  <si>
    <t>Luma Cassai</t>
  </si>
  <si>
    <t>Alto Chicapa</t>
  </si>
  <si>
    <t>Chiluage</t>
  </si>
  <si>
    <t>Dala</t>
  </si>
  <si>
    <t xml:space="preserve">Cacolo </t>
  </si>
  <si>
    <t xml:space="preserve">Muconda </t>
  </si>
  <si>
    <t xml:space="preserve">Saurimo </t>
  </si>
  <si>
    <t xml:space="preserve">Lunda Sul </t>
  </si>
  <si>
    <t>Dala  2027</t>
  </si>
  <si>
    <t>Cassengo</t>
  </si>
  <si>
    <t>Cassengo 2025</t>
  </si>
  <si>
    <t>Cassengo 2026</t>
  </si>
  <si>
    <t>Cassengo 2027</t>
  </si>
  <si>
    <t>Cassai Sul</t>
  </si>
  <si>
    <t>Cassai - Sul  2025</t>
  </si>
  <si>
    <t>Cassai - Sul  2026</t>
  </si>
  <si>
    <t>Cassai - Sul  2027</t>
  </si>
  <si>
    <t>90 -95 anos</t>
  </si>
  <si>
    <t>Cazage</t>
  </si>
  <si>
    <t>Cazage 2026</t>
  </si>
  <si>
    <t>Cazage 2025</t>
  </si>
  <si>
    <t>Cazage 2027</t>
  </si>
  <si>
    <t>Muangueji 2025</t>
  </si>
  <si>
    <t>Muangueji 2026</t>
  </si>
  <si>
    <t>Muangueji 2027</t>
  </si>
  <si>
    <t>Muriege  2025</t>
  </si>
  <si>
    <t>Muriege</t>
  </si>
  <si>
    <t>Muriege  2026</t>
  </si>
  <si>
    <t>Muriege  2027</t>
  </si>
  <si>
    <t>Xassengue</t>
  </si>
  <si>
    <t>Xassengue 2025</t>
  </si>
  <si>
    <t>Xassengue 2026</t>
  </si>
  <si>
    <t>Xassengue 2027</t>
  </si>
  <si>
    <t>95 ou mais    anos</t>
  </si>
  <si>
    <t>0 - 17 anos</t>
  </si>
  <si>
    <t>Saurimo</t>
  </si>
  <si>
    <t>Muconda</t>
  </si>
  <si>
    <t>Cacolo</t>
  </si>
  <si>
    <t>Cassai-Sul</t>
  </si>
  <si>
    <t>Muangueji</t>
  </si>
  <si>
    <t>Municipios</t>
  </si>
  <si>
    <t>Dala  2025</t>
  </si>
  <si>
    <t>Quadro 0.1 - População estimada por grupos etários, segundo a área de residência e sexo, Lunda- Sul 2025-2027</t>
  </si>
  <si>
    <t>Quadro 0.0 - População estimada por municípios, segundo o sexo, Lunda- Sul 2025-2027</t>
  </si>
  <si>
    <t>Quadro 1 - População estimada por grupos etários, segundo a área de residência e sexo, Saurimo 2025-2027</t>
  </si>
  <si>
    <t>Quadro 2 - População estimada por grupos etários, segundo a área de residência e sexo, Muconda 2025-2027</t>
  </si>
  <si>
    <t>Quadro 3 - População estimada por grupos etários, segundo a área de residência e sexo, Cacolo 2025-2027</t>
  </si>
  <si>
    <t>Quadro 4 - População estimada por grupos etários, segundo a área de residência e sexo, Dala 2025-2027</t>
  </si>
  <si>
    <t>Quadro 5 - População estimada por grupos etários, segundo a área de residência e sexo, Chiluage 2025-2027</t>
  </si>
  <si>
    <t>Quadro 6 - População estimada por grupos etários, segundo a área de residência e sexo, Alto Chicapa 2025-2027</t>
  </si>
  <si>
    <t>Quadro 7 - População estimada por grupos etários, segundo a área de residência e sexo, Luma Cassai 2025-2027</t>
  </si>
  <si>
    <t>Quadro 8 - População estimada por grupos etários, segundo a área de residência e sexo, Sombo 2025-2027</t>
  </si>
  <si>
    <t>Quadro 9 - População estimada por grupos etários, segundo a área de residência e sexo, Cassengo 2025-2027</t>
  </si>
  <si>
    <t>Quadro 10 - População estimada por grupos etários, segundo a área de residência e sexo, Cassai -Sul 2025-2027</t>
  </si>
  <si>
    <t>Quadro 11 - População estimada por grupos etários, segundo a área de residência e sexo, Cazage 2025-2027</t>
  </si>
  <si>
    <t>Quadro 12 - População estimada por grupos etários, segundo a área de residência e sexo, Muangueji  2025-2027</t>
  </si>
  <si>
    <t>Quadro 13 - População estimada por grupos etários, segundo a área de residência e sexo, Muriege  2025-2027</t>
  </si>
  <si>
    <t>Quadro 14 - População estimada por grupos etários, segundo a área de residência e sexo, Xassengue  2025-2027</t>
  </si>
  <si>
    <r>
      <rPr>
        <b/>
        <sz val="9"/>
        <color rgb="FF000000"/>
        <rFont val="Calibri"/>
        <family val="2"/>
      </rPr>
      <t xml:space="preserve">Fonte: </t>
    </r>
    <r>
      <rPr>
        <sz val="9"/>
        <color rgb="FF000000"/>
        <rFont val="Calibri"/>
        <family val="2"/>
      </rPr>
      <t xml:space="preserve">INE -  Direcção de Estatísticas Demográficas e Sociais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</si>
</sst>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"/>
    <numFmt numFmtId="165" formatCode="_-* #,##0_-;\-* #,##0_-;_-* &quot;-&quot;??_-;_-@_-"/>
    <numFmt numFmtId="166" formatCode="#,##0_ ;\-#,##0\ "/>
  </numFmts>
  <fonts count="12" x14ac:knownFonts="1">
    <font>
      <sz val="11"/>
      <color theme="1"/>
      <name val="Aptos Narrow"/>
      <family val="2"/>
      <scheme val="minor"/>
    </font>
    <font>
      <b/>
      <sz val="9"/>
      <color theme="1"/>
      <name val="Calibri"/>
      <family val="2"/>
    </font>
    <font>
      <sz val="9"/>
      <color theme="1"/>
      <name val="Calibri"/>
      <family val="2"/>
    </font>
    <font>
      <b/>
      <sz val="9"/>
      <color rgb="FF000000"/>
      <name val="Calibri"/>
      <family val="2"/>
    </font>
    <font>
      <sz val="9"/>
      <color rgb="FF000000"/>
      <name val="Calibri"/>
      <family val="2"/>
    </font>
    <font>
      <sz val="8"/>
      <name val="Aptos Narrow"/>
      <family val="2"/>
      <scheme val="minor"/>
    </font>
    <font>
      <sz val="10"/>
      <name val="Arial"/>
      <family val="2"/>
    </font>
    <font>
      <sz val="9"/>
      <name val="Calibri"/>
      <family val="2"/>
    </font>
    <font>
      <b/>
      <sz val="9"/>
      <name val="Calibri"/>
      <family val="2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9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6" fillId="0" borderId="0"/>
    <xf numFmtId="43" fontId="9" fillId="0" borderId="0" applyFont="0" applyFill="0" applyBorder="0" applyAlignment="0" applyProtection="0"/>
    <xf numFmtId="0" fontId="10" fillId="0" borderId="0"/>
  </cellStyleXfs>
  <cellXfs count="269">
    <xf numFmtId="0" fontId="0" fillId="0" borderId="0" xfId="0"/>
    <xf numFmtId="0" fontId="2" fillId="2" borderId="0" xfId="0" applyFont="1" applyFill="1"/>
    <xf numFmtId="0" fontId="2" fillId="2" borderId="1" xfId="0" applyFont="1" applyFill="1" applyBorder="1" applyAlignment="1">
      <alignment horizontal="right" vertical="center"/>
    </xf>
    <xf numFmtId="3" fontId="2" fillId="2" borderId="0" xfId="0" applyNumberFormat="1" applyFont="1" applyFill="1" applyAlignment="1">
      <alignment horizontal="right" vertical="center"/>
    </xf>
    <xf numFmtId="0" fontId="2" fillId="2" borderId="0" xfId="0" applyFont="1" applyFill="1" applyAlignment="1">
      <alignment horizontal="right" vertical="center"/>
    </xf>
    <xf numFmtId="0" fontId="7" fillId="2" borderId="0" xfId="0" applyFont="1" applyFill="1"/>
    <xf numFmtId="0" fontId="1" fillId="2" borderId="0" xfId="0" applyFont="1" applyFill="1"/>
    <xf numFmtId="3" fontId="2" fillId="2" borderId="1" xfId="0" applyNumberFormat="1" applyFont="1" applyFill="1" applyBorder="1" applyAlignment="1">
      <alignment horizontal="right" vertical="center"/>
    </xf>
    <xf numFmtId="3" fontId="2" fillId="2" borderId="0" xfId="0" applyNumberFormat="1" applyFont="1" applyFill="1"/>
    <xf numFmtId="0" fontId="7" fillId="2" borderId="1" xfId="1" applyFont="1" applyFill="1" applyBorder="1" applyAlignment="1">
      <alignment horizontal="center" vertical="center" wrapText="1"/>
    </xf>
    <xf numFmtId="0" fontId="7" fillId="2" borderId="1" xfId="1" applyFont="1" applyFill="1" applyBorder="1" applyAlignment="1">
      <alignment horizontal="center" wrapText="1"/>
    </xf>
    <xf numFmtId="0" fontId="8" fillId="2" borderId="5" xfId="0" applyFont="1" applyFill="1" applyBorder="1" applyAlignment="1">
      <alignment horizontal="center"/>
    </xf>
    <xf numFmtId="0" fontId="8" fillId="2" borderId="12" xfId="0" applyFont="1" applyFill="1" applyBorder="1" applyAlignment="1">
      <alignment horizontal="center"/>
    </xf>
    <xf numFmtId="0" fontId="8" fillId="2" borderId="5" xfId="1" applyFont="1" applyFill="1" applyBorder="1" applyAlignment="1">
      <alignment horizontal="center" vertical="center" wrapText="1"/>
    </xf>
    <xf numFmtId="0" fontId="8" fillId="2" borderId="12" xfId="1" applyFont="1" applyFill="1" applyBorder="1" applyAlignment="1">
      <alignment horizontal="center" vertical="center" wrapText="1"/>
    </xf>
    <xf numFmtId="0" fontId="8" fillId="2" borderId="13" xfId="0" applyFont="1" applyFill="1" applyBorder="1" applyAlignment="1">
      <alignment horizontal="center"/>
    </xf>
    <xf numFmtId="0" fontId="7" fillId="2" borderId="16" xfId="1" applyFont="1" applyFill="1" applyBorder="1" applyAlignment="1">
      <alignment horizontal="center" wrapText="1"/>
    </xf>
    <xf numFmtId="0" fontId="7" fillId="2" borderId="1" xfId="1" applyFont="1" applyFill="1" applyBorder="1" applyAlignment="1">
      <alignment horizontal="center"/>
    </xf>
    <xf numFmtId="0" fontId="7" fillId="2" borderId="15" xfId="1" applyFont="1" applyFill="1" applyBorder="1" applyAlignment="1">
      <alignment horizontal="center" wrapText="1"/>
    </xf>
    <xf numFmtId="0" fontId="7" fillId="2" borderId="17" xfId="1" applyFont="1" applyFill="1" applyBorder="1" applyAlignment="1">
      <alignment horizontal="center"/>
    </xf>
    <xf numFmtId="0" fontId="7" fillId="2" borderId="6" xfId="1" applyFont="1" applyFill="1" applyBorder="1" applyAlignment="1">
      <alignment horizontal="center" wrapText="1"/>
    </xf>
    <xf numFmtId="0" fontId="7" fillId="2" borderId="18" xfId="1" applyFont="1" applyFill="1" applyBorder="1" applyAlignment="1">
      <alignment horizontal="center" wrapText="1"/>
    </xf>
    <xf numFmtId="0" fontId="8" fillId="2" borderId="14" xfId="1" applyFont="1" applyFill="1" applyBorder="1" applyAlignment="1">
      <alignment vertical="center" wrapText="1"/>
    </xf>
    <xf numFmtId="165" fontId="8" fillId="2" borderId="1" xfId="2" applyNumberFormat="1" applyFont="1" applyFill="1" applyBorder="1" applyAlignment="1">
      <alignment vertical="center" wrapText="1"/>
    </xf>
    <xf numFmtId="165" fontId="8" fillId="2" borderId="16" xfId="2" applyNumberFormat="1" applyFont="1" applyFill="1" applyBorder="1" applyAlignment="1">
      <alignment vertical="center" wrapText="1"/>
    </xf>
    <xf numFmtId="165" fontId="8" fillId="2" borderId="15" xfId="2" applyNumberFormat="1" applyFont="1" applyFill="1" applyBorder="1" applyAlignment="1">
      <alignment vertical="center" wrapText="1"/>
    </xf>
    <xf numFmtId="165" fontId="8" fillId="2" borderId="19" xfId="2" applyNumberFormat="1" applyFont="1" applyFill="1" applyBorder="1" applyAlignment="1">
      <alignment vertical="center" wrapText="1"/>
    </xf>
    <xf numFmtId="165" fontId="8" fillId="2" borderId="17" xfId="2" applyNumberFormat="1" applyFont="1" applyFill="1" applyBorder="1" applyAlignment="1">
      <alignment vertical="center" wrapText="1"/>
    </xf>
    <xf numFmtId="165" fontId="8" fillId="2" borderId="6" xfId="2" applyNumberFormat="1" applyFont="1" applyFill="1" applyBorder="1" applyAlignment="1">
      <alignment vertical="center" wrapText="1"/>
    </xf>
    <xf numFmtId="165" fontId="8" fillId="2" borderId="18" xfId="2" applyNumberFormat="1" applyFont="1" applyFill="1" applyBorder="1" applyAlignment="1">
      <alignment vertical="center" wrapText="1"/>
    </xf>
    <xf numFmtId="165" fontId="8" fillId="2" borderId="14" xfId="2" applyNumberFormat="1" applyFont="1" applyFill="1" applyBorder="1" applyAlignment="1">
      <alignment vertical="center" wrapText="1"/>
    </xf>
    <xf numFmtId="0" fontId="7" fillId="2" borderId="20" xfId="1" applyFont="1" applyFill="1" applyBorder="1" applyAlignment="1">
      <alignment horizontal="left" vertical="top" wrapText="1" indent="1"/>
    </xf>
    <xf numFmtId="165" fontId="7" fillId="2" borderId="0" xfId="2" applyNumberFormat="1" applyFont="1" applyFill="1" applyBorder="1" applyAlignment="1">
      <alignment horizontal="right" vertical="center"/>
    </xf>
    <xf numFmtId="165" fontId="7" fillId="2" borderId="21" xfId="2" applyNumberFormat="1" applyFont="1" applyFill="1" applyBorder="1" applyAlignment="1">
      <alignment horizontal="right" vertical="center"/>
    </xf>
    <xf numFmtId="165" fontId="7" fillId="2" borderId="22" xfId="2" applyNumberFormat="1" applyFont="1" applyFill="1" applyBorder="1" applyAlignment="1">
      <alignment horizontal="right" vertical="center"/>
    </xf>
    <xf numFmtId="165" fontId="7" fillId="2" borderId="23" xfId="2" applyNumberFormat="1" applyFont="1" applyFill="1" applyBorder="1" applyAlignment="1">
      <alignment horizontal="right" vertical="center"/>
    </xf>
    <xf numFmtId="0" fontId="7" fillId="2" borderId="20" xfId="0" applyFont="1" applyFill="1" applyBorder="1" applyAlignment="1">
      <alignment horizontal="left" indent="1"/>
    </xf>
    <xf numFmtId="165" fontId="7" fillId="2" borderId="0" xfId="2" applyNumberFormat="1" applyFont="1" applyFill="1" applyBorder="1"/>
    <xf numFmtId="165" fontId="7" fillId="2" borderId="21" xfId="2" applyNumberFormat="1" applyFont="1" applyFill="1" applyBorder="1"/>
    <xf numFmtId="165" fontId="7" fillId="2" borderId="22" xfId="2" applyNumberFormat="1" applyFont="1" applyFill="1" applyBorder="1"/>
    <xf numFmtId="165" fontId="7" fillId="2" borderId="23" xfId="2" applyNumberFormat="1" applyFont="1" applyFill="1" applyBorder="1"/>
    <xf numFmtId="0" fontId="7" fillId="2" borderId="14" xfId="0" applyFont="1" applyFill="1" applyBorder="1" applyAlignment="1">
      <alignment horizontal="left" indent="1"/>
    </xf>
    <xf numFmtId="165" fontId="7" fillId="2" borderId="1" xfId="2" applyNumberFormat="1" applyFont="1" applyFill="1" applyBorder="1"/>
    <xf numFmtId="165" fontId="7" fillId="2" borderId="16" xfId="2" applyNumberFormat="1" applyFont="1" applyFill="1" applyBorder="1"/>
    <xf numFmtId="165" fontId="7" fillId="2" borderId="15" xfId="2" applyNumberFormat="1" applyFont="1" applyFill="1" applyBorder="1"/>
    <xf numFmtId="165" fontId="7" fillId="2" borderId="19" xfId="2" applyNumberFormat="1" applyFont="1" applyFill="1" applyBorder="1"/>
    <xf numFmtId="0" fontId="7" fillId="2" borderId="20" xfId="0" applyFont="1" applyFill="1" applyBorder="1" applyAlignment="1">
      <alignment horizontal="left" vertical="center" indent="1"/>
    </xf>
    <xf numFmtId="165" fontId="7" fillId="2" borderId="0" xfId="2" applyNumberFormat="1" applyFont="1" applyFill="1" applyBorder="1" applyAlignment="1">
      <alignment vertical="center"/>
    </xf>
    <xf numFmtId="165" fontId="7" fillId="2" borderId="21" xfId="2" applyNumberFormat="1" applyFont="1" applyFill="1" applyBorder="1" applyAlignment="1">
      <alignment vertical="center"/>
    </xf>
    <xf numFmtId="165" fontId="7" fillId="2" borderId="22" xfId="2" applyNumberFormat="1" applyFont="1" applyFill="1" applyBorder="1" applyAlignment="1">
      <alignment vertical="center"/>
    </xf>
    <xf numFmtId="165" fontId="7" fillId="2" borderId="23" xfId="2" applyNumberFormat="1" applyFont="1" applyFill="1" applyBorder="1" applyAlignment="1">
      <alignment vertical="center"/>
    </xf>
    <xf numFmtId="0" fontId="7" fillId="2" borderId="14" xfId="0" applyFont="1" applyFill="1" applyBorder="1" applyAlignment="1">
      <alignment horizontal="left" vertical="center" indent="1"/>
    </xf>
    <xf numFmtId="165" fontId="7" fillId="2" borderId="1" xfId="2" applyNumberFormat="1" applyFont="1" applyFill="1" applyBorder="1" applyAlignment="1">
      <alignment vertical="center"/>
    </xf>
    <xf numFmtId="165" fontId="7" fillId="2" borderId="16" xfId="2" applyNumberFormat="1" applyFont="1" applyFill="1" applyBorder="1" applyAlignment="1">
      <alignment vertical="center"/>
    </xf>
    <xf numFmtId="165" fontId="7" fillId="2" borderId="15" xfId="2" applyNumberFormat="1" applyFont="1" applyFill="1" applyBorder="1" applyAlignment="1">
      <alignment vertical="center"/>
    </xf>
    <xf numFmtId="165" fontId="7" fillId="2" borderId="19" xfId="2" applyNumberFormat="1" applyFont="1" applyFill="1" applyBorder="1" applyAlignment="1">
      <alignment vertical="center"/>
    </xf>
    <xf numFmtId="164" fontId="7" fillId="2" borderId="0" xfId="0" applyNumberFormat="1" applyFont="1" applyFill="1" applyAlignment="1">
      <alignment horizontal="right"/>
    </xf>
    <xf numFmtId="0" fontId="8" fillId="2" borderId="0" xfId="0" applyFont="1" applyFill="1" applyAlignment="1">
      <alignment vertical="center"/>
    </xf>
    <xf numFmtId="0" fontId="8" fillId="0" borderId="4" xfId="1" applyFont="1" applyBorder="1" applyAlignment="1">
      <alignment vertical="center" wrapText="1"/>
    </xf>
    <xf numFmtId="0" fontId="8" fillId="2" borderId="4" xfId="1" applyFont="1" applyFill="1" applyBorder="1" applyAlignment="1">
      <alignment vertical="center" wrapText="1"/>
    </xf>
    <xf numFmtId="0" fontId="4" fillId="2" borderId="0" xfId="0" applyFont="1" applyFill="1" applyAlignment="1">
      <alignment vertical="center"/>
    </xf>
    <xf numFmtId="0" fontId="8" fillId="2" borderId="1" xfId="0" applyFont="1" applyFill="1" applyBorder="1" applyAlignment="1">
      <alignment vertical="center"/>
    </xf>
    <xf numFmtId="3" fontId="2" fillId="2" borderId="20" xfId="0" applyNumberFormat="1" applyFont="1" applyFill="1" applyBorder="1" applyAlignment="1">
      <alignment horizontal="right" vertical="center"/>
    </xf>
    <xf numFmtId="3" fontId="2" fillId="2" borderId="22" xfId="0" applyNumberFormat="1" applyFont="1" applyFill="1" applyBorder="1" applyAlignment="1">
      <alignment horizontal="right" vertical="center"/>
    </xf>
    <xf numFmtId="3" fontId="1" fillId="2" borderId="1" xfId="0" applyNumberFormat="1" applyFont="1" applyFill="1" applyBorder="1" applyAlignment="1">
      <alignment horizontal="right" vertical="center" wrapText="1"/>
    </xf>
    <xf numFmtId="3" fontId="2" fillId="2" borderId="14" xfId="0" applyNumberFormat="1" applyFont="1" applyFill="1" applyBorder="1" applyAlignment="1">
      <alignment horizontal="right" vertical="center"/>
    </xf>
    <xf numFmtId="3" fontId="2" fillId="2" borderId="15" xfId="0" applyNumberFormat="1" applyFont="1" applyFill="1" applyBorder="1" applyAlignment="1">
      <alignment horizontal="right" vertical="center"/>
    </xf>
    <xf numFmtId="3" fontId="2" fillId="2" borderId="21" xfId="0" applyNumberFormat="1" applyFont="1" applyFill="1" applyBorder="1" applyAlignment="1">
      <alignment horizontal="right" vertical="center"/>
    </xf>
    <xf numFmtId="3" fontId="2" fillId="2" borderId="16" xfId="0" applyNumberFormat="1" applyFont="1" applyFill="1" applyBorder="1" applyAlignment="1">
      <alignment horizontal="right" vertical="center"/>
    </xf>
    <xf numFmtId="3" fontId="1" fillId="2" borderId="19" xfId="0" applyNumberFormat="1" applyFont="1" applyFill="1" applyBorder="1" applyAlignment="1">
      <alignment horizontal="right" vertical="center" wrapText="1"/>
    </xf>
    <xf numFmtId="3" fontId="2" fillId="2" borderId="23" xfId="0" applyNumberFormat="1" applyFont="1" applyFill="1" applyBorder="1" applyAlignment="1">
      <alignment horizontal="right" vertical="center"/>
    </xf>
    <xf numFmtId="3" fontId="2" fillId="2" borderId="19" xfId="0" applyNumberFormat="1" applyFont="1" applyFill="1" applyBorder="1" applyAlignment="1">
      <alignment horizontal="right" vertical="center"/>
    </xf>
    <xf numFmtId="3" fontId="1" fillId="2" borderId="6" xfId="0" applyNumberFormat="1" applyFont="1" applyFill="1" applyBorder="1" applyAlignment="1">
      <alignment horizontal="right" vertical="center" wrapText="1"/>
    </xf>
    <xf numFmtId="0" fontId="2" fillId="2" borderId="33" xfId="0" applyFont="1" applyFill="1" applyBorder="1"/>
    <xf numFmtId="3" fontId="1" fillId="2" borderId="10" xfId="0" applyNumberFormat="1" applyFont="1" applyFill="1" applyBorder="1" applyAlignment="1">
      <alignment horizontal="right" vertical="center" wrapText="1"/>
    </xf>
    <xf numFmtId="3" fontId="1" fillId="2" borderId="9" xfId="0" applyNumberFormat="1" applyFont="1" applyFill="1" applyBorder="1" applyAlignment="1">
      <alignment horizontal="right" vertical="center" wrapText="1"/>
    </xf>
    <xf numFmtId="0" fontId="2" fillId="2" borderId="22" xfId="0" applyFont="1" applyFill="1" applyBorder="1" applyAlignment="1">
      <alignment horizontal="center" vertical="center" wrapText="1"/>
    </xf>
    <xf numFmtId="3" fontId="1" fillId="2" borderId="6" xfId="0" applyNumberFormat="1" applyFont="1" applyFill="1" applyBorder="1" applyAlignment="1">
      <alignment horizontal="right" vertical="center"/>
    </xf>
    <xf numFmtId="3" fontId="1" fillId="2" borderId="10" xfId="0" applyNumberFormat="1" applyFont="1" applyFill="1" applyBorder="1" applyAlignment="1">
      <alignment horizontal="right" vertical="center"/>
    </xf>
    <xf numFmtId="3" fontId="1" fillId="2" borderId="9" xfId="0" applyNumberFormat="1" applyFont="1" applyFill="1" applyBorder="1" applyAlignment="1">
      <alignment horizontal="right" vertical="center"/>
    </xf>
    <xf numFmtId="0" fontId="7" fillId="2" borderId="3" xfId="0" applyFont="1" applyFill="1" applyBorder="1"/>
    <xf numFmtId="0" fontId="1" fillId="2" borderId="1" xfId="0" applyFont="1" applyFill="1" applyBorder="1"/>
    <xf numFmtId="0" fontId="2" fillId="2" borderId="23" xfId="0" applyFont="1" applyFill="1" applyBorder="1" applyAlignment="1">
      <alignment horizontal="center" vertical="center"/>
    </xf>
    <xf numFmtId="0" fontId="2" fillId="2" borderId="21" xfId="0" applyFont="1" applyFill="1" applyBorder="1" applyAlignment="1">
      <alignment horizontal="center" vertical="center" wrapText="1"/>
    </xf>
    <xf numFmtId="3" fontId="1" fillId="2" borderId="17" xfId="0" applyNumberFormat="1" applyFont="1" applyFill="1" applyBorder="1" applyAlignment="1">
      <alignment horizontal="right" vertical="center" wrapText="1"/>
    </xf>
    <xf numFmtId="3" fontId="1" fillId="2" borderId="18" xfId="0" applyNumberFormat="1" applyFont="1" applyFill="1" applyBorder="1" applyAlignment="1">
      <alignment horizontal="right" vertical="center" wrapText="1"/>
    </xf>
    <xf numFmtId="0" fontId="8" fillId="2" borderId="31" xfId="1" applyFont="1" applyFill="1" applyBorder="1" applyAlignment="1">
      <alignment horizontal="center" vertical="center" wrapText="1"/>
    </xf>
    <xf numFmtId="0" fontId="7" fillId="2" borderId="19" xfId="1" applyFont="1" applyFill="1" applyBorder="1" applyAlignment="1">
      <alignment horizontal="center"/>
    </xf>
    <xf numFmtId="0" fontId="8" fillId="2" borderId="28" xfId="0" applyFont="1" applyFill="1" applyBorder="1" applyAlignment="1">
      <alignment horizontal="center"/>
    </xf>
    <xf numFmtId="0" fontId="2" fillId="2" borderId="21" xfId="0" applyFont="1" applyFill="1" applyBorder="1" applyAlignment="1">
      <alignment horizontal="right" vertical="center"/>
    </xf>
    <xf numFmtId="0" fontId="2" fillId="2" borderId="16" xfId="0" applyFont="1" applyFill="1" applyBorder="1" applyAlignment="1">
      <alignment horizontal="right" vertical="center"/>
    </xf>
    <xf numFmtId="0" fontId="2" fillId="2" borderId="19" xfId="0" applyFont="1" applyFill="1" applyBorder="1" applyAlignment="1">
      <alignment horizontal="right" vertical="center"/>
    </xf>
    <xf numFmtId="0" fontId="8" fillId="2" borderId="30" xfId="0" applyFont="1" applyFill="1" applyBorder="1" applyAlignment="1">
      <alignment vertical="center"/>
    </xf>
    <xf numFmtId="0" fontId="1" fillId="2" borderId="38" xfId="0" applyFont="1" applyFill="1" applyBorder="1" applyAlignment="1">
      <alignment vertical="center" wrapText="1"/>
    </xf>
    <xf numFmtId="0" fontId="2" fillId="2" borderId="37" xfId="0" applyFont="1" applyFill="1" applyBorder="1" applyAlignment="1">
      <alignment horizontal="left" vertical="center" wrapText="1" indent="1"/>
    </xf>
    <xf numFmtId="0" fontId="2" fillId="2" borderId="37" xfId="0" applyFont="1" applyFill="1" applyBorder="1" applyAlignment="1">
      <alignment horizontal="left" vertical="center" indent="1"/>
    </xf>
    <xf numFmtId="0" fontId="2" fillId="2" borderId="38" xfId="0" applyFont="1" applyFill="1" applyBorder="1" applyAlignment="1">
      <alignment horizontal="left" vertical="center" indent="1"/>
    </xf>
    <xf numFmtId="0" fontId="2" fillId="2" borderId="37" xfId="0" applyFont="1" applyFill="1" applyBorder="1"/>
    <xf numFmtId="3" fontId="1" fillId="2" borderId="5" xfId="0" applyNumberFormat="1" applyFont="1" applyFill="1" applyBorder="1" applyAlignment="1">
      <alignment horizontal="right" vertical="center" wrapText="1"/>
    </xf>
    <xf numFmtId="0" fontId="8" fillId="2" borderId="34" xfId="1" applyFont="1" applyFill="1" applyBorder="1" applyAlignment="1">
      <alignment horizontal="center" vertical="center" wrapText="1"/>
    </xf>
    <xf numFmtId="0" fontId="8" fillId="2" borderId="35" xfId="1" applyFont="1" applyFill="1" applyBorder="1" applyAlignment="1">
      <alignment horizontal="center" vertical="center" wrapText="1"/>
    </xf>
    <xf numFmtId="0" fontId="7" fillId="2" borderId="31" xfId="1" applyFont="1" applyFill="1" applyBorder="1" applyAlignment="1">
      <alignment horizontal="center"/>
    </xf>
    <xf numFmtId="0" fontId="7" fillId="2" borderId="5" xfId="1" applyFont="1" applyFill="1" applyBorder="1" applyAlignment="1">
      <alignment horizontal="center" wrapText="1"/>
    </xf>
    <xf numFmtId="0" fontId="7" fillId="2" borderId="12" xfId="1" applyFont="1" applyFill="1" applyBorder="1" applyAlignment="1">
      <alignment horizontal="center" wrapText="1"/>
    </xf>
    <xf numFmtId="0" fontId="8" fillId="2" borderId="1" xfId="0" applyFont="1" applyFill="1" applyBorder="1" applyAlignment="1">
      <alignment horizontal="center"/>
    </xf>
    <xf numFmtId="0" fontId="8" fillId="2" borderId="15" xfId="0" applyFont="1" applyFill="1" applyBorder="1" applyAlignment="1">
      <alignment horizontal="center"/>
    </xf>
    <xf numFmtId="0" fontId="7" fillId="2" borderId="6" xfId="1" applyFont="1" applyFill="1" applyBorder="1" applyAlignment="1">
      <alignment horizontal="center"/>
    </xf>
    <xf numFmtId="0" fontId="7" fillId="2" borderId="10" xfId="1" applyFont="1" applyFill="1" applyBorder="1" applyAlignment="1">
      <alignment horizontal="center" wrapText="1"/>
    </xf>
    <xf numFmtId="0" fontId="8" fillId="2" borderId="24" xfId="0" applyFont="1" applyFill="1" applyBorder="1" applyAlignment="1">
      <alignment vertical="center"/>
    </xf>
    <xf numFmtId="0" fontId="2" fillId="2" borderId="23" xfId="0" applyFont="1" applyFill="1" applyBorder="1" applyAlignment="1">
      <alignment horizontal="right" vertical="center"/>
    </xf>
    <xf numFmtId="3" fontId="1" fillId="2" borderId="17" xfId="0" applyNumberFormat="1" applyFont="1" applyFill="1" applyBorder="1" applyAlignment="1">
      <alignment horizontal="right" vertical="center"/>
    </xf>
    <xf numFmtId="3" fontId="1" fillId="2" borderId="18" xfId="0" applyNumberFormat="1" applyFont="1" applyFill="1" applyBorder="1" applyAlignment="1">
      <alignment horizontal="right" vertical="center"/>
    </xf>
    <xf numFmtId="0" fontId="8" fillId="2" borderId="6" xfId="1" applyFont="1" applyFill="1" applyBorder="1" applyAlignment="1">
      <alignment horizontal="center" vertical="center" wrapText="1"/>
    </xf>
    <xf numFmtId="0" fontId="8" fillId="2" borderId="10" xfId="1" applyFont="1" applyFill="1" applyBorder="1" applyAlignment="1">
      <alignment horizontal="center" vertical="center" wrapText="1"/>
    </xf>
    <xf numFmtId="0" fontId="8" fillId="2" borderId="1" xfId="1" applyFont="1" applyFill="1" applyBorder="1" applyAlignment="1">
      <alignment horizontal="center" vertical="center" wrapText="1"/>
    </xf>
    <xf numFmtId="0" fontId="7" fillId="2" borderId="1" xfId="0" applyFont="1" applyFill="1" applyBorder="1"/>
    <xf numFmtId="0" fontId="7" fillId="2" borderId="20" xfId="0" applyFont="1" applyFill="1" applyBorder="1" applyAlignment="1">
      <alignment horizontal="left"/>
    </xf>
    <xf numFmtId="0" fontId="7" fillId="2" borderId="0" xfId="0" applyFont="1" applyFill="1" applyAlignment="1">
      <alignment horizontal="left" indent="1"/>
    </xf>
    <xf numFmtId="0" fontId="2" fillId="2" borderId="0" xfId="0" applyFont="1" applyFill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18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/>
    </xf>
    <xf numFmtId="3" fontId="2" fillId="2" borderId="29" xfId="0" applyNumberFormat="1" applyFont="1" applyFill="1" applyBorder="1" applyAlignment="1">
      <alignment horizontal="right" vertical="center"/>
    </xf>
    <xf numFmtId="165" fontId="7" fillId="2" borderId="14" xfId="2" applyNumberFormat="1" applyFont="1" applyFill="1" applyBorder="1"/>
    <xf numFmtId="0" fontId="7" fillId="2" borderId="14" xfId="1" applyFont="1" applyFill="1" applyBorder="1" applyAlignment="1">
      <alignment horizontal="center" vertical="center" wrapText="1"/>
    </xf>
    <xf numFmtId="165" fontId="7" fillId="2" borderId="20" xfId="2" applyNumberFormat="1" applyFont="1" applyFill="1" applyBorder="1" applyAlignment="1">
      <alignment horizontal="right" vertical="center"/>
    </xf>
    <xf numFmtId="165" fontId="7" fillId="2" borderId="20" xfId="2" applyNumberFormat="1" applyFont="1" applyFill="1" applyBorder="1"/>
    <xf numFmtId="165" fontId="7" fillId="2" borderId="20" xfId="2" applyNumberFormat="1" applyFont="1" applyFill="1" applyBorder="1" applyAlignment="1">
      <alignment vertical="center"/>
    </xf>
    <xf numFmtId="165" fontId="7" fillId="2" borderId="14" xfId="2" applyNumberFormat="1" applyFont="1" applyFill="1" applyBorder="1" applyAlignment="1">
      <alignment vertical="center"/>
    </xf>
    <xf numFmtId="0" fontId="8" fillId="2" borderId="6" xfId="0" applyFont="1" applyFill="1" applyBorder="1" applyAlignment="1">
      <alignment horizontal="center"/>
    </xf>
    <xf numFmtId="0" fontId="8" fillId="2" borderId="18" xfId="0" applyFont="1" applyFill="1" applyBorder="1" applyAlignment="1">
      <alignment horizontal="center"/>
    </xf>
    <xf numFmtId="0" fontId="8" fillId="2" borderId="18" xfId="1" applyFont="1" applyFill="1" applyBorder="1" applyAlignment="1">
      <alignment horizontal="center" vertical="center" wrapText="1"/>
    </xf>
    <xf numFmtId="165" fontId="8" fillId="2" borderId="10" xfId="2" applyNumberFormat="1" applyFont="1" applyFill="1" applyBorder="1" applyAlignment="1">
      <alignment vertical="center" wrapText="1"/>
    </xf>
    <xf numFmtId="165" fontId="8" fillId="2" borderId="9" xfId="2" applyNumberFormat="1" applyFont="1" applyFill="1" applyBorder="1" applyAlignment="1">
      <alignment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wrapText="1"/>
    </xf>
    <xf numFmtId="0" fontId="7" fillId="2" borderId="32" xfId="1" applyFont="1" applyFill="1" applyBorder="1" applyAlignment="1">
      <alignment horizontal="center"/>
    </xf>
    <xf numFmtId="0" fontId="7" fillId="2" borderId="2" xfId="1" applyFont="1" applyFill="1" applyBorder="1" applyAlignment="1">
      <alignment horizontal="center" wrapText="1"/>
    </xf>
    <xf numFmtId="0" fontId="7" fillId="2" borderId="29" xfId="1" applyFont="1" applyFill="1" applyBorder="1" applyAlignment="1">
      <alignment horizontal="center" wrapText="1"/>
    </xf>
    <xf numFmtId="0" fontId="7" fillId="2" borderId="0" xfId="1" applyFont="1" applyFill="1" applyAlignment="1">
      <alignment horizontal="center"/>
    </xf>
    <xf numFmtId="0" fontId="7" fillId="2" borderId="22" xfId="1" applyFont="1" applyFill="1" applyBorder="1" applyAlignment="1">
      <alignment horizontal="center" wrapText="1"/>
    </xf>
    <xf numFmtId="0" fontId="7" fillId="2" borderId="20" xfId="1" applyFont="1" applyFill="1" applyBorder="1" applyAlignment="1">
      <alignment horizontal="center" vertical="center" wrapText="1"/>
    </xf>
    <xf numFmtId="0" fontId="7" fillId="2" borderId="21" xfId="1" applyFont="1" applyFill="1" applyBorder="1" applyAlignment="1">
      <alignment horizontal="center" wrapText="1"/>
    </xf>
    <xf numFmtId="165" fontId="7" fillId="2" borderId="2" xfId="2" applyNumberFormat="1" applyFont="1" applyFill="1" applyBorder="1" applyAlignment="1">
      <alignment horizontal="right" vertical="center"/>
    </xf>
    <xf numFmtId="165" fontId="7" fillId="2" borderId="29" xfId="2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/>
    </xf>
    <xf numFmtId="0" fontId="7" fillId="2" borderId="32" xfId="0" applyFont="1" applyFill="1" applyBorder="1"/>
    <xf numFmtId="0" fontId="7" fillId="2" borderId="2" xfId="0" applyFont="1" applyFill="1" applyBorder="1"/>
    <xf numFmtId="0" fontId="8" fillId="2" borderId="16" xfId="0" applyFont="1" applyFill="1" applyBorder="1" applyAlignment="1">
      <alignment horizontal="center"/>
    </xf>
    <xf numFmtId="0" fontId="8" fillId="2" borderId="16" xfId="1" applyFont="1" applyFill="1" applyBorder="1" applyAlignment="1">
      <alignment horizontal="center" vertical="center" wrapText="1"/>
    </xf>
    <xf numFmtId="165" fontId="7" fillId="2" borderId="1" xfId="2" applyNumberFormat="1" applyFont="1" applyFill="1" applyBorder="1" applyAlignment="1">
      <alignment horizontal="right" vertical="center"/>
    </xf>
    <xf numFmtId="165" fontId="7" fillId="2" borderId="1" xfId="2" applyNumberFormat="1" applyFont="1" applyFill="1" applyBorder="1" applyAlignment="1">
      <alignment vertical="center" wrapText="1"/>
    </xf>
    <xf numFmtId="165" fontId="7" fillId="2" borderId="10" xfId="2" applyNumberFormat="1" applyFont="1" applyFill="1" applyBorder="1" applyAlignment="1">
      <alignment vertical="center" wrapText="1"/>
    </xf>
    <xf numFmtId="0" fontId="2" fillId="2" borderId="17" xfId="0" applyFont="1" applyFill="1" applyBorder="1" applyAlignment="1">
      <alignment horizontal="center" vertical="center"/>
    </xf>
    <xf numFmtId="3" fontId="2" fillId="2" borderId="32" xfId="0" applyNumberFormat="1" applyFont="1" applyFill="1" applyBorder="1" applyAlignment="1">
      <alignment horizontal="right" vertical="center"/>
    </xf>
    <xf numFmtId="3" fontId="2" fillId="2" borderId="2" xfId="0" applyNumberFormat="1" applyFont="1" applyFill="1" applyBorder="1" applyAlignment="1">
      <alignment horizontal="right" vertical="center"/>
    </xf>
    <xf numFmtId="1" fontId="7" fillId="2" borderId="1" xfId="2" applyNumberFormat="1" applyFont="1" applyFill="1" applyBorder="1"/>
    <xf numFmtId="1" fontId="7" fillId="2" borderId="16" xfId="2" applyNumberFormat="1" applyFont="1" applyFill="1" applyBorder="1"/>
    <xf numFmtId="1" fontId="7" fillId="2" borderId="15" xfId="2" applyNumberFormat="1" applyFont="1" applyFill="1" applyBorder="1"/>
    <xf numFmtId="1" fontId="7" fillId="2" borderId="0" xfId="2" applyNumberFormat="1" applyFont="1" applyFill="1" applyBorder="1"/>
    <xf numFmtId="1" fontId="7" fillId="2" borderId="21" xfId="2" applyNumberFormat="1" applyFont="1" applyFill="1" applyBorder="1"/>
    <xf numFmtId="1" fontId="7" fillId="2" borderId="19" xfId="2" applyNumberFormat="1" applyFont="1" applyFill="1" applyBorder="1"/>
    <xf numFmtId="165" fontId="7" fillId="2" borderId="23" xfId="2" applyNumberFormat="1" applyFont="1" applyFill="1" applyBorder="1" applyAlignment="1">
      <alignment horizontal="right" indent="1"/>
    </xf>
    <xf numFmtId="1" fontId="7" fillId="2" borderId="19" xfId="2" applyNumberFormat="1" applyFont="1" applyFill="1" applyBorder="1" applyAlignment="1">
      <alignment horizontal="right" indent="1"/>
    </xf>
    <xf numFmtId="1" fontId="8" fillId="2" borderId="17" xfId="2" applyNumberFormat="1" applyFont="1" applyFill="1" applyBorder="1" applyAlignment="1">
      <alignment vertical="center" wrapText="1"/>
    </xf>
    <xf numFmtId="1" fontId="8" fillId="2" borderId="6" xfId="2" applyNumberFormat="1" applyFont="1" applyFill="1" applyBorder="1" applyAlignment="1">
      <alignment vertical="center" wrapText="1"/>
    </xf>
    <xf numFmtId="1" fontId="8" fillId="2" borderId="18" xfId="2" applyNumberFormat="1" applyFont="1" applyFill="1" applyBorder="1" applyAlignment="1">
      <alignment vertical="center" wrapText="1"/>
    </xf>
    <xf numFmtId="1" fontId="7" fillId="2" borderId="23" xfId="2" applyNumberFormat="1" applyFont="1" applyFill="1" applyBorder="1" applyAlignment="1">
      <alignment horizontal="right" vertical="center"/>
    </xf>
    <xf numFmtId="1" fontId="7" fillId="2" borderId="0" xfId="2" applyNumberFormat="1" applyFont="1" applyFill="1" applyBorder="1" applyAlignment="1">
      <alignment horizontal="right" vertical="center"/>
    </xf>
    <xf numFmtId="1" fontId="7" fillId="2" borderId="21" xfId="2" applyNumberFormat="1" applyFont="1" applyFill="1" applyBorder="1" applyAlignment="1">
      <alignment horizontal="right" vertical="center"/>
    </xf>
    <xf numFmtId="1" fontId="7" fillId="2" borderId="23" xfId="2" applyNumberFormat="1" applyFont="1" applyFill="1" applyBorder="1"/>
    <xf numFmtId="1" fontId="7" fillId="2" borderId="23" xfId="2" applyNumberFormat="1" applyFont="1" applyFill="1" applyBorder="1" applyAlignment="1">
      <alignment vertical="center"/>
    </xf>
    <xf numFmtId="1" fontId="7" fillId="2" borderId="0" xfId="2" applyNumberFormat="1" applyFont="1" applyFill="1" applyBorder="1" applyAlignment="1">
      <alignment vertical="center"/>
    </xf>
    <xf numFmtId="1" fontId="7" fillId="2" borderId="21" xfId="2" applyNumberFormat="1" applyFont="1" applyFill="1" applyBorder="1" applyAlignment="1">
      <alignment vertical="center"/>
    </xf>
    <xf numFmtId="1" fontId="7" fillId="2" borderId="19" xfId="2" applyNumberFormat="1" applyFont="1" applyFill="1" applyBorder="1" applyAlignment="1">
      <alignment vertical="center"/>
    </xf>
    <xf numFmtId="1" fontId="7" fillId="2" borderId="1" xfId="2" applyNumberFormat="1" applyFont="1" applyFill="1" applyBorder="1" applyAlignment="1">
      <alignment vertical="center"/>
    </xf>
    <xf numFmtId="1" fontId="7" fillId="2" borderId="16" xfId="2" applyNumberFormat="1" applyFont="1" applyFill="1" applyBorder="1" applyAlignment="1">
      <alignment vertical="center"/>
    </xf>
    <xf numFmtId="1" fontId="8" fillId="2" borderId="1" xfId="2" applyNumberFormat="1" applyFont="1" applyFill="1" applyBorder="1" applyAlignment="1">
      <alignment vertical="center" wrapText="1"/>
    </xf>
    <xf numFmtId="1" fontId="8" fillId="2" borderId="10" xfId="2" applyNumberFormat="1" applyFont="1" applyFill="1" applyBorder="1" applyAlignment="1">
      <alignment vertical="center" wrapText="1"/>
    </xf>
    <xf numFmtId="1" fontId="7" fillId="2" borderId="22" xfId="2" applyNumberFormat="1" applyFont="1" applyFill="1" applyBorder="1"/>
    <xf numFmtId="0" fontId="7" fillId="2" borderId="0" xfId="0" applyFont="1" applyFill="1" applyAlignment="1">
      <alignment horizontal="left" vertical="center" indent="1"/>
    </xf>
    <xf numFmtId="0" fontId="11" fillId="2" borderId="1" xfId="3" applyFont="1" applyFill="1" applyBorder="1" applyAlignment="1">
      <alignment horizontal="left" vertical="top" wrapText="1" indent="1"/>
    </xf>
    <xf numFmtId="16" fontId="7" fillId="2" borderId="14" xfId="0" applyNumberFormat="1" applyFont="1" applyFill="1" applyBorder="1" applyAlignment="1">
      <alignment horizontal="left" vertical="center" indent="2"/>
    </xf>
    <xf numFmtId="0" fontId="2" fillId="2" borderId="15" xfId="0" applyFont="1" applyFill="1" applyBorder="1" applyAlignment="1">
      <alignment horizontal="left" vertical="center" indent="1"/>
    </xf>
    <xf numFmtId="166" fontId="7" fillId="2" borderId="1" xfId="2" applyNumberFormat="1" applyFont="1" applyFill="1" applyBorder="1"/>
    <xf numFmtId="0" fontId="8" fillId="2" borderId="41" xfId="1" applyFont="1" applyFill="1" applyBorder="1" applyAlignment="1">
      <alignment vertical="center" wrapText="1"/>
    </xf>
    <xf numFmtId="0" fontId="7" fillId="2" borderId="42" xfId="1" applyFont="1" applyFill="1" applyBorder="1" applyAlignment="1">
      <alignment horizontal="left" vertical="top" wrapText="1" indent="1"/>
    </xf>
    <xf numFmtId="0" fontId="7" fillId="2" borderId="42" xfId="0" applyFont="1" applyFill="1" applyBorder="1" applyAlignment="1">
      <alignment horizontal="left" indent="1"/>
    </xf>
    <xf numFmtId="0" fontId="7" fillId="2" borderId="41" xfId="0" applyFont="1" applyFill="1" applyBorder="1" applyAlignment="1">
      <alignment horizontal="left" indent="1"/>
    </xf>
    <xf numFmtId="166" fontId="7" fillId="2" borderId="23" xfId="2" applyNumberFormat="1" applyFont="1" applyFill="1" applyBorder="1"/>
    <xf numFmtId="166" fontId="7" fillId="2" borderId="0" xfId="2" applyNumberFormat="1" applyFont="1" applyFill="1" applyBorder="1"/>
    <xf numFmtId="166" fontId="7" fillId="2" borderId="21" xfId="2" applyNumberFormat="1" applyFont="1" applyFill="1" applyBorder="1"/>
    <xf numFmtId="166" fontId="7" fillId="2" borderId="19" xfId="2" applyNumberFormat="1" applyFont="1" applyFill="1" applyBorder="1"/>
    <xf numFmtId="166" fontId="7" fillId="2" borderId="16" xfId="2" applyNumberFormat="1" applyFont="1" applyFill="1" applyBorder="1"/>
    <xf numFmtId="165" fontId="2" fillId="2" borderId="0" xfId="0" applyNumberFormat="1" applyFont="1" applyFill="1"/>
    <xf numFmtId="0" fontId="11" fillId="2" borderId="16" xfId="3" applyFont="1" applyFill="1" applyBorder="1" applyAlignment="1">
      <alignment horizontal="left" vertical="top" wrapText="1" indent="1"/>
    </xf>
    <xf numFmtId="0" fontId="7" fillId="2" borderId="1" xfId="0" applyFont="1" applyFill="1" applyBorder="1" applyAlignment="1">
      <alignment horizontal="left" indent="1"/>
    </xf>
    <xf numFmtId="165" fontId="7" fillId="2" borderId="0" xfId="0" applyNumberFormat="1" applyFont="1" applyFill="1"/>
    <xf numFmtId="3" fontId="1" fillId="0" borderId="5" xfId="0" applyNumberFormat="1" applyFont="1" applyBorder="1" applyAlignment="1">
      <alignment horizontal="right" vertical="center" wrapText="1"/>
    </xf>
    <xf numFmtId="3" fontId="7" fillId="2" borderId="0" xfId="0" applyNumberFormat="1" applyFont="1" applyFill="1" applyAlignment="1">
      <alignment horizontal="right"/>
    </xf>
    <xf numFmtId="0" fontId="7" fillId="2" borderId="39" xfId="0" applyFont="1" applyFill="1" applyBorder="1" applyAlignment="1">
      <alignment horizontal="left" indent="1"/>
    </xf>
    <xf numFmtId="165" fontId="7" fillId="2" borderId="2" xfId="2" applyNumberFormat="1" applyFont="1" applyFill="1" applyBorder="1" applyAlignment="1">
      <alignment vertical="center"/>
    </xf>
    <xf numFmtId="165" fontId="7" fillId="2" borderId="29" xfId="2" applyNumberFormat="1" applyFont="1" applyFill="1" applyBorder="1" applyAlignment="1">
      <alignment vertical="center"/>
    </xf>
    <xf numFmtId="165" fontId="7" fillId="2" borderId="32" xfId="2" applyNumberFormat="1" applyFont="1" applyFill="1" applyBorder="1" applyAlignment="1">
      <alignment vertical="center"/>
    </xf>
    <xf numFmtId="165" fontId="7" fillId="2" borderId="25" xfId="2" applyNumberFormat="1" applyFont="1" applyFill="1" applyBorder="1" applyAlignment="1">
      <alignment vertical="center"/>
    </xf>
    <xf numFmtId="165" fontId="7" fillId="2" borderId="39" xfId="2" applyNumberFormat="1" applyFont="1" applyFill="1" applyBorder="1" applyAlignment="1">
      <alignment vertical="center"/>
    </xf>
    <xf numFmtId="0" fontId="7" fillId="2" borderId="6" xfId="1" applyFont="1" applyFill="1" applyBorder="1" applyAlignment="1">
      <alignment horizontal="center" vertical="center" wrapText="1"/>
    </xf>
    <xf numFmtId="16" fontId="7" fillId="2" borderId="39" xfId="0" applyNumberFormat="1" applyFont="1" applyFill="1" applyBorder="1" applyAlignment="1">
      <alignment horizontal="left" vertical="center" indent="2"/>
    </xf>
    <xf numFmtId="0" fontId="7" fillId="2" borderId="0" xfId="0" applyFont="1" applyFill="1" applyAlignment="1">
      <alignment horizontal="left" vertical="center" indent="2"/>
    </xf>
    <xf numFmtId="0" fontId="7" fillId="2" borderId="2" xfId="0" applyFont="1" applyFill="1" applyBorder="1" applyAlignment="1">
      <alignment horizontal="left" indent="1"/>
    </xf>
    <xf numFmtId="3" fontId="2" fillId="2" borderId="25" xfId="0" applyNumberFormat="1" applyFont="1" applyFill="1" applyBorder="1" applyAlignment="1">
      <alignment horizontal="right" vertical="center"/>
    </xf>
    <xf numFmtId="3" fontId="2" fillId="2" borderId="39" xfId="0" applyNumberFormat="1" applyFont="1" applyFill="1" applyBorder="1" applyAlignment="1">
      <alignment horizontal="right" vertical="center"/>
    </xf>
    <xf numFmtId="0" fontId="1" fillId="2" borderId="41" xfId="0" applyFont="1" applyFill="1" applyBorder="1" applyAlignment="1">
      <alignment vertical="center" wrapText="1"/>
    </xf>
    <xf numFmtId="0" fontId="2" fillId="2" borderId="42" xfId="0" applyFont="1" applyFill="1" applyBorder="1" applyAlignment="1">
      <alignment horizontal="left" vertical="center" wrapText="1" indent="1"/>
    </xf>
    <xf numFmtId="0" fontId="2" fillId="2" borderId="42" xfId="0" applyFont="1" applyFill="1" applyBorder="1" applyAlignment="1">
      <alignment horizontal="left" vertical="center" indent="1"/>
    </xf>
    <xf numFmtId="0" fontId="2" fillId="2" borderId="41" xfId="0" applyFont="1" applyFill="1" applyBorder="1" applyAlignment="1">
      <alignment horizontal="left" vertical="center" indent="1"/>
    </xf>
    <xf numFmtId="0" fontId="2" fillId="2" borderId="29" xfId="0" applyFont="1" applyFill="1" applyBorder="1" applyAlignment="1">
      <alignment horizontal="left" vertical="center" indent="1"/>
    </xf>
    <xf numFmtId="0" fontId="2" fillId="2" borderId="16" xfId="0" applyFont="1" applyFill="1" applyBorder="1" applyAlignment="1">
      <alignment horizontal="left" vertical="center" indent="1"/>
    </xf>
    <xf numFmtId="0" fontId="1" fillId="2" borderId="45" xfId="0" applyFont="1" applyFill="1" applyBorder="1" applyAlignment="1">
      <alignment vertical="center" wrapText="1"/>
    </xf>
    <xf numFmtId="0" fontId="2" fillId="2" borderId="0" xfId="0" applyFont="1" applyFill="1" applyAlignment="1">
      <alignment horizontal="left" vertical="center" indent="1"/>
    </xf>
    <xf numFmtId="0" fontId="1" fillId="2" borderId="18" xfId="0" applyFont="1" applyFill="1" applyBorder="1" applyAlignment="1">
      <alignment vertical="center" wrapText="1"/>
    </xf>
    <xf numFmtId="0" fontId="2" fillId="2" borderId="21" xfId="0" applyFont="1" applyFill="1" applyBorder="1" applyAlignment="1">
      <alignment horizontal="left" vertical="center" wrapText="1" indent="1"/>
    </xf>
    <xf numFmtId="0" fontId="2" fillId="2" borderId="21" xfId="0" applyFont="1" applyFill="1" applyBorder="1" applyAlignment="1">
      <alignment horizontal="left" vertical="center" indent="1"/>
    </xf>
    <xf numFmtId="0" fontId="8" fillId="2" borderId="43" xfId="0" applyFont="1" applyFill="1" applyBorder="1" applyAlignment="1">
      <alignment vertical="center"/>
    </xf>
    <xf numFmtId="0" fontId="1" fillId="2" borderId="44" xfId="0" applyFont="1" applyFill="1" applyBorder="1" applyAlignment="1">
      <alignment vertical="center" wrapText="1"/>
    </xf>
    <xf numFmtId="0" fontId="2" fillId="2" borderId="43" xfId="0" applyFont="1" applyFill="1" applyBorder="1" applyAlignment="1">
      <alignment horizontal="left" vertical="center" indent="1"/>
    </xf>
    <xf numFmtId="0" fontId="2" fillId="2" borderId="20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2" fillId="2" borderId="16" xfId="0" applyFont="1" applyFill="1" applyBorder="1" applyAlignment="1">
      <alignment horizontal="left" indent="1"/>
    </xf>
    <xf numFmtId="0" fontId="7" fillId="2" borderId="39" xfId="0" applyFont="1" applyFill="1" applyBorder="1" applyAlignment="1">
      <alignment horizontal="left" vertical="center" indent="1"/>
    </xf>
    <xf numFmtId="1" fontId="7" fillId="2" borderId="14" xfId="2" applyNumberFormat="1" applyFont="1" applyFill="1" applyBorder="1"/>
    <xf numFmtId="0" fontId="7" fillId="2" borderId="0" xfId="0" applyFont="1" applyFill="1" applyAlignment="1">
      <alignment horizontal="left" vertical="center"/>
    </xf>
    <xf numFmtId="0" fontId="8" fillId="2" borderId="13" xfId="1" applyFont="1" applyFill="1" applyBorder="1" applyAlignment="1">
      <alignment horizontal="center" vertical="center" wrapText="1"/>
    </xf>
    <xf numFmtId="0" fontId="7" fillId="2" borderId="25" xfId="1" applyFont="1" applyFill="1" applyBorder="1" applyAlignment="1">
      <alignment horizontal="center" wrapText="1"/>
    </xf>
    <xf numFmtId="0" fontId="0" fillId="2" borderId="0" xfId="0" applyFill="1"/>
    <xf numFmtId="0" fontId="8" fillId="2" borderId="7" xfId="1" applyFont="1" applyFill="1" applyBorder="1" applyAlignment="1">
      <alignment horizontal="center" vertical="center" wrapText="1"/>
    </xf>
    <xf numFmtId="0" fontId="8" fillId="2" borderId="4" xfId="1" applyFont="1" applyFill="1" applyBorder="1" applyAlignment="1">
      <alignment horizontal="center" vertical="center" wrapText="1"/>
    </xf>
    <xf numFmtId="0" fontId="8" fillId="2" borderId="8" xfId="1" applyFont="1" applyFill="1" applyBorder="1" applyAlignment="1">
      <alignment horizontal="center" vertical="center" wrapText="1"/>
    </xf>
    <xf numFmtId="0" fontId="8" fillId="2" borderId="26" xfId="1" applyFont="1" applyFill="1" applyBorder="1" applyAlignment="1">
      <alignment horizontal="center" vertical="center" wrapText="1"/>
    </xf>
    <xf numFmtId="0" fontId="8" fillId="2" borderId="3" xfId="1" applyFont="1" applyFill="1" applyBorder="1" applyAlignment="1">
      <alignment horizontal="center" vertical="center" wrapText="1"/>
    </xf>
    <xf numFmtId="0" fontId="8" fillId="2" borderId="27" xfId="1" applyFont="1" applyFill="1" applyBorder="1" applyAlignment="1">
      <alignment horizontal="center" vertical="center" wrapText="1"/>
    </xf>
    <xf numFmtId="0" fontId="8" fillId="2" borderId="40" xfId="1" applyFont="1" applyFill="1" applyBorder="1" applyAlignment="1">
      <alignment horizontal="center" vertical="center" wrapText="1"/>
    </xf>
    <xf numFmtId="0" fontId="8" fillId="2" borderId="41" xfId="1" applyFont="1" applyFill="1" applyBorder="1" applyAlignment="1">
      <alignment horizontal="center" vertical="center" wrapText="1"/>
    </xf>
    <xf numFmtId="0" fontId="8" fillId="2" borderId="11" xfId="1" applyFont="1" applyFill="1" applyBorder="1" applyAlignment="1">
      <alignment horizontal="center" vertical="center" wrapText="1"/>
    </xf>
    <xf numFmtId="0" fontId="8" fillId="2" borderId="14" xfId="1" applyFont="1" applyFill="1" applyBorder="1" applyAlignment="1">
      <alignment horizontal="center" vertical="center" wrapText="1"/>
    </xf>
    <xf numFmtId="0" fontId="8" fillId="2" borderId="39" xfId="1" applyFont="1" applyFill="1" applyBorder="1" applyAlignment="1">
      <alignment horizontal="center" vertical="center" wrapText="1"/>
    </xf>
    <xf numFmtId="0" fontId="8" fillId="2" borderId="2" xfId="1" applyFont="1" applyFill="1" applyBorder="1" applyAlignment="1">
      <alignment horizontal="center" vertical="center" wrapText="1"/>
    </xf>
    <xf numFmtId="0" fontId="8" fillId="2" borderId="6" xfId="1" applyFont="1" applyFill="1" applyBorder="1" applyAlignment="1">
      <alignment horizontal="center" vertical="center" wrapText="1"/>
    </xf>
    <xf numFmtId="0" fontId="8" fillId="2" borderId="6" xfId="0" applyFont="1" applyFill="1" applyBorder="1" applyAlignment="1">
      <alignment horizontal="center"/>
    </xf>
    <xf numFmtId="0" fontId="2" fillId="2" borderId="0" xfId="0" applyFont="1" applyFill="1" applyAlignment="1">
      <alignment horizontal="left"/>
    </xf>
    <xf numFmtId="0" fontId="8" fillId="2" borderId="0" xfId="1" applyFont="1" applyFill="1" applyAlignment="1">
      <alignment horizontal="center" vertical="center" wrapText="1"/>
    </xf>
    <xf numFmtId="0" fontId="8" fillId="2" borderId="1" xfId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1" fillId="2" borderId="29" xfId="0" applyFont="1" applyFill="1" applyBorder="1" applyAlignment="1">
      <alignment horizontal="center" vertical="center" wrapText="1"/>
    </xf>
    <xf numFmtId="0" fontId="1" fillId="2" borderId="2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31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8" fillId="2" borderId="42" xfId="1" applyFont="1" applyFill="1" applyBorder="1" applyAlignment="1">
      <alignment horizontal="center" vertical="center" wrapText="1"/>
    </xf>
    <xf numFmtId="0" fontId="8" fillId="2" borderId="29" xfId="1" applyFont="1" applyFill="1" applyBorder="1" applyAlignment="1">
      <alignment horizontal="center" vertical="center" wrapText="1"/>
    </xf>
    <xf numFmtId="0" fontId="8" fillId="2" borderId="21" xfId="1" applyFont="1" applyFill="1" applyBorder="1" applyAlignment="1">
      <alignment horizontal="center" vertical="center" wrapText="1"/>
    </xf>
    <xf numFmtId="0" fontId="8" fillId="2" borderId="16" xfId="1" applyFont="1" applyFill="1" applyBorder="1" applyAlignment="1">
      <alignment horizontal="center" vertical="center" wrapText="1"/>
    </xf>
    <xf numFmtId="0" fontId="8" fillId="2" borderId="36" xfId="1" applyFont="1" applyFill="1" applyBorder="1" applyAlignment="1">
      <alignment horizontal="center" vertical="center" wrapText="1"/>
    </xf>
    <xf numFmtId="0" fontId="8" fillId="2" borderId="37" xfId="1" applyFont="1" applyFill="1" applyBorder="1" applyAlignment="1">
      <alignment horizontal="center" vertical="center" wrapText="1"/>
    </xf>
    <xf numFmtId="0" fontId="8" fillId="2" borderId="38" xfId="1" applyFont="1" applyFill="1" applyBorder="1" applyAlignment="1">
      <alignment horizontal="center" vertical="center" wrapText="1"/>
    </xf>
    <xf numFmtId="0" fontId="8" fillId="2" borderId="43" xfId="1" applyFont="1" applyFill="1" applyBorder="1" applyAlignment="1">
      <alignment horizontal="center" vertical="center" wrapText="1"/>
    </xf>
  </cellXfs>
  <cellStyles count="4">
    <cellStyle name="Normal" xfId="0" builtinId="0"/>
    <cellStyle name="Normal_Folha3 2" xfId="1" xr:uid="{00000000-0005-0000-0000-000002000000}"/>
    <cellStyle name="Normal_Folha4" xfId="3" xr:uid="{7F7EF99C-D32B-4259-A03C-759FCF6364A6}"/>
    <cellStyle name="Vírgula 2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9DCAD8-56A2-4E2C-82A0-54124C53D7B6}">
  <dimension ref="A1:CB1245"/>
  <sheetViews>
    <sheetView workbookViewId="0">
      <selection activeCell="B1" sqref="B1"/>
    </sheetView>
  </sheetViews>
  <sheetFormatPr defaultRowHeight="12" x14ac:dyDescent="0.2"/>
  <cols>
    <col min="1" max="1" width="18.42578125" style="5" customWidth="1"/>
    <col min="2" max="25" width="10.28515625" style="5" customWidth="1"/>
    <col min="26" max="164" width="9" style="5"/>
    <col min="165" max="165" width="10.85546875" style="5" customWidth="1"/>
    <col min="166" max="168" width="8.42578125" style="5" customWidth="1"/>
    <col min="169" max="169" width="0.7109375" style="5" customWidth="1"/>
    <col min="170" max="172" width="8.42578125" style="5" customWidth="1"/>
    <col min="173" max="173" width="0.7109375" style="5" customWidth="1"/>
    <col min="174" max="176" width="8.42578125" style="5" customWidth="1"/>
    <col min="177" max="420" width="9" style="5"/>
    <col min="421" max="421" width="10.85546875" style="5" customWidth="1"/>
    <col min="422" max="424" width="8.42578125" style="5" customWidth="1"/>
    <col min="425" max="425" width="0.7109375" style="5" customWidth="1"/>
    <col min="426" max="428" width="8.42578125" style="5" customWidth="1"/>
    <col min="429" max="429" width="0.7109375" style="5" customWidth="1"/>
    <col min="430" max="432" width="8.42578125" style="5" customWidth="1"/>
    <col min="433" max="676" width="9" style="5"/>
    <col min="677" max="677" width="10.85546875" style="5" customWidth="1"/>
    <col min="678" max="680" width="8.42578125" style="5" customWidth="1"/>
    <col min="681" max="681" width="0.7109375" style="5" customWidth="1"/>
    <col min="682" max="684" width="8.42578125" style="5" customWidth="1"/>
    <col min="685" max="685" width="0.7109375" style="5" customWidth="1"/>
    <col min="686" max="688" width="8.42578125" style="5" customWidth="1"/>
    <col min="689" max="932" width="9" style="5"/>
    <col min="933" max="933" width="10.85546875" style="5" customWidth="1"/>
    <col min="934" max="936" width="8.42578125" style="5" customWidth="1"/>
    <col min="937" max="937" width="0.7109375" style="5" customWidth="1"/>
    <col min="938" max="940" width="8.42578125" style="5" customWidth="1"/>
    <col min="941" max="941" width="0.7109375" style="5" customWidth="1"/>
    <col min="942" max="944" width="8.42578125" style="5" customWidth="1"/>
    <col min="945" max="1188" width="9" style="5"/>
    <col min="1189" max="1189" width="10.85546875" style="5" customWidth="1"/>
    <col min="1190" max="1192" width="8.42578125" style="5" customWidth="1"/>
    <col min="1193" max="1193" width="0.7109375" style="5" customWidth="1"/>
    <col min="1194" max="1196" width="8.42578125" style="5" customWidth="1"/>
    <col min="1197" max="1197" width="0.7109375" style="5" customWidth="1"/>
    <col min="1198" max="1200" width="8.42578125" style="5" customWidth="1"/>
    <col min="1201" max="1444" width="9" style="5"/>
    <col min="1445" max="1445" width="10.85546875" style="5" customWidth="1"/>
    <col min="1446" max="1448" width="8.42578125" style="5" customWidth="1"/>
    <col min="1449" max="1449" width="0.7109375" style="5" customWidth="1"/>
    <col min="1450" max="1452" width="8.42578125" style="5" customWidth="1"/>
    <col min="1453" max="1453" width="0.7109375" style="5" customWidth="1"/>
    <col min="1454" max="1456" width="8.42578125" style="5" customWidth="1"/>
    <col min="1457" max="1700" width="9" style="5"/>
    <col min="1701" max="1701" width="10.85546875" style="5" customWidth="1"/>
    <col min="1702" max="1704" width="8.42578125" style="5" customWidth="1"/>
    <col min="1705" max="1705" width="0.7109375" style="5" customWidth="1"/>
    <col min="1706" max="1708" width="8.42578125" style="5" customWidth="1"/>
    <col min="1709" max="1709" width="0.7109375" style="5" customWidth="1"/>
    <col min="1710" max="1712" width="8.42578125" style="5" customWidth="1"/>
    <col min="1713" max="1956" width="9" style="5"/>
    <col min="1957" max="1957" width="10.85546875" style="5" customWidth="1"/>
    <col min="1958" max="1960" width="8.42578125" style="5" customWidth="1"/>
    <col min="1961" max="1961" width="0.7109375" style="5" customWidth="1"/>
    <col min="1962" max="1964" width="8.42578125" style="5" customWidth="1"/>
    <col min="1965" max="1965" width="0.7109375" style="5" customWidth="1"/>
    <col min="1966" max="1968" width="8.42578125" style="5" customWidth="1"/>
    <col min="1969" max="2212" width="9" style="5"/>
    <col min="2213" max="2213" width="10.85546875" style="5" customWidth="1"/>
    <col min="2214" max="2216" width="8.42578125" style="5" customWidth="1"/>
    <col min="2217" max="2217" width="0.7109375" style="5" customWidth="1"/>
    <col min="2218" max="2220" width="8.42578125" style="5" customWidth="1"/>
    <col min="2221" max="2221" width="0.7109375" style="5" customWidth="1"/>
    <col min="2222" max="2224" width="8.42578125" style="5" customWidth="1"/>
    <col min="2225" max="2468" width="9" style="5"/>
    <col min="2469" max="2469" width="10.85546875" style="5" customWidth="1"/>
    <col min="2470" max="2472" width="8.42578125" style="5" customWidth="1"/>
    <col min="2473" max="2473" width="0.7109375" style="5" customWidth="1"/>
    <col min="2474" max="2476" width="8.42578125" style="5" customWidth="1"/>
    <col min="2477" max="2477" width="0.7109375" style="5" customWidth="1"/>
    <col min="2478" max="2480" width="8.42578125" style="5" customWidth="1"/>
    <col min="2481" max="2724" width="9" style="5"/>
    <col min="2725" max="2725" width="10.85546875" style="5" customWidth="1"/>
    <col min="2726" max="2728" width="8.42578125" style="5" customWidth="1"/>
    <col min="2729" max="2729" width="0.7109375" style="5" customWidth="1"/>
    <col min="2730" max="2732" width="8.42578125" style="5" customWidth="1"/>
    <col min="2733" max="2733" width="0.7109375" style="5" customWidth="1"/>
    <col min="2734" max="2736" width="8.42578125" style="5" customWidth="1"/>
    <col min="2737" max="2980" width="9" style="5"/>
    <col min="2981" max="2981" width="10.85546875" style="5" customWidth="1"/>
    <col min="2982" max="2984" width="8.42578125" style="5" customWidth="1"/>
    <col min="2985" max="2985" width="0.7109375" style="5" customWidth="1"/>
    <col min="2986" max="2988" width="8.42578125" style="5" customWidth="1"/>
    <col min="2989" max="2989" width="0.7109375" style="5" customWidth="1"/>
    <col min="2990" max="2992" width="8.42578125" style="5" customWidth="1"/>
    <col min="2993" max="3236" width="9" style="5"/>
    <col min="3237" max="3237" width="10.85546875" style="5" customWidth="1"/>
    <col min="3238" max="3240" width="8.42578125" style="5" customWidth="1"/>
    <col min="3241" max="3241" width="0.7109375" style="5" customWidth="1"/>
    <col min="3242" max="3244" width="8.42578125" style="5" customWidth="1"/>
    <col min="3245" max="3245" width="0.7109375" style="5" customWidth="1"/>
    <col min="3246" max="3248" width="8.42578125" style="5" customWidth="1"/>
    <col min="3249" max="3492" width="9" style="5"/>
    <col min="3493" max="3493" width="10.85546875" style="5" customWidth="1"/>
    <col min="3494" max="3496" width="8.42578125" style="5" customWidth="1"/>
    <col min="3497" max="3497" width="0.7109375" style="5" customWidth="1"/>
    <col min="3498" max="3500" width="8.42578125" style="5" customWidth="1"/>
    <col min="3501" max="3501" width="0.7109375" style="5" customWidth="1"/>
    <col min="3502" max="3504" width="8.42578125" style="5" customWidth="1"/>
    <col min="3505" max="3748" width="9" style="5"/>
    <col min="3749" max="3749" width="10.85546875" style="5" customWidth="1"/>
    <col min="3750" max="3752" width="8.42578125" style="5" customWidth="1"/>
    <col min="3753" max="3753" width="0.7109375" style="5" customWidth="1"/>
    <col min="3754" max="3756" width="8.42578125" style="5" customWidth="1"/>
    <col min="3757" max="3757" width="0.7109375" style="5" customWidth="1"/>
    <col min="3758" max="3760" width="8.42578125" style="5" customWidth="1"/>
    <col min="3761" max="4004" width="9" style="5"/>
    <col min="4005" max="4005" width="10.85546875" style="5" customWidth="1"/>
    <col min="4006" max="4008" width="8.42578125" style="5" customWidth="1"/>
    <col min="4009" max="4009" width="0.7109375" style="5" customWidth="1"/>
    <col min="4010" max="4012" width="8.42578125" style="5" customWidth="1"/>
    <col min="4013" max="4013" width="0.7109375" style="5" customWidth="1"/>
    <col min="4014" max="4016" width="8.42578125" style="5" customWidth="1"/>
    <col min="4017" max="4260" width="9" style="5"/>
    <col min="4261" max="4261" width="10.85546875" style="5" customWidth="1"/>
    <col min="4262" max="4264" width="8.42578125" style="5" customWidth="1"/>
    <col min="4265" max="4265" width="0.7109375" style="5" customWidth="1"/>
    <col min="4266" max="4268" width="8.42578125" style="5" customWidth="1"/>
    <col min="4269" max="4269" width="0.7109375" style="5" customWidth="1"/>
    <col min="4270" max="4272" width="8.42578125" style="5" customWidth="1"/>
    <col min="4273" max="4516" width="9" style="5"/>
    <col min="4517" max="4517" width="10.85546875" style="5" customWidth="1"/>
    <col min="4518" max="4520" width="8.42578125" style="5" customWidth="1"/>
    <col min="4521" max="4521" width="0.7109375" style="5" customWidth="1"/>
    <col min="4522" max="4524" width="8.42578125" style="5" customWidth="1"/>
    <col min="4525" max="4525" width="0.7109375" style="5" customWidth="1"/>
    <col min="4526" max="4528" width="8.42578125" style="5" customWidth="1"/>
    <col min="4529" max="4772" width="9" style="5"/>
    <col min="4773" max="4773" width="10.85546875" style="5" customWidth="1"/>
    <col min="4774" max="4776" width="8.42578125" style="5" customWidth="1"/>
    <col min="4777" max="4777" width="0.7109375" style="5" customWidth="1"/>
    <col min="4778" max="4780" width="8.42578125" style="5" customWidth="1"/>
    <col min="4781" max="4781" width="0.7109375" style="5" customWidth="1"/>
    <col min="4782" max="4784" width="8.42578125" style="5" customWidth="1"/>
    <col min="4785" max="5028" width="9" style="5"/>
    <col min="5029" max="5029" width="10.85546875" style="5" customWidth="1"/>
    <col min="5030" max="5032" width="8.42578125" style="5" customWidth="1"/>
    <col min="5033" max="5033" width="0.7109375" style="5" customWidth="1"/>
    <col min="5034" max="5036" width="8.42578125" style="5" customWidth="1"/>
    <col min="5037" max="5037" width="0.7109375" style="5" customWidth="1"/>
    <col min="5038" max="5040" width="8.42578125" style="5" customWidth="1"/>
    <col min="5041" max="5284" width="9" style="5"/>
    <col min="5285" max="5285" width="10.85546875" style="5" customWidth="1"/>
    <col min="5286" max="5288" width="8.42578125" style="5" customWidth="1"/>
    <col min="5289" max="5289" width="0.7109375" style="5" customWidth="1"/>
    <col min="5290" max="5292" width="8.42578125" style="5" customWidth="1"/>
    <col min="5293" max="5293" width="0.7109375" style="5" customWidth="1"/>
    <col min="5294" max="5296" width="8.42578125" style="5" customWidth="1"/>
    <col min="5297" max="5540" width="9" style="5"/>
    <col min="5541" max="5541" width="10.85546875" style="5" customWidth="1"/>
    <col min="5542" max="5544" width="8.42578125" style="5" customWidth="1"/>
    <col min="5545" max="5545" width="0.7109375" style="5" customWidth="1"/>
    <col min="5546" max="5548" width="8.42578125" style="5" customWidth="1"/>
    <col min="5549" max="5549" width="0.7109375" style="5" customWidth="1"/>
    <col min="5550" max="5552" width="8.42578125" style="5" customWidth="1"/>
    <col min="5553" max="5796" width="9" style="5"/>
    <col min="5797" max="5797" width="10.85546875" style="5" customWidth="1"/>
    <col min="5798" max="5800" width="8.42578125" style="5" customWidth="1"/>
    <col min="5801" max="5801" width="0.7109375" style="5" customWidth="1"/>
    <col min="5802" max="5804" width="8.42578125" style="5" customWidth="1"/>
    <col min="5805" max="5805" width="0.7109375" style="5" customWidth="1"/>
    <col min="5806" max="5808" width="8.42578125" style="5" customWidth="1"/>
    <col min="5809" max="6052" width="9" style="5"/>
    <col min="6053" max="6053" width="10.85546875" style="5" customWidth="1"/>
    <col min="6054" max="6056" width="8.42578125" style="5" customWidth="1"/>
    <col min="6057" max="6057" width="0.7109375" style="5" customWidth="1"/>
    <col min="6058" max="6060" width="8.42578125" style="5" customWidth="1"/>
    <col min="6061" max="6061" width="0.7109375" style="5" customWidth="1"/>
    <col min="6062" max="6064" width="8.42578125" style="5" customWidth="1"/>
    <col min="6065" max="6308" width="9" style="5"/>
    <col min="6309" max="6309" width="10.85546875" style="5" customWidth="1"/>
    <col min="6310" max="6312" width="8.42578125" style="5" customWidth="1"/>
    <col min="6313" max="6313" width="0.7109375" style="5" customWidth="1"/>
    <col min="6314" max="6316" width="8.42578125" style="5" customWidth="1"/>
    <col min="6317" max="6317" width="0.7109375" style="5" customWidth="1"/>
    <col min="6318" max="6320" width="8.42578125" style="5" customWidth="1"/>
    <col min="6321" max="6564" width="9" style="5"/>
    <col min="6565" max="6565" width="10.85546875" style="5" customWidth="1"/>
    <col min="6566" max="6568" width="8.42578125" style="5" customWidth="1"/>
    <col min="6569" max="6569" width="0.7109375" style="5" customWidth="1"/>
    <col min="6570" max="6572" width="8.42578125" style="5" customWidth="1"/>
    <col min="6573" max="6573" width="0.7109375" style="5" customWidth="1"/>
    <col min="6574" max="6576" width="8.42578125" style="5" customWidth="1"/>
    <col min="6577" max="6820" width="9" style="5"/>
    <col min="6821" max="6821" width="10.85546875" style="5" customWidth="1"/>
    <col min="6822" max="6824" width="8.42578125" style="5" customWidth="1"/>
    <col min="6825" max="6825" width="0.7109375" style="5" customWidth="1"/>
    <col min="6826" max="6828" width="8.42578125" style="5" customWidth="1"/>
    <col min="6829" max="6829" width="0.7109375" style="5" customWidth="1"/>
    <col min="6830" max="6832" width="8.42578125" style="5" customWidth="1"/>
    <col min="6833" max="7076" width="9" style="5"/>
    <col min="7077" max="7077" width="10.85546875" style="5" customWidth="1"/>
    <col min="7078" max="7080" width="8.42578125" style="5" customWidth="1"/>
    <col min="7081" max="7081" width="0.7109375" style="5" customWidth="1"/>
    <col min="7082" max="7084" width="8.42578125" style="5" customWidth="1"/>
    <col min="7085" max="7085" width="0.7109375" style="5" customWidth="1"/>
    <col min="7086" max="7088" width="8.42578125" style="5" customWidth="1"/>
    <col min="7089" max="7332" width="9" style="5"/>
    <col min="7333" max="7333" width="10.85546875" style="5" customWidth="1"/>
    <col min="7334" max="7336" width="8.42578125" style="5" customWidth="1"/>
    <col min="7337" max="7337" width="0.7109375" style="5" customWidth="1"/>
    <col min="7338" max="7340" width="8.42578125" style="5" customWidth="1"/>
    <col min="7341" max="7341" width="0.7109375" style="5" customWidth="1"/>
    <col min="7342" max="7344" width="8.42578125" style="5" customWidth="1"/>
    <col min="7345" max="7588" width="9" style="5"/>
    <col min="7589" max="7589" width="10.85546875" style="5" customWidth="1"/>
    <col min="7590" max="7592" width="8.42578125" style="5" customWidth="1"/>
    <col min="7593" max="7593" width="0.7109375" style="5" customWidth="1"/>
    <col min="7594" max="7596" width="8.42578125" style="5" customWidth="1"/>
    <col min="7597" max="7597" width="0.7109375" style="5" customWidth="1"/>
    <col min="7598" max="7600" width="8.42578125" style="5" customWidth="1"/>
    <col min="7601" max="7844" width="9" style="5"/>
    <col min="7845" max="7845" width="10.85546875" style="5" customWidth="1"/>
    <col min="7846" max="7848" width="8.42578125" style="5" customWidth="1"/>
    <col min="7849" max="7849" width="0.7109375" style="5" customWidth="1"/>
    <col min="7850" max="7852" width="8.42578125" style="5" customWidth="1"/>
    <col min="7853" max="7853" width="0.7109375" style="5" customWidth="1"/>
    <col min="7854" max="7856" width="8.42578125" style="5" customWidth="1"/>
    <col min="7857" max="8100" width="9" style="5"/>
    <col min="8101" max="8101" width="10.85546875" style="5" customWidth="1"/>
    <col min="8102" max="8104" width="8.42578125" style="5" customWidth="1"/>
    <col min="8105" max="8105" width="0.7109375" style="5" customWidth="1"/>
    <col min="8106" max="8108" width="8.42578125" style="5" customWidth="1"/>
    <col min="8109" max="8109" width="0.7109375" style="5" customWidth="1"/>
    <col min="8110" max="8112" width="8.42578125" style="5" customWidth="1"/>
    <col min="8113" max="8356" width="9" style="5"/>
    <col min="8357" max="8357" width="10.85546875" style="5" customWidth="1"/>
    <col min="8358" max="8360" width="8.42578125" style="5" customWidth="1"/>
    <col min="8361" max="8361" width="0.7109375" style="5" customWidth="1"/>
    <col min="8362" max="8364" width="8.42578125" style="5" customWidth="1"/>
    <col min="8365" max="8365" width="0.7109375" style="5" customWidth="1"/>
    <col min="8366" max="8368" width="8.42578125" style="5" customWidth="1"/>
    <col min="8369" max="8612" width="9" style="5"/>
    <col min="8613" max="8613" width="10.85546875" style="5" customWidth="1"/>
    <col min="8614" max="8616" width="8.42578125" style="5" customWidth="1"/>
    <col min="8617" max="8617" width="0.7109375" style="5" customWidth="1"/>
    <col min="8618" max="8620" width="8.42578125" style="5" customWidth="1"/>
    <col min="8621" max="8621" width="0.7109375" style="5" customWidth="1"/>
    <col min="8622" max="8624" width="8.42578125" style="5" customWidth="1"/>
    <col min="8625" max="8868" width="9" style="5"/>
    <col min="8869" max="8869" width="10.85546875" style="5" customWidth="1"/>
    <col min="8870" max="8872" width="8.42578125" style="5" customWidth="1"/>
    <col min="8873" max="8873" width="0.7109375" style="5" customWidth="1"/>
    <col min="8874" max="8876" width="8.42578125" style="5" customWidth="1"/>
    <col min="8877" max="8877" width="0.7109375" style="5" customWidth="1"/>
    <col min="8878" max="8880" width="8.42578125" style="5" customWidth="1"/>
    <col min="8881" max="9124" width="9" style="5"/>
    <col min="9125" max="9125" width="10.85546875" style="5" customWidth="1"/>
    <col min="9126" max="9128" width="8.42578125" style="5" customWidth="1"/>
    <col min="9129" max="9129" width="0.7109375" style="5" customWidth="1"/>
    <col min="9130" max="9132" width="8.42578125" style="5" customWidth="1"/>
    <col min="9133" max="9133" width="0.7109375" style="5" customWidth="1"/>
    <col min="9134" max="9136" width="8.42578125" style="5" customWidth="1"/>
    <col min="9137" max="9380" width="9" style="5"/>
    <col min="9381" max="9381" width="10.85546875" style="5" customWidth="1"/>
    <col min="9382" max="9384" width="8.42578125" style="5" customWidth="1"/>
    <col min="9385" max="9385" width="0.7109375" style="5" customWidth="1"/>
    <col min="9386" max="9388" width="8.42578125" style="5" customWidth="1"/>
    <col min="9389" max="9389" width="0.7109375" style="5" customWidth="1"/>
    <col min="9390" max="9392" width="8.42578125" style="5" customWidth="1"/>
    <col min="9393" max="9636" width="9" style="5"/>
    <col min="9637" max="9637" width="10.85546875" style="5" customWidth="1"/>
    <col min="9638" max="9640" width="8.42578125" style="5" customWidth="1"/>
    <col min="9641" max="9641" width="0.7109375" style="5" customWidth="1"/>
    <col min="9642" max="9644" width="8.42578125" style="5" customWidth="1"/>
    <col min="9645" max="9645" width="0.7109375" style="5" customWidth="1"/>
    <col min="9646" max="9648" width="8.42578125" style="5" customWidth="1"/>
    <col min="9649" max="9892" width="9" style="5"/>
    <col min="9893" max="9893" width="10.85546875" style="5" customWidth="1"/>
    <col min="9894" max="9896" width="8.42578125" style="5" customWidth="1"/>
    <col min="9897" max="9897" width="0.7109375" style="5" customWidth="1"/>
    <col min="9898" max="9900" width="8.42578125" style="5" customWidth="1"/>
    <col min="9901" max="9901" width="0.7109375" style="5" customWidth="1"/>
    <col min="9902" max="9904" width="8.42578125" style="5" customWidth="1"/>
    <col min="9905" max="10148" width="9" style="5"/>
    <col min="10149" max="10149" width="10.85546875" style="5" customWidth="1"/>
    <col min="10150" max="10152" width="8.42578125" style="5" customWidth="1"/>
    <col min="10153" max="10153" width="0.7109375" style="5" customWidth="1"/>
    <col min="10154" max="10156" width="8.42578125" style="5" customWidth="1"/>
    <col min="10157" max="10157" width="0.7109375" style="5" customWidth="1"/>
    <col min="10158" max="10160" width="8.42578125" style="5" customWidth="1"/>
    <col min="10161" max="10404" width="9" style="5"/>
    <col min="10405" max="10405" width="10.85546875" style="5" customWidth="1"/>
    <col min="10406" max="10408" width="8.42578125" style="5" customWidth="1"/>
    <col min="10409" max="10409" width="0.7109375" style="5" customWidth="1"/>
    <col min="10410" max="10412" width="8.42578125" style="5" customWidth="1"/>
    <col min="10413" max="10413" width="0.7109375" style="5" customWidth="1"/>
    <col min="10414" max="10416" width="8.42578125" style="5" customWidth="1"/>
    <col min="10417" max="10660" width="9" style="5"/>
    <col min="10661" max="10661" width="10.85546875" style="5" customWidth="1"/>
    <col min="10662" max="10664" width="8.42578125" style="5" customWidth="1"/>
    <col min="10665" max="10665" width="0.7109375" style="5" customWidth="1"/>
    <col min="10666" max="10668" width="8.42578125" style="5" customWidth="1"/>
    <col min="10669" max="10669" width="0.7109375" style="5" customWidth="1"/>
    <col min="10670" max="10672" width="8.42578125" style="5" customWidth="1"/>
    <col min="10673" max="10916" width="9" style="5"/>
    <col min="10917" max="10917" width="10.85546875" style="5" customWidth="1"/>
    <col min="10918" max="10920" width="8.42578125" style="5" customWidth="1"/>
    <col min="10921" max="10921" width="0.7109375" style="5" customWidth="1"/>
    <col min="10922" max="10924" width="8.42578125" style="5" customWidth="1"/>
    <col min="10925" max="10925" width="0.7109375" style="5" customWidth="1"/>
    <col min="10926" max="10928" width="8.42578125" style="5" customWidth="1"/>
    <col min="10929" max="11172" width="9" style="5"/>
    <col min="11173" max="11173" width="10.85546875" style="5" customWidth="1"/>
    <col min="11174" max="11176" width="8.42578125" style="5" customWidth="1"/>
    <col min="11177" max="11177" width="0.7109375" style="5" customWidth="1"/>
    <col min="11178" max="11180" width="8.42578125" style="5" customWidth="1"/>
    <col min="11181" max="11181" width="0.7109375" style="5" customWidth="1"/>
    <col min="11182" max="11184" width="8.42578125" style="5" customWidth="1"/>
    <col min="11185" max="11428" width="9" style="5"/>
    <col min="11429" max="11429" width="10.85546875" style="5" customWidth="1"/>
    <col min="11430" max="11432" width="8.42578125" style="5" customWidth="1"/>
    <col min="11433" max="11433" width="0.7109375" style="5" customWidth="1"/>
    <col min="11434" max="11436" width="8.42578125" style="5" customWidth="1"/>
    <col min="11437" max="11437" width="0.7109375" style="5" customWidth="1"/>
    <col min="11438" max="11440" width="8.42578125" style="5" customWidth="1"/>
    <col min="11441" max="11684" width="9" style="5"/>
    <col min="11685" max="11685" width="10.85546875" style="5" customWidth="1"/>
    <col min="11686" max="11688" width="8.42578125" style="5" customWidth="1"/>
    <col min="11689" max="11689" width="0.7109375" style="5" customWidth="1"/>
    <col min="11690" max="11692" width="8.42578125" style="5" customWidth="1"/>
    <col min="11693" max="11693" width="0.7109375" style="5" customWidth="1"/>
    <col min="11694" max="11696" width="8.42578125" style="5" customWidth="1"/>
    <col min="11697" max="11940" width="9" style="5"/>
    <col min="11941" max="11941" width="10.85546875" style="5" customWidth="1"/>
    <col min="11942" max="11944" width="8.42578125" style="5" customWidth="1"/>
    <col min="11945" max="11945" width="0.7109375" style="5" customWidth="1"/>
    <col min="11946" max="11948" width="8.42578125" style="5" customWidth="1"/>
    <col min="11949" max="11949" width="0.7109375" style="5" customWidth="1"/>
    <col min="11950" max="11952" width="8.42578125" style="5" customWidth="1"/>
    <col min="11953" max="12196" width="9" style="5"/>
    <col min="12197" max="12197" width="10.85546875" style="5" customWidth="1"/>
    <col min="12198" max="12200" width="8.42578125" style="5" customWidth="1"/>
    <col min="12201" max="12201" width="0.7109375" style="5" customWidth="1"/>
    <col min="12202" max="12204" width="8.42578125" style="5" customWidth="1"/>
    <col min="12205" max="12205" width="0.7109375" style="5" customWidth="1"/>
    <col min="12206" max="12208" width="8.42578125" style="5" customWidth="1"/>
    <col min="12209" max="12452" width="9" style="5"/>
    <col min="12453" max="12453" width="10.85546875" style="5" customWidth="1"/>
    <col min="12454" max="12456" width="8.42578125" style="5" customWidth="1"/>
    <col min="12457" max="12457" width="0.7109375" style="5" customWidth="1"/>
    <col min="12458" max="12460" width="8.42578125" style="5" customWidth="1"/>
    <col min="12461" max="12461" width="0.7109375" style="5" customWidth="1"/>
    <col min="12462" max="12464" width="8.42578125" style="5" customWidth="1"/>
    <col min="12465" max="12708" width="9" style="5"/>
    <col min="12709" max="12709" width="10.85546875" style="5" customWidth="1"/>
    <col min="12710" max="12712" width="8.42578125" style="5" customWidth="1"/>
    <col min="12713" max="12713" width="0.7109375" style="5" customWidth="1"/>
    <col min="12714" max="12716" width="8.42578125" style="5" customWidth="1"/>
    <col min="12717" max="12717" width="0.7109375" style="5" customWidth="1"/>
    <col min="12718" max="12720" width="8.42578125" style="5" customWidth="1"/>
    <col min="12721" max="12964" width="9" style="5"/>
    <col min="12965" max="12965" width="10.85546875" style="5" customWidth="1"/>
    <col min="12966" max="12968" width="8.42578125" style="5" customWidth="1"/>
    <col min="12969" max="12969" width="0.7109375" style="5" customWidth="1"/>
    <col min="12970" max="12972" width="8.42578125" style="5" customWidth="1"/>
    <col min="12973" max="12973" width="0.7109375" style="5" customWidth="1"/>
    <col min="12974" max="12976" width="8.42578125" style="5" customWidth="1"/>
    <col min="12977" max="13220" width="9" style="5"/>
    <col min="13221" max="13221" width="10.85546875" style="5" customWidth="1"/>
    <col min="13222" max="13224" width="8.42578125" style="5" customWidth="1"/>
    <col min="13225" max="13225" width="0.7109375" style="5" customWidth="1"/>
    <col min="13226" max="13228" width="8.42578125" style="5" customWidth="1"/>
    <col min="13229" max="13229" width="0.7109375" style="5" customWidth="1"/>
    <col min="13230" max="13232" width="8.42578125" style="5" customWidth="1"/>
    <col min="13233" max="13476" width="9" style="5"/>
    <col min="13477" max="13477" width="10.85546875" style="5" customWidth="1"/>
    <col min="13478" max="13480" width="8.42578125" style="5" customWidth="1"/>
    <col min="13481" max="13481" width="0.7109375" style="5" customWidth="1"/>
    <col min="13482" max="13484" width="8.42578125" style="5" customWidth="1"/>
    <col min="13485" max="13485" width="0.7109375" style="5" customWidth="1"/>
    <col min="13486" max="13488" width="8.42578125" style="5" customWidth="1"/>
    <col min="13489" max="13732" width="9" style="5"/>
    <col min="13733" max="13733" width="10.85546875" style="5" customWidth="1"/>
    <col min="13734" max="13736" width="8.42578125" style="5" customWidth="1"/>
    <col min="13737" max="13737" width="0.7109375" style="5" customWidth="1"/>
    <col min="13738" max="13740" width="8.42578125" style="5" customWidth="1"/>
    <col min="13741" max="13741" width="0.7109375" style="5" customWidth="1"/>
    <col min="13742" max="13744" width="8.42578125" style="5" customWidth="1"/>
    <col min="13745" max="13988" width="9" style="5"/>
    <col min="13989" max="13989" width="10.85546875" style="5" customWidth="1"/>
    <col min="13990" max="13992" width="8.42578125" style="5" customWidth="1"/>
    <col min="13993" max="13993" width="0.7109375" style="5" customWidth="1"/>
    <col min="13994" max="13996" width="8.42578125" style="5" customWidth="1"/>
    <col min="13997" max="13997" width="0.7109375" style="5" customWidth="1"/>
    <col min="13998" max="14000" width="8.42578125" style="5" customWidth="1"/>
    <col min="14001" max="14244" width="9" style="5"/>
    <col min="14245" max="14245" width="10.85546875" style="5" customWidth="1"/>
    <col min="14246" max="14248" width="8.42578125" style="5" customWidth="1"/>
    <col min="14249" max="14249" width="0.7109375" style="5" customWidth="1"/>
    <col min="14250" max="14252" width="8.42578125" style="5" customWidth="1"/>
    <col min="14253" max="14253" width="0.7109375" style="5" customWidth="1"/>
    <col min="14254" max="14256" width="8.42578125" style="5" customWidth="1"/>
    <col min="14257" max="14500" width="9" style="5"/>
    <col min="14501" max="14501" width="10.85546875" style="5" customWidth="1"/>
    <col min="14502" max="14504" width="8.42578125" style="5" customWidth="1"/>
    <col min="14505" max="14505" width="0.7109375" style="5" customWidth="1"/>
    <col min="14506" max="14508" width="8.42578125" style="5" customWidth="1"/>
    <col min="14509" max="14509" width="0.7109375" style="5" customWidth="1"/>
    <col min="14510" max="14512" width="8.42578125" style="5" customWidth="1"/>
    <col min="14513" max="14756" width="9" style="5"/>
    <col min="14757" max="14757" width="10.85546875" style="5" customWidth="1"/>
    <col min="14758" max="14760" width="8.42578125" style="5" customWidth="1"/>
    <col min="14761" max="14761" width="0.7109375" style="5" customWidth="1"/>
    <col min="14762" max="14764" width="8.42578125" style="5" customWidth="1"/>
    <col min="14765" max="14765" width="0.7109375" style="5" customWidth="1"/>
    <col min="14766" max="14768" width="8.42578125" style="5" customWidth="1"/>
    <col min="14769" max="15012" width="9" style="5"/>
    <col min="15013" max="15013" width="10.85546875" style="5" customWidth="1"/>
    <col min="15014" max="15016" width="8.42578125" style="5" customWidth="1"/>
    <col min="15017" max="15017" width="0.7109375" style="5" customWidth="1"/>
    <col min="15018" max="15020" width="8.42578125" style="5" customWidth="1"/>
    <col min="15021" max="15021" width="0.7109375" style="5" customWidth="1"/>
    <col min="15022" max="15024" width="8.42578125" style="5" customWidth="1"/>
    <col min="15025" max="15268" width="9" style="5"/>
    <col min="15269" max="15269" width="10.85546875" style="5" customWidth="1"/>
    <col min="15270" max="15272" width="8.42578125" style="5" customWidth="1"/>
    <col min="15273" max="15273" width="0.7109375" style="5" customWidth="1"/>
    <col min="15274" max="15276" width="8.42578125" style="5" customWidth="1"/>
    <col min="15277" max="15277" width="0.7109375" style="5" customWidth="1"/>
    <col min="15278" max="15280" width="8.42578125" style="5" customWidth="1"/>
    <col min="15281" max="15524" width="9" style="5"/>
    <col min="15525" max="15525" width="10.85546875" style="5" customWidth="1"/>
    <col min="15526" max="15528" width="8.42578125" style="5" customWidth="1"/>
    <col min="15529" max="15529" width="0.7109375" style="5" customWidth="1"/>
    <col min="15530" max="15532" width="8.42578125" style="5" customWidth="1"/>
    <col min="15533" max="15533" width="0.7109375" style="5" customWidth="1"/>
    <col min="15534" max="15536" width="8.42578125" style="5" customWidth="1"/>
    <col min="15537" max="15780" width="9" style="5"/>
    <col min="15781" max="15781" width="10.85546875" style="5" customWidth="1"/>
    <col min="15782" max="15784" width="8.42578125" style="5" customWidth="1"/>
    <col min="15785" max="15785" width="0.7109375" style="5" customWidth="1"/>
    <col min="15786" max="15788" width="8.42578125" style="5" customWidth="1"/>
    <col min="15789" max="15789" width="0.7109375" style="5" customWidth="1"/>
    <col min="15790" max="15792" width="8.42578125" style="5" customWidth="1"/>
    <col min="15793" max="16384" width="9" style="5"/>
  </cols>
  <sheetData>
    <row r="1" spans="1:28" ht="30" customHeight="1" thickBot="1" x14ac:dyDescent="0.25">
      <c r="A1" s="61" t="s">
        <v>106</v>
      </c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61"/>
      <c r="U1" s="61"/>
      <c r="V1" s="61"/>
      <c r="W1" s="61"/>
      <c r="X1" s="61"/>
      <c r="Y1" s="61"/>
      <c r="Z1" s="115"/>
      <c r="AA1" s="115"/>
      <c r="AB1" s="115"/>
    </row>
    <row r="2" spans="1:28" ht="11.1" customHeight="1" x14ac:dyDescent="0.2">
      <c r="A2" s="235" t="s">
        <v>24</v>
      </c>
      <c r="B2" s="236"/>
      <c r="C2" s="236"/>
      <c r="D2" s="236"/>
      <c r="E2" s="236"/>
      <c r="F2" s="236"/>
      <c r="G2" s="236"/>
      <c r="H2" s="236"/>
      <c r="I2" s="236"/>
      <c r="J2" s="237"/>
      <c r="K2" s="238" t="s">
        <v>25</v>
      </c>
      <c r="L2" s="239"/>
      <c r="M2" s="239"/>
      <c r="N2" s="239"/>
      <c r="O2" s="239"/>
      <c r="P2" s="239"/>
      <c r="Q2" s="239"/>
      <c r="R2" s="239"/>
      <c r="S2" s="240"/>
      <c r="T2" s="239" t="s">
        <v>26</v>
      </c>
      <c r="U2" s="239"/>
      <c r="V2" s="239"/>
      <c r="W2" s="239"/>
      <c r="X2" s="239"/>
      <c r="Y2" s="239"/>
      <c r="Z2" s="146"/>
      <c r="AA2" s="147"/>
      <c r="AB2" s="147"/>
    </row>
    <row r="3" spans="1:28" ht="17.25" customHeight="1" thickBot="1" x14ac:dyDescent="0.25">
      <c r="A3" s="241" t="s">
        <v>103</v>
      </c>
      <c r="B3" s="11"/>
      <c r="C3" s="11" t="s">
        <v>0</v>
      </c>
      <c r="D3" s="12"/>
      <c r="E3" s="86"/>
      <c r="F3" s="13" t="s">
        <v>1</v>
      </c>
      <c r="G3" s="14"/>
      <c r="H3" s="11"/>
      <c r="I3" s="11" t="s">
        <v>2</v>
      </c>
      <c r="J3" s="15"/>
      <c r="K3" s="88"/>
      <c r="L3" s="11" t="s">
        <v>0</v>
      </c>
      <c r="M3" s="12"/>
      <c r="N3" s="13"/>
      <c r="O3" s="13" t="s">
        <v>1</v>
      </c>
      <c r="P3" s="14"/>
      <c r="Q3" s="11"/>
      <c r="R3" s="11" t="s">
        <v>2</v>
      </c>
      <c r="S3" s="15"/>
      <c r="T3" s="88"/>
      <c r="U3" s="11" t="s">
        <v>0</v>
      </c>
      <c r="V3" s="12"/>
      <c r="W3" s="13"/>
      <c r="X3" s="13" t="s">
        <v>1</v>
      </c>
      <c r="Y3" s="13"/>
      <c r="Z3" s="86"/>
      <c r="AA3" s="13" t="s">
        <v>2</v>
      </c>
      <c r="AB3" s="13"/>
    </row>
    <row r="4" spans="1:28" ht="12.75" customHeight="1" thickBot="1" x14ac:dyDescent="0.25">
      <c r="A4" s="242"/>
      <c r="B4" s="9" t="s">
        <v>0</v>
      </c>
      <c r="C4" s="10" t="s">
        <v>3</v>
      </c>
      <c r="D4" s="16" t="s">
        <v>4</v>
      </c>
      <c r="E4" s="19" t="s">
        <v>0</v>
      </c>
      <c r="F4" s="20" t="s">
        <v>3</v>
      </c>
      <c r="G4" s="21" t="s">
        <v>4</v>
      </c>
      <c r="H4" s="17" t="s">
        <v>0</v>
      </c>
      <c r="I4" s="10" t="s">
        <v>3</v>
      </c>
      <c r="J4" s="18" t="s">
        <v>4</v>
      </c>
      <c r="K4" s="124" t="s">
        <v>0</v>
      </c>
      <c r="L4" s="10" t="s">
        <v>3</v>
      </c>
      <c r="M4" s="10" t="s">
        <v>4</v>
      </c>
      <c r="N4" s="19" t="s">
        <v>0</v>
      </c>
      <c r="O4" s="20" t="s">
        <v>3</v>
      </c>
      <c r="P4" s="21" t="s">
        <v>4</v>
      </c>
      <c r="Q4" s="17" t="s">
        <v>0</v>
      </c>
      <c r="R4" s="10" t="s">
        <v>3</v>
      </c>
      <c r="S4" s="18" t="s">
        <v>4</v>
      </c>
      <c r="T4" s="141" t="s">
        <v>0</v>
      </c>
      <c r="U4" s="135" t="s">
        <v>3</v>
      </c>
      <c r="V4" s="142" t="s">
        <v>4</v>
      </c>
      <c r="W4" s="145" t="s">
        <v>0</v>
      </c>
      <c r="X4" s="137" t="s">
        <v>3</v>
      </c>
      <c r="Y4" s="137" t="s">
        <v>4</v>
      </c>
      <c r="Z4" s="136" t="s">
        <v>0</v>
      </c>
      <c r="AA4" s="137" t="s">
        <v>3</v>
      </c>
      <c r="AB4" s="137" t="s">
        <v>4</v>
      </c>
    </row>
    <row r="5" spans="1:28" ht="16.5" customHeight="1" thickBot="1" x14ac:dyDescent="0.25">
      <c r="A5" s="185" t="s">
        <v>70</v>
      </c>
      <c r="B5" s="23">
        <v>916122.71156311932</v>
      </c>
      <c r="C5" s="23">
        <v>460078.0649080138</v>
      </c>
      <c r="D5" s="24">
        <v>456044.64665266423</v>
      </c>
      <c r="E5" s="27">
        <f>+E6+E7+E8+E9+E10+E11+E12+E13+E14+E15+E16+E17+E18+E19</f>
        <v>691853.23943480081</v>
      </c>
      <c r="F5" s="28">
        <f t="shared" ref="F5:G5" si="0">+F6+F7+F8+F9+F10+F11+F12+F13+F14+F15+F16+F17+F18+F19</f>
        <v>345626.39689826651</v>
      </c>
      <c r="G5" s="24">
        <f t="shared" si="0"/>
        <v>346226.84253662324</v>
      </c>
      <c r="H5" s="23">
        <v>224269.4721253168</v>
      </c>
      <c r="I5" s="23">
        <v>114451.66800953027</v>
      </c>
      <c r="J5" s="25">
        <v>109817.80411580396</v>
      </c>
      <c r="K5" s="23">
        <v>947025.15581920173</v>
      </c>
      <c r="L5" s="23">
        <v>475597.31421311013</v>
      </c>
      <c r="M5" s="24">
        <v>471427.84160479269</v>
      </c>
      <c r="N5" s="26">
        <f>+N6+N7+N8+N9+N10+N11+N12+N13+N14+N15+N16+N17+N18+N19</f>
        <v>715190.67654815991</v>
      </c>
      <c r="O5" s="28">
        <f t="shared" ref="O5:P5" si="1">+O6+O7+O8+O9+O10+O11+O12+O13+O14+O15+O16+O17+O18+O19</f>
        <v>357284.98840703408</v>
      </c>
      <c r="P5" s="29">
        <f t="shared" si="1"/>
        <v>357905.68814198382</v>
      </c>
      <c r="Q5" s="23">
        <f>SUM(Q6:Q19)</f>
        <v>231834.4792741868</v>
      </c>
      <c r="R5" s="23">
        <f t="shared" ref="R5:S5" si="2">SUM(R6:R19)</f>
        <v>118312.32580874808</v>
      </c>
      <c r="S5" s="23">
        <f t="shared" si="2"/>
        <v>113522.1534654119</v>
      </c>
      <c r="T5" s="133">
        <v>978875.77008060936</v>
      </c>
      <c r="U5" s="28">
        <v>491592.73577836977</v>
      </c>
      <c r="V5" s="29">
        <v>487283.03430391639</v>
      </c>
      <c r="W5" s="28">
        <f>SUM(W6:W19)</f>
        <v>739244.1689202534</v>
      </c>
      <c r="X5" s="28">
        <f t="shared" ref="X5:Y5" si="3">SUM(X6:X19)</f>
        <v>369301.29681945313</v>
      </c>
      <c r="Y5" s="29">
        <f t="shared" si="3"/>
        <v>369942.87210106215</v>
      </c>
      <c r="Z5" s="28">
        <f>SUM(Z6:Z19)</f>
        <v>239631.60116291262</v>
      </c>
      <c r="AA5" s="28">
        <f t="shared" ref="AA5:AB5" si="4">SUM(AA6:AA19)</f>
        <v>122291.43895950307</v>
      </c>
      <c r="AB5" s="28">
        <f t="shared" si="4"/>
        <v>117340.16220345479</v>
      </c>
    </row>
    <row r="6" spans="1:28" ht="12" customHeight="1" x14ac:dyDescent="0.2">
      <c r="A6" s="186" t="s">
        <v>98</v>
      </c>
      <c r="B6" s="32">
        <v>227035.83897328444</v>
      </c>
      <c r="C6" s="32">
        <v>114018.43083674666</v>
      </c>
      <c r="D6" s="33">
        <v>113017.40813682244</v>
      </c>
      <c r="E6" s="35">
        <v>185615.90558699137</v>
      </c>
      <c r="F6" s="32">
        <v>92519.274603258324</v>
      </c>
      <c r="G6" s="33">
        <v>93096.630983843701</v>
      </c>
      <c r="H6" s="32">
        <v>41419.933386415032</v>
      </c>
      <c r="I6" s="32">
        <v>21499.156233463058</v>
      </c>
      <c r="J6" s="34">
        <v>19920.777152952949</v>
      </c>
      <c r="K6" s="125">
        <v>234694.16058372264</v>
      </c>
      <c r="L6" s="32">
        <v>117864.47477759821</v>
      </c>
      <c r="M6" s="32">
        <v>116829.68580619544</v>
      </c>
      <c r="N6" s="35">
        <v>191877.05936524403</v>
      </c>
      <c r="O6" s="32">
        <v>95640.113864855652</v>
      </c>
      <c r="P6" s="144">
        <v>96236.945500392845</v>
      </c>
      <c r="Q6" s="32">
        <v>42817.101218510143</v>
      </c>
      <c r="R6" s="32">
        <v>22224.360912720978</v>
      </c>
      <c r="S6" s="34">
        <v>20592.740305781143</v>
      </c>
      <c r="T6" s="125">
        <v>242587.46007195776</v>
      </c>
      <c r="U6" s="32">
        <v>121828.52567744641</v>
      </c>
      <c r="V6" s="33">
        <v>120758.93439465111</v>
      </c>
      <c r="W6" s="32">
        <v>198330.32215935932</v>
      </c>
      <c r="X6" s="32">
        <v>98856.708857894104</v>
      </c>
      <c r="Y6" s="32">
        <v>99473.613301513018</v>
      </c>
      <c r="Z6" s="35">
        <v>44257.137912648664</v>
      </c>
      <c r="AA6" s="32">
        <v>22971.81681953834</v>
      </c>
      <c r="AB6" s="32">
        <v>21285.321093122704</v>
      </c>
    </row>
    <row r="7" spans="1:28" ht="12" customHeight="1" x14ac:dyDescent="0.2">
      <c r="A7" s="186" t="s">
        <v>99</v>
      </c>
      <c r="B7" s="32">
        <v>29609.316936449442</v>
      </c>
      <c r="C7" s="32">
        <v>15372.163088677085</v>
      </c>
      <c r="D7" s="33">
        <v>14237.15384776537</v>
      </c>
      <c r="E7" s="35">
        <v>26141.057775362315</v>
      </c>
      <c r="F7" s="32">
        <v>13639.410716859311</v>
      </c>
      <c r="G7" s="33">
        <v>12501.647058498798</v>
      </c>
      <c r="H7" s="32">
        <v>3468.2591610851559</v>
      </c>
      <c r="I7" s="32">
        <v>1732.7523718181126</v>
      </c>
      <c r="J7" s="34">
        <v>1735.5067892670154</v>
      </c>
      <c r="K7" s="125">
        <v>30608.091723640769</v>
      </c>
      <c r="L7" s="32">
        <v>15890.693419876965</v>
      </c>
      <c r="M7" s="32">
        <v>14717.398303762624</v>
      </c>
      <c r="N7" s="35">
        <v>27022.842028360017</v>
      </c>
      <c r="O7" s="32">
        <v>14099.492236654894</v>
      </c>
      <c r="P7" s="33">
        <v>12923.349791704783</v>
      </c>
      <c r="Q7" s="32">
        <v>3585.2496952802744</v>
      </c>
      <c r="R7" s="32">
        <v>1791.2011832222497</v>
      </c>
      <c r="S7" s="34">
        <v>1794.0485120580429</v>
      </c>
      <c r="T7" s="125">
        <v>31637.511604151736</v>
      </c>
      <c r="U7" s="32">
        <v>16425.133654479312</v>
      </c>
      <c r="V7" s="33">
        <v>15212.377949670468</v>
      </c>
      <c r="W7" s="32">
        <v>27931.681790834315</v>
      </c>
      <c r="X7" s="32">
        <v>14573.690293317622</v>
      </c>
      <c r="Y7" s="32">
        <v>13357.991497515195</v>
      </c>
      <c r="Z7" s="35">
        <v>3705.8298133165899</v>
      </c>
      <c r="AA7" s="32">
        <v>1851.4433611614793</v>
      </c>
      <c r="AB7" s="32">
        <v>1854.3864521550797</v>
      </c>
    </row>
    <row r="8" spans="1:28" ht="12" customHeight="1" x14ac:dyDescent="0.2">
      <c r="A8" s="186" t="s">
        <v>100</v>
      </c>
      <c r="B8" s="32">
        <v>39100.1938136155</v>
      </c>
      <c r="C8" s="32">
        <v>20276.476592156385</v>
      </c>
      <c r="D8" s="33">
        <v>18823.717221456332</v>
      </c>
      <c r="E8" s="35">
        <v>26777.532907893696</v>
      </c>
      <c r="F8" s="32">
        <v>13756.725873351234</v>
      </c>
      <c r="G8" s="33">
        <v>13020.807034537927</v>
      </c>
      <c r="H8" s="32">
        <v>12322.660905722523</v>
      </c>
      <c r="I8" s="32">
        <v>6519.7507188047975</v>
      </c>
      <c r="J8" s="34">
        <v>5802.9101869185124</v>
      </c>
      <c r="K8" s="125">
        <v>40419.112714698393</v>
      </c>
      <c r="L8" s="32">
        <v>20960.438118079604</v>
      </c>
      <c r="M8" s="32">
        <v>19458.674596610745</v>
      </c>
      <c r="N8" s="35">
        <v>27680.786596217451</v>
      </c>
      <c r="O8" s="32">
        <v>14220.764641492024</v>
      </c>
      <c r="P8" s="33">
        <v>13460.021954725162</v>
      </c>
      <c r="Q8" s="32">
        <v>12738.326118473771</v>
      </c>
      <c r="R8" s="32">
        <v>6739.6734765878755</v>
      </c>
      <c r="S8" s="34">
        <v>5998.6526418859348</v>
      </c>
      <c r="T8" s="125">
        <v>41778.499590440704</v>
      </c>
      <c r="U8" s="32">
        <v>21665.385420832419</v>
      </c>
      <c r="V8" s="33">
        <v>20113.114169617569</v>
      </c>
      <c r="W8" s="32">
        <v>28611.754533965868</v>
      </c>
      <c r="X8" s="32">
        <v>14699.041365509724</v>
      </c>
      <c r="Y8" s="32">
        <v>13912.71316845454</v>
      </c>
      <c r="Z8" s="35">
        <v>13166.745056484411</v>
      </c>
      <c r="AA8" s="32">
        <v>6966.3440553219707</v>
      </c>
      <c r="AB8" s="32">
        <v>6200.4010011624614</v>
      </c>
    </row>
    <row r="9" spans="1:28" ht="12" customHeight="1" x14ac:dyDescent="0.2">
      <c r="A9" s="186" t="s">
        <v>66</v>
      </c>
      <c r="B9" s="32">
        <v>41976.26074053839</v>
      </c>
      <c r="C9" s="32">
        <v>21117.408015949452</v>
      </c>
      <c r="D9" s="33">
        <v>20858.852724590364</v>
      </c>
      <c r="E9" s="35">
        <v>23953.498768504243</v>
      </c>
      <c r="F9" s="32">
        <v>12074.676351330119</v>
      </c>
      <c r="G9" s="33">
        <v>11878.822417170441</v>
      </c>
      <c r="H9" s="32">
        <v>18022.76197203618</v>
      </c>
      <c r="I9" s="32">
        <v>9042.731664617786</v>
      </c>
      <c r="J9" s="34">
        <v>8980.030307418654</v>
      </c>
      <c r="K9" s="125">
        <v>43392.194481211853</v>
      </c>
      <c r="L9" s="32">
        <v>21829.735650608691</v>
      </c>
      <c r="M9" s="32">
        <v>21562.458830595082</v>
      </c>
      <c r="N9" s="35">
        <v>24761.492775470448</v>
      </c>
      <c r="O9" s="32">
        <v>12481.976605136759</v>
      </c>
      <c r="P9" s="33">
        <v>12279.51617033292</v>
      </c>
      <c r="Q9" s="32">
        <v>18630.701705733049</v>
      </c>
      <c r="R9" s="32">
        <v>9347.7590454714828</v>
      </c>
      <c r="S9" s="34">
        <v>9282.9426602618059</v>
      </c>
      <c r="T9" s="125">
        <v>44851.572872410325</v>
      </c>
      <c r="U9" s="32">
        <v>22563.919410509992</v>
      </c>
      <c r="V9" s="33">
        <v>22287.653461915255</v>
      </c>
      <c r="W9" s="32">
        <v>25594.278208956082</v>
      </c>
      <c r="X9" s="32">
        <v>12901.77392479461</v>
      </c>
      <c r="Y9" s="32">
        <v>12692.504284160908</v>
      </c>
      <c r="Z9" s="35">
        <v>19257.294663468994</v>
      </c>
      <c r="AA9" s="32">
        <v>9662.1454857147091</v>
      </c>
      <c r="AB9" s="32">
        <v>9595.1491777538595</v>
      </c>
    </row>
    <row r="10" spans="1:28" ht="12" customHeight="1" x14ac:dyDescent="0.2">
      <c r="A10" s="186" t="s">
        <v>65</v>
      </c>
      <c r="B10" s="32">
        <v>20925.877658164642</v>
      </c>
      <c r="C10" s="32">
        <v>10669.292071625794</v>
      </c>
      <c r="D10" s="33">
        <v>10256.585586537578</v>
      </c>
      <c r="E10" s="35">
        <v>1410.3253983134809</v>
      </c>
      <c r="F10" s="32">
        <v>685.6563526293761</v>
      </c>
      <c r="G10" s="33">
        <v>724.66904568409041</v>
      </c>
      <c r="H10" s="32">
        <v>19515.552259850258</v>
      </c>
      <c r="I10" s="32">
        <v>9983.6357189965238</v>
      </c>
      <c r="J10" s="34">
        <v>9531.916540853661</v>
      </c>
      <c r="K10" s="125">
        <v>21631.74463408142</v>
      </c>
      <c r="L10" s="32">
        <v>11029.186220526239</v>
      </c>
      <c r="M10" s="32">
        <v>10602.558413554754</v>
      </c>
      <c r="N10" s="35">
        <v>1457.898175915853</v>
      </c>
      <c r="O10" s="32">
        <v>708.78475775793743</v>
      </c>
      <c r="P10" s="33">
        <v>749.11341815790468</v>
      </c>
      <c r="Q10" s="32">
        <v>20173.846458164968</v>
      </c>
      <c r="R10" s="32">
        <v>10320.401462768441</v>
      </c>
      <c r="S10" s="34">
        <v>9853.4449953969324</v>
      </c>
      <c r="T10" s="125">
        <v>22359.269504874421</v>
      </c>
      <c r="U10" s="32">
        <v>11400.122888639457</v>
      </c>
      <c r="V10" s="33">
        <v>10959.146616234431</v>
      </c>
      <c r="W10" s="32">
        <v>1506.9306141218176</v>
      </c>
      <c r="X10" s="32">
        <v>732.62280448179047</v>
      </c>
      <c r="Y10" s="32">
        <v>774.30780964002531</v>
      </c>
      <c r="Z10" s="35">
        <v>20852.33889075249</v>
      </c>
      <c r="AA10" s="32">
        <v>10667.500084157495</v>
      </c>
      <c r="AB10" s="32">
        <v>10184.838806594307</v>
      </c>
    </row>
    <row r="11" spans="1:28" ht="12" customHeight="1" x14ac:dyDescent="0.2">
      <c r="A11" s="187" t="s">
        <v>64</v>
      </c>
      <c r="B11" s="32">
        <v>4225.0465542929414</v>
      </c>
      <c r="C11" s="32">
        <v>2239.2188889426907</v>
      </c>
      <c r="D11" s="33">
        <v>1985.8276653503149</v>
      </c>
      <c r="E11" s="189">
        <v>0</v>
      </c>
      <c r="F11" s="190">
        <v>0</v>
      </c>
      <c r="G11" s="191">
        <v>0</v>
      </c>
      <c r="H11" s="37">
        <v>4225.0465542929414</v>
      </c>
      <c r="I11" s="37">
        <v>2239.2188889426907</v>
      </c>
      <c r="J11" s="39">
        <v>1985.8276653503149</v>
      </c>
      <c r="K11" s="125">
        <v>4367.5648698018294</v>
      </c>
      <c r="L11" s="32">
        <v>2314.7517144410185</v>
      </c>
      <c r="M11" s="32">
        <v>2052.81315536084</v>
      </c>
      <c r="N11" s="189">
        <v>0</v>
      </c>
      <c r="O11" s="190">
        <v>0</v>
      </c>
      <c r="P11" s="191">
        <v>0</v>
      </c>
      <c r="Q11" s="37">
        <v>4367.5648698018294</v>
      </c>
      <c r="R11" s="37">
        <v>2314.7517144410185</v>
      </c>
      <c r="S11" s="39">
        <v>2052.81315536084</v>
      </c>
      <c r="T11" s="125">
        <v>4514.456030053736</v>
      </c>
      <c r="U11" s="32">
        <v>2392.6020899168047</v>
      </c>
      <c r="V11" s="33">
        <v>2121.8539401367757</v>
      </c>
      <c r="W11" s="190">
        <v>0</v>
      </c>
      <c r="X11" s="190">
        <v>0</v>
      </c>
      <c r="Y11" s="190">
        <v>0</v>
      </c>
      <c r="Z11" s="40">
        <v>4514.456030053736</v>
      </c>
      <c r="AA11" s="37">
        <v>2392.6020899168047</v>
      </c>
      <c r="AB11" s="37">
        <v>2121.8539401367757</v>
      </c>
    </row>
    <row r="12" spans="1:28" ht="12" customHeight="1" x14ac:dyDescent="0.2">
      <c r="A12" s="187" t="s">
        <v>63</v>
      </c>
      <c r="B12" s="37">
        <v>11523.299354288292</v>
      </c>
      <c r="C12" s="37">
        <v>5905.2174900491846</v>
      </c>
      <c r="D12" s="38">
        <v>5618.0818642398972</v>
      </c>
      <c r="E12" s="35">
        <v>3117.0325943846797</v>
      </c>
      <c r="F12" s="32">
        <v>1555.372388633509</v>
      </c>
      <c r="G12" s="33">
        <v>1561.6602057512175</v>
      </c>
      <c r="H12" s="32">
        <v>8406.2667599041833</v>
      </c>
      <c r="I12" s="32">
        <v>4349.8451014157354</v>
      </c>
      <c r="J12" s="34">
        <v>4056.4216584887572</v>
      </c>
      <c r="K12" s="126">
        <v>11912.000683842096</v>
      </c>
      <c r="L12" s="37">
        <v>6104.4109518443347</v>
      </c>
      <c r="M12" s="37">
        <v>5807.5897319979231</v>
      </c>
      <c r="N12" s="35">
        <v>3222.1756334091569</v>
      </c>
      <c r="O12" s="32">
        <v>1607.8378585327332</v>
      </c>
      <c r="P12" s="33">
        <v>1614.3377748764099</v>
      </c>
      <c r="Q12" s="32">
        <v>8689.8250504331463</v>
      </c>
      <c r="R12" s="32">
        <v>4496.5730933116092</v>
      </c>
      <c r="S12" s="34">
        <v>4193.2519571215616</v>
      </c>
      <c r="T12" s="126">
        <v>12312.628414290741</v>
      </c>
      <c r="U12" s="37">
        <v>6309.7162041079382</v>
      </c>
      <c r="V12" s="38">
        <v>6002.9122101824714</v>
      </c>
      <c r="W12" s="32">
        <v>3330.5447432988922</v>
      </c>
      <c r="X12" s="32">
        <v>1661.9131099776341</v>
      </c>
      <c r="Y12" s="32">
        <v>1668.6316333212544</v>
      </c>
      <c r="Z12" s="35">
        <v>8982.0836709914329</v>
      </c>
      <c r="AA12" s="32">
        <v>4647.8030941299858</v>
      </c>
      <c r="AB12" s="32">
        <v>4334.2805768608632</v>
      </c>
    </row>
    <row r="13" spans="1:28" ht="12" customHeight="1" x14ac:dyDescent="0.2">
      <c r="A13" s="187" t="s">
        <v>62</v>
      </c>
      <c r="B13" s="37">
        <v>2805.4002116554188</v>
      </c>
      <c r="C13" s="37">
        <v>1453.6529243733285</v>
      </c>
      <c r="D13" s="38">
        <v>1351.7472872821093</v>
      </c>
      <c r="E13" s="40">
        <v>1275.2370140367505</v>
      </c>
      <c r="F13" s="37">
        <v>641.09191124270365</v>
      </c>
      <c r="G13" s="38">
        <v>634.1451027940343</v>
      </c>
      <c r="H13" s="37">
        <v>1530.1631976186852</v>
      </c>
      <c r="I13" s="37">
        <v>812.5610131306089</v>
      </c>
      <c r="J13" s="39">
        <v>717.60218448806086</v>
      </c>
      <c r="K13" s="126">
        <v>2900.0313375745377</v>
      </c>
      <c r="L13" s="37">
        <v>1502.6872162927211</v>
      </c>
      <c r="M13" s="37">
        <v>1397.3441212818195</v>
      </c>
      <c r="N13" s="40">
        <v>1318.2530207906755</v>
      </c>
      <c r="O13" s="37">
        <v>662.71707870597288</v>
      </c>
      <c r="P13" s="38">
        <v>655.53594208469053</v>
      </c>
      <c r="Q13" s="37">
        <v>1581.7783167838693</v>
      </c>
      <c r="R13" s="37">
        <v>839.97013758674382</v>
      </c>
      <c r="S13" s="39">
        <v>741.80817919711853</v>
      </c>
      <c r="T13" s="126">
        <v>2997.5660006285716</v>
      </c>
      <c r="U13" s="37">
        <v>1553.2260120007927</v>
      </c>
      <c r="V13" s="38">
        <v>1444.3399886277548</v>
      </c>
      <c r="W13" s="37">
        <v>1362.5888741784731</v>
      </c>
      <c r="X13" s="37">
        <v>685.00576439507142</v>
      </c>
      <c r="Y13" s="37">
        <v>677.58310978340467</v>
      </c>
      <c r="Z13" s="40">
        <v>1634.9771264500723</v>
      </c>
      <c r="AA13" s="37">
        <v>868.22024760572037</v>
      </c>
      <c r="AB13" s="37">
        <v>766.75687884435183</v>
      </c>
    </row>
    <row r="14" spans="1:28" ht="12" customHeight="1" x14ac:dyDescent="0.2">
      <c r="A14" s="187" t="s">
        <v>72</v>
      </c>
      <c r="B14" s="37">
        <v>330842.93219659035</v>
      </c>
      <c r="C14" s="37">
        <v>164860.97536643184</v>
      </c>
      <c r="D14" s="38">
        <v>165981.95683014448</v>
      </c>
      <c r="E14" s="40">
        <v>316484.41257165751</v>
      </c>
      <c r="F14" s="37">
        <v>157587.75203957059</v>
      </c>
      <c r="G14" s="38">
        <v>158896.66053213357</v>
      </c>
      <c r="H14" s="37">
        <v>14358.519624930894</v>
      </c>
      <c r="I14" s="37">
        <v>7273.2233268906512</v>
      </c>
      <c r="J14" s="39">
        <v>7085.296298041404</v>
      </c>
      <c r="K14" s="126">
        <v>342002.85121413757</v>
      </c>
      <c r="L14" s="37">
        <v>170422.02852903394</v>
      </c>
      <c r="M14" s="37">
        <v>171580.8226861587</v>
      </c>
      <c r="N14" s="40">
        <v>327159.99325039476</v>
      </c>
      <c r="O14" s="37">
        <v>162903.46647663711</v>
      </c>
      <c r="P14" s="38">
        <v>164256.52677467291</v>
      </c>
      <c r="Q14" s="37">
        <v>14842.857963894729</v>
      </c>
      <c r="R14" s="37">
        <v>7518.5620524048682</v>
      </c>
      <c r="S14" s="39">
        <v>7324.2959114899677</v>
      </c>
      <c r="T14" s="126">
        <v>353505.18652552395</v>
      </c>
      <c r="U14" s="37">
        <v>176153.70974015188</v>
      </c>
      <c r="V14" s="38">
        <v>177351.47678566986</v>
      </c>
      <c r="W14" s="37">
        <v>338163.12942147366</v>
      </c>
      <c r="X14" s="37">
        <v>168382.2813111259</v>
      </c>
      <c r="Y14" s="37">
        <v>169780.84811060925</v>
      </c>
      <c r="Z14" s="40">
        <v>15342.057104095349</v>
      </c>
      <c r="AA14" s="37">
        <v>7771.4284290310079</v>
      </c>
      <c r="AB14" s="37">
        <v>7570.6286750645731</v>
      </c>
    </row>
    <row r="15" spans="1:28" ht="12" customHeight="1" x14ac:dyDescent="0.2">
      <c r="A15" s="187" t="s">
        <v>101</v>
      </c>
      <c r="B15" s="37">
        <v>15994.271817276694</v>
      </c>
      <c r="C15" s="37">
        <v>8113.8406027607134</v>
      </c>
      <c r="D15" s="38">
        <v>7880.4312145171816</v>
      </c>
      <c r="E15" s="40">
        <v>4749.4984872042724</v>
      </c>
      <c r="F15" s="37">
        <v>2487.6358780565834</v>
      </c>
      <c r="G15" s="38">
        <v>2261.8626091477704</v>
      </c>
      <c r="H15" s="37">
        <v>11244.773330073136</v>
      </c>
      <c r="I15" s="37">
        <v>5626.2047247042719</v>
      </c>
      <c r="J15" s="39">
        <v>5618.5686053695399</v>
      </c>
      <c r="K15" s="126">
        <v>16533.786979512934</v>
      </c>
      <c r="L15" s="37">
        <v>8387.5348402451709</v>
      </c>
      <c r="M15" s="37">
        <v>8146.2521392678736</v>
      </c>
      <c r="N15" s="40">
        <v>4909.7074967879807</v>
      </c>
      <c r="O15" s="37">
        <v>2571.5482492894853</v>
      </c>
      <c r="P15" s="38">
        <v>2338.1592474985887</v>
      </c>
      <c r="Q15" s="37">
        <v>11624.079482724919</v>
      </c>
      <c r="R15" s="37">
        <v>5815.9865909557193</v>
      </c>
      <c r="S15" s="39">
        <v>5808.0928917693509</v>
      </c>
      <c r="T15" s="126">
        <v>17089.855916136567</v>
      </c>
      <c r="U15" s="37">
        <v>8669.6267521154896</v>
      </c>
      <c r="V15" s="38">
        <v>8420.2291640210296</v>
      </c>
      <c r="W15" s="37">
        <v>5074.8321491286843</v>
      </c>
      <c r="X15" s="37">
        <v>2658.035277471507</v>
      </c>
      <c r="Y15" s="37">
        <v>2416.7968716568525</v>
      </c>
      <c r="Z15" s="40">
        <v>12015.023767007578</v>
      </c>
      <c r="AA15" s="37">
        <v>6011.5914746435028</v>
      </c>
      <c r="AB15" s="37">
        <v>6003.4322923637046</v>
      </c>
    </row>
    <row r="16" spans="1:28" ht="12" customHeight="1" x14ac:dyDescent="0.2">
      <c r="A16" s="187" t="s">
        <v>81</v>
      </c>
      <c r="B16" s="37">
        <v>11010.104128726289</v>
      </c>
      <c r="C16" s="37">
        <v>5716.3589372413635</v>
      </c>
      <c r="D16" s="38">
        <v>5293.7451914853864</v>
      </c>
      <c r="E16" s="189">
        <v>0</v>
      </c>
      <c r="F16" s="190">
        <v>0</v>
      </c>
      <c r="G16" s="191">
        <v>0</v>
      </c>
      <c r="H16" s="37">
        <v>11010.104128726289</v>
      </c>
      <c r="I16" s="37">
        <v>5716.3589372413635</v>
      </c>
      <c r="J16" s="39">
        <v>5293.7451914853864</v>
      </c>
      <c r="K16" s="126">
        <v>11381.494472913288</v>
      </c>
      <c r="L16" s="37">
        <v>5909.1818650152663</v>
      </c>
      <c r="M16" s="37">
        <v>5472.312607898165</v>
      </c>
      <c r="N16" s="189">
        <v>0</v>
      </c>
      <c r="O16" s="190">
        <v>0</v>
      </c>
      <c r="P16" s="191">
        <v>0</v>
      </c>
      <c r="Q16" s="37">
        <v>11381.494472913288</v>
      </c>
      <c r="R16" s="37">
        <v>5909.1818650152663</v>
      </c>
      <c r="S16" s="39">
        <v>5472.312607898165</v>
      </c>
      <c r="T16" s="126">
        <v>11764.280070464702</v>
      </c>
      <c r="U16" s="37">
        <v>6107.9211181616565</v>
      </c>
      <c r="V16" s="38">
        <v>5656.3589523025339</v>
      </c>
      <c r="W16" s="190">
        <v>0</v>
      </c>
      <c r="X16" s="190">
        <v>0</v>
      </c>
      <c r="Y16" s="190">
        <v>0</v>
      </c>
      <c r="Z16" s="40">
        <v>11764.280070464702</v>
      </c>
      <c r="AA16" s="37">
        <v>6107.9211181616565</v>
      </c>
      <c r="AB16" s="37">
        <v>5656.3589523025339</v>
      </c>
    </row>
    <row r="17" spans="1:80" ht="12" customHeight="1" x14ac:dyDescent="0.2">
      <c r="A17" s="187" t="s">
        <v>102</v>
      </c>
      <c r="B17" s="37">
        <v>157209.50612547269</v>
      </c>
      <c r="C17" s="37">
        <v>77922.858631938027</v>
      </c>
      <c r="D17" s="38">
        <v>79286.647493552329</v>
      </c>
      <c r="E17" s="40">
        <v>102328.73833045248</v>
      </c>
      <c r="F17" s="37">
        <v>50678.80078333478</v>
      </c>
      <c r="G17" s="38">
        <v>51649.937547061716</v>
      </c>
      <c r="H17" s="37">
        <v>54880.767795058033</v>
      </c>
      <c r="I17" s="37">
        <v>27244.057848590506</v>
      </c>
      <c r="J17" s="39">
        <v>27636.709946479001</v>
      </c>
      <c r="K17" s="126">
        <v>162512.4616568425</v>
      </c>
      <c r="L17" s="37">
        <v>80551.334888791462</v>
      </c>
      <c r="M17" s="37">
        <v>81961.126768067275</v>
      </c>
      <c r="N17" s="40">
        <v>105780.46820556943</v>
      </c>
      <c r="O17" s="37">
        <v>52388.286637971541</v>
      </c>
      <c r="P17" s="38">
        <v>53392.181567537613</v>
      </c>
      <c r="Q17" s="37">
        <v>56731.99345129235</v>
      </c>
      <c r="R17" s="37">
        <v>28163.048250778902</v>
      </c>
      <c r="S17" s="39">
        <v>28568.945200493912</v>
      </c>
      <c r="T17" s="126">
        <v>167978.12610815692</v>
      </c>
      <c r="U17" s="37">
        <v>83260.459857526483</v>
      </c>
      <c r="V17" s="38">
        <v>84717.666250621493</v>
      </c>
      <c r="W17" s="37">
        <v>109338.1064249363</v>
      </c>
      <c r="X17" s="37">
        <v>54150.224110485127</v>
      </c>
      <c r="Y17" s="37">
        <v>55187.882314407732</v>
      </c>
      <c r="Z17" s="40">
        <v>58640.019683228224</v>
      </c>
      <c r="AA17" s="37">
        <v>29110.235747045816</v>
      </c>
      <c r="AB17" s="37">
        <v>29529.783936217595</v>
      </c>
    </row>
    <row r="18" spans="1:80" ht="12" customHeight="1" x14ac:dyDescent="0.2">
      <c r="A18" s="187" t="s">
        <v>89</v>
      </c>
      <c r="B18" s="37">
        <v>11779.25649768971</v>
      </c>
      <c r="C18" s="37">
        <v>6050.6732072120149</v>
      </c>
      <c r="D18" s="38">
        <v>5728.5832904783983</v>
      </c>
      <c r="E18" s="189">
        <v>0</v>
      </c>
      <c r="F18" s="190">
        <v>0</v>
      </c>
      <c r="G18" s="191">
        <v>0</v>
      </c>
      <c r="H18" s="37">
        <v>11779.25649768971</v>
      </c>
      <c r="I18" s="37">
        <v>6050.6732072120149</v>
      </c>
      <c r="J18" s="39">
        <v>5728.5832904783983</v>
      </c>
      <c r="K18" s="126">
        <v>12176.591715758379</v>
      </c>
      <c r="L18" s="37">
        <v>6254.7731483855569</v>
      </c>
      <c r="M18" s="37">
        <v>5921.8185673729722</v>
      </c>
      <c r="N18" s="189">
        <v>0</v>
      </c>
      <c r="O18" s="190">
        <v>0</v>
      </c>
      <c r="P18" s="191">
        <v>0</v>
      </c>
      <c r="Q18" s="37">
        <v>12176.591715758379</v>
      </c>
      <c r="R18" s="37">
        <v>6254.7731483855569</v>
      </c>
      <c r="S18" s="39">
        <v>5921.8185673729722</v>
      </c>
      <c r="T18" s="126">
        <v>12586.118245613308</v>
      </c>
      <c r="U18" s="37">
        <v>6465.1354239943685</v>
      </c>
      <c r="V18" s="38">
        <v>6120.9828216187416</v>
      </c>
      <c r="W18" s="190">
        <v>0</v>
      </c>
      <c r="X18" s="190">
        <v>0</v>
      </c>
      <c r="Y18" s="190">
        <v>0</v>
      </c>
      <c r="Z18" s="40">
        <v>12586.118245613308</v>
      </c>
      <c r="AA18" s="37">
        <v>6465.1354239943685</v>
      </c>
      <c r="AB18" s="37">
        <v>6120.9828216187416</v>
      </c>
    </row>
    <row r="19" spans="1:80" ht="12" customHeight="1" thickBot="1" x14ac:dyDescent="0.25">
      <c r="A19" s="188" t="s">
        <v>92</v>
      </c>
      <c r="B19" s="42">
        <v>12085.40655191376</v>
      </c>
      <c r="C19" s="42">
        <v>6361.4982537021333</v>
      </c>
      <c r="D19" s="43">
        <v>5723.9082982123118</v>
      </c>
      <c r="E19" s="192">
        <v>0</v>
      </c>
      <c r="F19" s="184">
        <v>0</v>
      </c>
      <c r="G19" s="193">
        <v>0</v>
      </c>
      <c r="H19" s="42">
        <v>12085.40655191376</v>
      </c>
      <c r="I19" s="42">
        <v>6361.4982537021333</v>
      </c>
      <c r="J19" s="44">
        <v>5723.9082982123118</v>
      </c>
      <c r="K19" s="123">
        <v>12493.068754422035</v>
      </c>
      <c r="L19" s="42">
        <v>6576.0828750973569</v>
      </c>
      <c r="M19" s="42">
        <v>5916.9858793241528</v>
      </c>
      <c r="N19" s="192">
        <v>0</v>
      </c>
      <c r="O19" s="184">
        <v>0</v>
      </c>
      <c r="P19" s="193">
        <v>0</v>
      </c>
      <c r="Q19" s="42">
        <v>12493.068754422035</v>
      </c>
      <c r="R19" s="42">
        <v>6576.0828750973569</v>
      </c>
      <c r="S19" s="44">
        <v>5916.9858793241528</v>
      </c>
      <c r="T19" s="123">
        <v>12913.239128337056</v>
      </c>
      <c r="U19" s="42">
        <v>6797.2515290802266</v>
      </c>
      <c r="V19" s="43">
        <v>6115.9875992572488</v>
      </c>
      <c r="W19" s="184">
        <v>0</v>
      </c>
      <c r="X19" s="184">
        <v>0</v>
      </c>
      <c r="Y19" s="184">
        <v>0</v>
      </c>
      <c r="Z19" s="45">
        <v>12913.239128337056</v>
      </c>
      <c r="AA19" s="42">
        <v>6797.2515290802266</v>
      </c>
      <c r="AB19" s="42">
        <v>6115.9875992572488</v>
      </c>
    </row>
    <row r="20" spans="1:80" customFormat="1" ht="15" x14ac:dyDescent="0.25">
      <c r="A20" s="60" t="s">
        <v>121</v>
      </c>
      <c r="B20" s="60"/>
      <c r="C20" s="5"/>
      <c r="D20" s="5"/>
      <c r="E20" s="5"/>
      <c r="F20" s="5"/>
      <c r="G20" s="5"/>
      <c r="H20" s="5"/>
      <c r="I20" s="5"/>
      <c r="J20" s="5"/>
      <c r="K20" s="56"/>
      <c r="L20" s="56"/>
      <c r="M20" s="56"/>
      <c r="N20" s="56"/>
      <c r="O20" s="56"/>
      <c r="P20" s="56"/>
      <c r="Q20" s="56"/>
      <c r="R20" s="56"/>
      <c r="S20" s="56"/>
      <c r="T20" s="56"/>
      <c r="U20" s="56"/>
      <c r="V20" s="56"/>
      <c r="W20" s="56"/>
      <c r="X20" s="56"/>
      <c r="Y20" s="56"/>
      <c r="Z20" s="56"/>
      <c r="AA20" s="56"/>
      <c r="AB20" s="56"/>
      <c r="AC20" s="234"/>
      <c r="AD20" s="234"/>
      <c r="AE20" s="234"/>
      <c r="AF20" s="234"/>
      <c r="AG20" s="234"/>
      <c r="AH20" s="234"/>
      <c r="AI20" s="234"/>
      <c r="AJ20" s="234"/>
      <c r="AK20" s="234"/>
      <c r="AL20" s="234"/>
      <c r="AM20" s="234"/>
      <c r="AN20" s="234"/>
      <c r="AO20" s="234"/>
      <c r="AP20" s="234"/>
      <c r="AQ20" s="234"/>
      <c r="AR20" s="234"/>
      <c r="AS20" s="234"/>
      <c r="AT20" s="234"/>
      <c r="AU20" s="234"/>
      <c r="AV20" s="234"/>
      <c r="AW20" s="234"/>
      <c r="AX20" s="234"/>
      <c r="AY20" s="234"/>
      <c r="AZ20" s="234"/>
      <c r="BA20" s="234"/>
      <c r="BB20" s="234"/>
      <c r="BC20" s="234"/>
      <c r="BD20" s="234"/>
      <c r="BE20" s="234"/>
      <c r="BF20" s="234"/>
      <c r="BG20" s="234"/>
      <c r="BH20" s="234"/>
      <c r="BI20" s="234"/>
      <c r="BJ20" s="234"/>
      <c r="BK20" s="234"/>
      <c r="BL20" s="234"/>
      <c r="BM20" s="234"/>
      <c r="BN20" s="234"/>
      <c r="BO20" s="234"/>
      <c r="BP20" s="234"/>
      <c r="BQ20" s="234"/>
      <c r="BR20" s="234"/>
      <c r="BS20" s="234"/>
      <c r="BT20" s="234"/>
      <c r="BU20" s="234"/>
      <c r="BV20" s="234"/>
      <c r="BW20" s="234"/>
      <c r="BX20" s="234"/>
      <c r="BY20" s="234"/>
      <c r="BZ20" s="234"/>
      <c r="CA20" s="234"/>
      <c r="CB20" s="234"/>
    </row>
    <row r="21" spans="1:80" ht="11.1" customHeight="1" x14ac:dyDescent="0.2">
      <c r="N21" s="197"/>
      <c r="T21" s="199"/>
      <c r="U21" s="199"/>
      <c r="V21" s="199"/>
    </row>
    <row r="22" spans="1:80" ht="11.1" customHeight="1" x14ac:dyDescent="0.2">
      <c r="B22" s="197"/>
      <c r="C22" s="197"/>
      <c r="D22" s="197"/>
      <c r="E22" s="197"/>
      <c r="F22" s="197"/>
      <c r="G22" s="197"/>
    </row>
    <row r="23" spans="1:80" ht="11.1" customHeight="1" x14ac:dyDescent="0.2"/>
    <row r="24" spans="1:80" ht="11.1" customHeight="1" x14ac:dyDescent="0.2"/>
    <row r="25" spans="1:80" ht="11.1" customHeight="1" x14ac:dyDescent="0.2"/>
    <row r="26" spans="1:80" ht="11.1" customHeight="1" x14ac:dyDescent="0.2"/>
    <row r="27" spans="1:80" ht="11.1" customHeight="1" x14ac:dyDescent="0.2"/>
    <row r="28" spans="1:80" ht="11.1" customHeight="1" x14ac:dyDescent="0.2"/>
    <row r="29" spans="1:80" ht="11.1" customHeight="1" x14ac:dyDescent="0.2"/>
    <row r="30" spans="1:80" ht="11.1" customHeight="1" x14ac:dyDescent="0.2"/>
    <row r="31" spans="1:80" ht="11.1" customHeight="1" x14ac:dyDescent="0.2"/>
    <row r="32" spans="1:80" ht="11.1" customHeight="1" x14ac:dyDescent="0.2"/>
    <row r="33" ht="11.1" customHeight="1" x14ac:dyDescent="0.2"/>
    <row r="34" ht="11.1" customHeight="1" x14ac:dyDescent="0.2"/>
    <row r="35" ht="11.1" customHeight="1" x14ac:dyDescent="0.2"/>
    <row r="36" ht="11.1" customHeight="1" x14ac:dyDescent="0.2"/>
    <row r="37" ht="11.1" customHeight="1" x14ac:dyDescent="0.2"/>
    <row r="38" ht="11.1" customHeight="1" x14ac:dyDescent="0.2"/>
    <row r="39" ht="11.1" customHeight="1" x14ac:dyDescent="0.2"/>
    <row r="40" ht="11.1" customHeight="1" x14ac:dyDescent="0.2"/>
    <row r="41" ht="11.1" customHeight="1" x14ac:dyDescent="0.2"/>
    <row r="42" ht="11.1" customHeight="1" x14ac:dyDescent="0.2"/>
    <row r="43" ht="11.1" customHeight="1" x14ac:dyDescent="0.2"/>
    <row r="44" ht="11.1" customHeight="1" x14ac:dyDescent="0.2"/>
    <row r="45" ht="11.1" customHeight="1" x14ac:dyDescent="0.2"/>
    <row r="46" ht="11.1" customHeight="1" x14ac:dyDescent="0.2"/>
    <row r="47" ht="11.1" customHeight="1" x14ac:dyDescent="0.2"/>
    <row r="48" ht="11.1" customHeight="1" x14ac:dyDescent="0.2"/>
    <row r="49" ht="11.1" customHeight="1" x14ac:dyDescent="0.2"/>
    <row r="50" ht="11.1" customHeight="1" x14ac:dyDescent="0.2"/>
    <row r="51" ht="11.1" customHeight="1" x14ac:dyDescent="0.2"/>
    <row r="52" ht="11.1" customHeight="1" x14ac:dyDescent="0.2"/>
    <row r="53" ht="11.1" customHeight="1" x14ac:dyDescent="0.2"/>
    <row r="54" ht="11.1" customHeight="1" x14ac:dyDescent="0.2"/>
    <row r="55" ht="11.1" customHeight="1" x14ac:dyDescent="0.2"/>
    <row r="56" ht="11.1" customHeight="1" x14ac:dyDescent="0.2"/>
    <row r="57" ht="11.1" customHeight="1" x14ac:dyDescent="0.2"/>
    <row r="58" ht="11.1" customHeight="1" x14ac:dyDescent="0.2"/>
    <row r="59" ht="11.1" customHeight="1" x14ac:dyDescent="0.2"/>
    <row r="60" ht="11.1" customHeight="1" x14ac:dyDescent="0.2"/>
    <row r="61" ht="11.1" customHeight="1" x14ac:dyDescent="0.2"/>
    <row r="62" ht="11.1" customHeight="1" x14ac:dyDescent="0.2"/>
    <row r="63" ht="11.1" customHeight="1" x14ac:dyDescent="0.2"/>
    <row r="64" ht="11.1" customHeight="1" x14ac:dyDescent="0.2"/>
    <row r="65" ht="11.1" customHeight="1" x14ac:dyDescent="0.2"/>
    <row r="66" ht="11.1" customHeight="1" x14ac:dyDescent="0.2"/>
    <row r="67" ht="11.1" customHeight="1" x14ac:dyDescent="0.2"/>
    <row r="68" ht="11.1" customHeight="1" x14ac:dyDescent="0.2"/>
    <row r="69" ht="11.1" customHeight="1" x14ac:dyDescent="0.2"/>
    <row r="70" ht="11.1" customHeight="1" x14ac:dyDescent="0.2"/>
    <row r="71" ht="11.1" customHeight="1" x14ac:dyDescent="0.2"/>
    <row r="72" ht="11.1" customHeight="1" x14ac:dyDescent="0.2"/>
    <row r="73" ht="11.1" customHeight="1" x14ac:dyDescent="0.2"/>
    <row r="74" ht="11.1" customHeight="1" x14ac:dyDescent="0.2"/>
    <row r="75" ht="11.1" customHeight="1" x14ac:dyDescent="0.2"/>
    <row r="76" ht="11.1" customHeight="1" x14ac:dyDescent="0.2"/>
    <row r="77" ht="11.1" customHeight="1" x14ac:dyDescent="0.2"/>
    <row r="78" ht="11.1" customHeight="1" x14ac:dyDescent="0.2"/>
    <row r="79" ht="11.1" customHeight="1" x14ac:dyDescent="0.2"/>
    <row r="80" ht="11.1" customHeight="1" x14ac:dyDescent="0.2"/>
    <row r="81" ht="11.1" customHeight="1" x14ac:dyDescent="0.2"/>
    <row r="82" ht="11.1" customHeight="1" x14ac:dyDescent="0.2"/>
    <row r="83" ht="11.1" customHeight="1" x14ac:dyDescent="0.2"/>
    <row r="84" ht="11.1" customHeight="1" x14ac:dyDescent="0.2"/>
    <row r="85" ht="11.1" customHeight="1" x14ac:dyDescent="0.2"/>
    <row r="86" ht="11.1" customHeight="1" x14ac:dyDescent="0.2"/>
    <row r="87" ht="11.1" customHeight="1" x14ac:dyDescent="0.2"/>
    <row r="88" ht="11.1" customHeight="1" x14ac:dyDescent="0.2"/>
    <row r="89" ht="11.1" customHeight="1" x14ac:dyDescent="0.2"/>
    <row r="90" ht="11.1" customHeight="1" x14ac:dyDescent="0.2"/>
    <row r="91" ht="11.1" customHeight="1" x14ac:dyDescent="0.2"/>
    <row r="92" ht="11.1" customHeight="1" x14ac:dyDescent="0.2"/>
    <row r="93" ht="11.1" customHeight="1" x14ac:dyDescent="0.2"/>
    <row r="94" ht="11.1" customHeight="1" x14ac:dyDescent="0.2"/>
    <row r="95" ht="11.1" customHeight="1" x14ac:dyDescent="0.2"/>
    <row r="96" ht="11.1" customHeight="1" x14ac:dyDescent="0.2"/>
    <row r="97" ht="11.1" customHeight="1" x14ac:dyDescent="0.2"/>
    <row r="98" ht="11.1" customHeight="1" x14ac:dyDescent="0.2"/>
    <row r="99" ht="11.1" customHeight="1" x14ac:dyDescent="0.2"/>
    <row r="100" ht="11.1" customHeight="1" x14ac:dyDescent="0.2"/>
    <row r="101" ht="11.1" customHeight="1" x14ac:dyDescent="0.2"/>
    <row r="102" ht="11.1" customHeight="1" x14ac:dyDescent="0.2"/>
    <row r="103" ht="11.1" customHeight="1" x14ac:dyDescent="0.2"/>
    <row r="104" ht="11.1" customHeight="1" x14ac:dyDescent="0.2"/>
    <row r="105" ht="11.1" customHeight="1" x14ac:dyDescent="0.2"/>
    <row r="106" ht="11.1" customHeight="1" x14ac:dyDescent="0.2"/>
    <row r="107" ht="11.1" customHeight="1" x14ac:dyDescent="0.2"/>
    <row r="108" ht="11.1" customHeight="1" x14ac:dyDescent="0.2"/>
    <row r="109" ht="11.1" customHeight="1" x14ac:dyDescent="0.2"/>
    <row r="110" ht="11.1" customHeight="1" x14ac:dyDescent="0.2"/>
    <row r="111" ht="11.1" customHeight="1" x14ac:dyDescent="0.2"/>
    <row r="112" ht="11.1" customHeight="1" x14ac:dyDescent="0.2"/>
    <row r="113" ht="11.1" customHeight="1" x14ac:dyDescent="0.2"/>
    <row r="114" ht="11.1" customHeight="1" x14ac:dyDescent="0.2"/>
    <row r="115" ht="11.1" customHeight="1" x14ac:dyDescent="0.2"/>
    <row r="116" ht="11.1" customHeight="1" x14ac:dyDescent="0.2"/>
    <row r="117" ht="11.1" customHeight="1" x14ac:dyDescent="0.2"/>
    <row r="118" ht="11.1" customHeight="1" x14ac:dyDescent="0.2"/>
    <row r="119" ht="11.1" customHeight="1" x14ac:dyDescent="0.2"/>
    <row r="120" ht="11.1" customHeight="1" x14ac:dyDescent="0.2"/>
    <row r="121" ht="11.1" customHeight="1" x14ac:dyDescent="0.2"/>
    <row r="122" ht="11.1" customHeight="1" x14ac:dyDescent="0.2"/>
    <row r="123" ht="11.1" customHeight="1" x14ac:dyDescent="0.2"/>
    <row r="124" ht="11.1" customHeight="1" x14ac:dyDescent="0.2"/>
    <row r="125" ht="11.1" customHeight="1" x14ac:dyDescent="0.2"/>
    <row r="126" ht="11.1" customHeight="1" x14ac:dyDescent="0.2"/>
    <row r="127" ht="11.1" customHeight="1" x14ac:dyDescent="0.2"/>
    <row r="128" ht="11.1" customHeight="1" x14ac:dyDescent="0.2"/>
    <row r="129" ht="11.1" customHeight="1" x14ac:dyDescent="0.2"/>
    <row r="130" ht="11.1" customHeight="1" x14ac:dyDescent="0.2"/>
    <row r="131" ht="11.1" customHeight="1" x14ac:dyDescent="0.2"/>
    <row r="132" ht="11.1" customHeight="1" x14ac:dyDescent="0.2"/>
    <row r="133" ht="11.1" customHeight="1" x14ac:dyDescent="0.2"/>
    <row r="134" ht="11.1" customHeight="1" x14ac:dyDescent="0.2"/>
    <row r="135" ht="11.1" customHeight="1" x14ac:dyDescent="0.2"/>
    <row r="136" ht="11.1" customHeight="1" x14ac:dyDescent="0.2"/>
    <row r="137" ht="11.1" customHeight="1" x14ac:dyDescent="0.2"/>
    <row r="138" ht="11.1" customHeight="1" x14ac:dyDescent="0.2"/>
    <row r="139" ht="11.1" customHeight="1" x14ac:dyDescent="0.2"/>
    <row r="140" ht="11.1" customHeight="1" x14ac:dyDescent="0.2"/>
    <row r="141" ht="11.1" customHeight="1" x14ac:dyDescent="0.2"/>
    <row r="142" ht="11.1" customHeight="1" x14ac:dyDescent="0.2"/>
    <row r="143" ht="11.1" customHeight="1" x14ac:dyDescent="0.2"/>
    <row r="144" ht="11.1" customHeight="1" x14ac:dyDescent="0.2"/>
    <row r="145" ht="11.1" customHeight="1" x14ac:dyDescent="0.2"/>
    <row r="146" ht="11.1" customHeight="1" x14ac:dyDescent="0.2"/>
    <row r="147" ht="11.1" customHeight="1" x14ac:dyDescent="0.2"/>
    <row r="148" ht="11.1" customHeight="1" x14ac:dyDescent="0.2"/>
    <row r="149" ht="11.1" customHeight="1" x14ac:dyDescent="0.2"/>
    <row r="150" ht="11.1" customHeight="1" x14ac:dyDescent="0.2"/>
    <row r="151" ht="11.1" customHeight="1" x14ac:dyDescent="0.2"/>
    <row r="152" ht="11.1" customHeight="1" x14ac:dyDescent="0.2"/>
    <row r="153" ht="11.1" customHeight="1" x14ac:dyDescent="0.2"/>
    <row r="154" ht="11.1" customHeight="1" x14ac:dyDescent="0.2"/>
    <row r="155" ht="11.1" customHeight="1" x14ac:dyDescent="0.2"/>
    <row r="156" ht="11.1" customHeight="1" x14ac:dyDescent="0.2"/>
    <row r="157" ht="11.1" customHeight="1" x14ac:dyDescent="0.2"/>
    <row r="158" ht="11.1" customHeight="1" x14ac:dyDescent="0.2"/>
    <row r="159" ht="11.1" customHeight="1" x14ac:dyDescent="0.2"/>
    <row r="160" ht="11.1" customHeight="1" x14ac:dyDescent="0.2"/>
    <row r="161" ht="11.1" customHeight="1" x14ac:dyDescent="0.2"/>
    <row r="162" ht="11.1" customHeight="1" x14ac:dyDescent="0.2"/>
    <row r="163" ht="11.1" customHeight="1" x14ac:dyDescent="0.2"/>
    <row r="164" ht="11.1" customHeight="1" x14ac:dyDescent="0.2"/>
    <row r="165" ht="11.1" customHeight="1" x14ac:dyDescent="0.2"/>
    <row r="166" ht="11.1" customHeight="1" x14ac:dyDescent="0.2"/>
    <row r="167" ht="11.1" customHeight="1" x14ac:dyDescent="0.2"/>
    <row r="168" ht="11.1" customHeight="1" x14ac:dyDescent="0.2"/>
    <row r="169" ht="11.1" customHeight="1" x14ac:dyDescent="0.2"/>
    <row r="170" ht="11.1" customHeight="1" x14ac:dyDescent="0.2"/>
    <row r="171" ht="11.1" customHeight="1" x14ac:dyDescent="0.2"/>
    <row r="172" ht="11.1" customHeight="1" x14ac:dyDescent="0.2"/>
    <row r="173" ht="11.1" customHeight="1" x14ac:dyDescent="0.2"/>
    <row r="174" ht="11.1" customHeight="1" x14ac:dyDescent="0.2"/>
    <row r="175" ht="11.1" customHeight="1" x14ac:dyDescent="0.2"/>
    <row r="176" ht="11.1" customHeight="1" x14ac:dyDescent="0.2"/>
    <row r="177" ht="11.1" customHeight="1" x14ac:dyDescent="0.2"/>
    <row r="178" ht="11.1" customHeight="1" x14ac:dyDescent="0.2"/>
    <row r="179" ht="11.1" customHeight="1" x14ac:dyDescent="0.2"/>
    <row r="180" ht="11.1" customHeight="1" x14ac:dyDescent="0.2"/>
    <row r="181" ht="11.1" customHeight="1" x14ac:dyDescent="0.2"/>
    <row r="182" ht="11.1" customHeight="1" x14ac:dyDescent="0.2"/>
    <row r="183" ht="11.1" customHeight="1" x14ac:dyDescent="0.2"/>
    <row r="184" ht="11.1" customHeight="1" x14ac:dyDescent="0.2"/>
    <row r="185" ht="11.1" customHeight="1" x14ac:dyDescent="0.2"/>
    <row r="186" ht="11.1" customHeight="1" x14ac:dyDescent="0.2"/>
    <row r="187" ht="11.1" customHeight="1" x14ac:dyDescent="0.2"/>
    <row r="188" ht="11.1" customHeight="1" x14ac:dyDescent="0.2"/>
    <row r="189" ht="11.1" customHeight="1" x14ac:dyDescent="0.2"/>
    <row r="190" ht="11.1" customHeight="1" x14ac:dyDescent="0.2"/>
    <row r="191" ht="11.1" customHeight="1" x14ac:dyDescent="0.2"/>
    <row r="192" ht="11.1" customHeight="1" x14ac:dyDescent="0.2"/>
    <row r="193" ht="11.1" customHeight="1" x14ac:dyDescent="0.2"/>
    <row r="194" ht="11.1" customHeight="1" x14ac:dyDescent="0.2"/>
    <row r="195" ht="11.1" customHeight="1" x14ac:dyDescent="0.2"/>
    <row r="196" ht="11.1" customHeight="1" x14ac:dyDescent="0.2"/>
    <row r="197" ht="11.1" customHeight="1" x14ac:dyDescent="0.2"/>
    <row r="198" ht="11.1" customHeight="1" x14ac:dyDescent="0.2"/>
    <row r="199" ht="11.1" customHeight="1" x14ac:dyDescent="0.2"/>
    <row r="200" ht="11.1" customHeight="1" x14ac:dyDescent="0.2"/>
    <row r="201" ht="11.1" customHeight="1" x14ac:dyDescent="0.2"/>
    <row r="202" ht="11.1" customHeight="1" x14ac:dyDescent="0.2"/>
    <row r="203" ht="11.1" customHeight="1" x14ac:dyDescent="0.2"/>
    <row r="204" ht="11.1" customHeight="1" x14ac:dyDescent="0.2"/>
    <row r="205" ht="11.1" customHeight="1" x14ac:dyDescent="0.2"/>
    <row r="206" ht="11.1" customHeight="1" x14ac:dyDescent="0.2"/>
    <row r="207" ht="11.1" customHeight="1" x14ac:dyDescent="0.2"/>
    <row r="208" ht="11.1" customHeight="1" x14ac:dyDescent="0.2"/>
    <row r="209" ht="11.1" customHeight="1" x14ac:dyDescent="0.2"/>
    <row r="210" ht="11.1" customHeight="1" x14ac:dyDescent="0.2"/>
    <row r="211" ht="11.1" customHeight="1" x14ac:dyDescent="0.2"/>
    <row r="212" ht="11.1" customHeight="1" x14ac:dyDescent="0.2"/>
    <row r="213" ht="11.1" customHeight="1" x14ac:dyDescent="0.2"/>
    <row r="214" ht="11.1" customHeight="1" x14ac:dyDescent="0.2"/>
    <row r="215" ht="11.1" customHeight="1" x14ac:dyDescent="0.2"/>
    <row r="216" ht="11.1" customHeight="1" x14ac:dyDescent="0.2"/>
    <row r="217" ht="11.1" customHeight="1" x14ac:dyDescent="0.2"/>
    <row r="218" ht="11.1" customHeight="1" x14ac:dyDescent="0.2"/>
    <row r="219" ht="11.1" customHeight="1" x14ac:dyDescent="0.2"/>
    <row r="220" ht="11.1" customHeight="1" x14ac:dyDescent="0.2"/>
    <row r="221" ht="11.1" customHeight="1" x14ac:dyDescent="0.2"/>
    <row r="222" ht="11.1" customHeight="1" x14ac:dyDescent="0.2"/>
    <row r="223" ht="11.1" customHeight="1" x14ac:dyDescent="0.2"/>
    <row r="224" ht="11.1" customHeight="1" x14ac:dyDescent="0.2"/>
    <row r="225" ht="11.1" customHeight="1" x14ac:dyDescent="0.2"/>
    <row r="226" ht="11.1" customHeight="1" x14ac:dyDescent="0.2"/>
    <row r="227" ht="11.1" customHeight="1" x14ac:dyDescent="0.2"/>
    <row r="228" ht="11.1" customHeight="1" x14ac:dyDescent="0.2"/>
    <row r="229" ht="11.1" customHeight="1" x14ac:dyDescent="0.2"/>
    <row r="230" ht="11.1" customHeight="1" x14ac:dyDescent="0.2"/>
    <row r="231" ht="11.1" customHeight="1" x14ac:dyDescent="0.2"/>
    <row r="232" ht="11.1" customHeight="1" x14ac:dyDescent="0.2"/>
    <row r="233" ht="11.1" customHeight="1" x14ac:dyDescent="0.2"/>
    <row r="234" ht="11.1" customHeight="1" x14ac:dyDescent="0.2"/>
    <row r="235" ht="11.1" customHeight="1" x14ac:dyDescent="0.2"/>
    <row r="236" ht="11.1" customHeight="1" x14ac:dyDescent="0.2"/>
    <row r="237" ht="11.1" customHeight="1" x14ac:dyDescent="0.2"/>
    <row r="238" ht="11.1" customHeight="1" x14ac:dyDescent="0.2"/>
    <row r="239" ht="11.1" customHeight="1" x14ac:dyDescent="0.2"/>
    <row r="240" ht="11.1" customHeight="1" x14ac:dyDescent="0.2"/>
    <row r="241" ht="11.1" customHeight="1" x14ac:dyDescent="0.2"/>
    <row r="242" ht="11.1" customHeight="1" x14ac:dyDescent="0.2"/>
    <row r="243" ht="11.1" customHeight="1" x14ac:dyDescent="0.2"/>
    <row r="244" ht="11.1" customHeight="1" x14ac:dyDescent="0.2"/>
    <row r="245" ht="11.1" customHeight="1" x14ac:dyDescent="0.2"/>
    <row r="246" ht="11.1" customHeight="1" x14ac:dyDescent="0.2"/>
    <row r="247" ht="11.1" customHeight="1" x14ac:dyDescent="0.2"/>
    <row r="248" ht="11.1" customHeight="1" x14ac:dyDescent="0.2"/>
    <row r="249" ht="11.1" customHeight="1" x14ac:dyDescent="0.2"/>
    <row r="250" ht="11.1" customHeight="1" x14ac:dyDescent="0.2"/>
    <row r="251" ht="11.1" customHeight="1" x14ac:dyDescent="0.2"/>
    <row r="252" ht="11.1" customHeight="1" x14ac:dyDescent="0.2"/>
    <row r="253" ht="11.1" customHeight="1" x14ac:dyDescent="0.2"/>
    <row r="254" ht="11.1" customHeight="1" x14ac:dyDescent="0.2"/>
    <row r="255" ht="11.1" customHeight="1" x14ac:dyDescent="0.2"/>
    <row r="256" ht="11.1" customHeight="1" x14ac:dyDescent="0.2"/>
    <row r="257" ht="11.1" customHeight="1" x14ac:dyDescent="0.2"/>
    <row r="258" ht="11.1" customHeight="1" x14ac:dyDescent="0.2"/>
    <row r="259" ht="11.1" customHeight="1" x14ac:dyDescent="0.2"/>
    <row r="260" ht="11.1" customHeight="1" x14ac:dyDescent="0.2"/>
    <row r="261" ht="11.1" customHeight="1" x14ac:dyDescent="0.2"/>
    <row r="262" ht="11.1" customHeight="1" x14ac:dyDescent="0.2"/>
    <row r="263" ht="11.1" customHeight="1" x14ac:dyDescent="0.2"/>
    <row r="264" ht="11.1" customHeight="1" x14ac:dyDescent="0.2"/>
    <row r="265" ht="11.1" customHeight="1" x14ac:dyDescent="0.2"/>
    <row r="266" ht="11.1" customHeight="1" x14ac:dyDescent="0.2"/>
    <row r="267" ht="11.1" customHeight="1" x14ac:dyDescent="0.2"/>
    <row r="268" ht="11.1" customHeight="1" x14ac:dyDescent="0.2"/>
    <row r="269" ht="11.1" customHeight="1" x14ac:dyDescent="0.2"/>
    <row r="270" ht="11.1" customHeight="1" x14ac:dyDescent="0.2"/>
    <row r="271" ht="11.1" customHeight="1" x14ac:dyDescent="0.2"/>
    <row r="272" ht="11.1" customHeight="1" x14ac:dyDescent="0.2"/>
    <row r="273" ht="11.1" customHeight="1" x14ac:dyDescent="0.2"/>
    <row r="274" ht="11.1" customHeight="1" x14ac:dyDescent="0.2"/>
    <row r="275" ht="11.1" customHeight="1" x14ac:dyDescent="0.2"/>
    <row r="276" ht="11.1" customHeight="1" x14ac:dyDescent="0.2"/>
    <row r="277" ht="11.1" customHeight="1" x14ac:dyDescent="0.2"/>
    <row r="278" ht="11.1" customHeight="1" x14ac:dyDescent="0.2"/>
    <row r="279" ht="11.1" customHeight="1" x14ac:dyDescent="0.2"/>
    <row r="280" ht="11.1" customHeight="1" x14ac:dyDescent="0.2"/>
    <row r="281" ht="11.1" customHeight="1" x14ac:dyDescent="0.2"/>
    <row r="282" ht="11.1" customHeight="1" x14ac:dyDescent="0.2"/>
    <row r="283" ht="11.1" customHeight="1" x14ac:dyDescent="0.2"/>
    <row r="284" ht="11.1" customHeight="1" x14ac:dyDescent="0.2"/>
    <row r="285" ht="11.1" customHeight="1" x14ac:dyDescent="0.2"/>
    <row r="286" ht="11.1" customHeight="1" x14ac:dyDescent="0.2"/>
    <row r="287" ht="11.1" customHeight="1" x14ac:dyDescent="0.2"/>
    <row r="288" ht="11.1" customHeight="1" x14ac:dyDescent="0.2"/>
    <row r="289" ht="11.1" customHeight="1" x14ac:dyDescent="0.2"/>
    <row r="290" ht="11.1" customHeight="1" x14ac:dyDescent="0.2"/>
    <row r="291" ht="11.1" customHeight="1" x14ac:dyDescent="0.2"/>
    <row r="292" ht="11.1" customHeight="1" x14ac:dyDescent="0.2"/>
    <row r="293" ht="11.1" customHeight="1" x14ac:dyDescent="0.2"/>
    <row r="294" ht="11.1" customHeight="1" x14ac:dyDescent="0.2"/>
    <row r="295" ht="11.1" customHeight="1" x14ac:dyDescent="0.2"/>
    <row r="296" ht="11.1" customHeight="1" x14ac:dyDescent="0.2"/>
    <row r="297" ht="11.1" customHeight="1" x14ac:dyDescent="0.2"/>
    <row r="298" ht="11.1" customHeight="1" x14ac:dyDescent="0.2"/>
    <row r="299" ht="11.1" customHeight="1" x14ac:dyDescent="0.2"/>
    <row r="300" ht="11.1" customHeight="1" x14ac:dyDescent="0.2"/>
    <row r="301" ht="11.1" customHeight="1" x14ac:dyDescent="0.2"/>
    <row r="302" ht="11.1" customHeight="1" x14ac:dyDescent="0.2"/>
    <row r="303" ht="11.1" customHeight="1" x14ac:dyDescent="0.2"/>
    <row r="304" ht="11.1" customHeight="1" x14ac:dyDescent="0.2"/>
    <row r="305" ht="11.1" customHeight="1" x14ac:dyDescent="0.2"/>
    <row r="306" ht="11.1" customHeight="1" x14ac:dyDescent="0.2"/>
    <row r="307" ht="11.1" customHeight="1" x14ac:dyDescent="0.2"/>
    <row r="308" ht="11.1" customHeight="1" x14ac:dyDescent="0.2"/>
    <row r="310" ht="11.1" customHeight="1" x14ac:dyDescent="0.2"/>
    <row r="311" ht="11.1" customHeight="1" x14ac:dyDescent="0.2"/>
    <row r="312" ht="11.1" customHeight="1" x14ac:dyDescent="0.2"/>
    <row r="313" ht="11.1" customHeight="1" x14ac:dyDescent="0.2"/>
    <row r="314" ht="11.1" customHeight="1" x14ac:dyDescent="0.2"/>
    <row r="315" ht="11.1" customHeight="1" x14ac:dyDescent="0.2"/>
    <row r="316" ht="11.1" customHeight="1" x14ac:dyDescent="0.2"/>
    <row r="317" ht="11.1" customHeight="1" x14ac:dyDescent="0.2"/>
    <row r="318" ht="11.1" customHeight="1" x14ac:dyDescent="0.2"/>
    <row r="319" ht="11.1" customHeight="1" x14ac:dyDescent="0.2"/>
    <row r="320" ht="11.1" customHeight="1" x14ac:dyDescent="0.2"/>
    <row r="321" ht="11.1" customHeight="1" x14ac:dyDescent="0.2"/>
    <row r="322" ht="11.1" customHeight="1" x14ac:dyDescent="0.2"/>
    <row r="323" ht="11.1" customHeight="1" x14ac:dyDescent="0.2"/>
    <row r="324" ht="11.1" customHeight="1" x14ac:dyDescent="0.2"/>
    <row r="325" ht="11.1" customHeight="1" x14ac:dyDescent="0.2"/>
    <row r="326" ht="11.1" customHeight="1" x14ac:dyDescent="0.2"/>
    <row r="327" ht="11.1" customHeight="1" x14ac:dyDescent="0.2"/>
    <row r="328" ht="11.1" customHeight="1" x14ac:dyDescent="0.2"/>
    <row r="329" ht="11.1" customHeight="1" x14ac:dyDescent="0.2"/>
    <row r="330" ht="11.1" customHeight="1" x14ac:dyDescent="0.2"/>
    <row r="331" ht="11.1" customHeight="1" x14ac:dyDescent="0.2"/>
    <row r="332" ht="11.1" customHeight="1" x14ac:dyDescent="0.2"/>
    <row r="333" ht="11.1" customHeight="1" x14ac:dyDescent="0.2"/>
    <row r="334" ht="11.1" customHeight="1" x14ac:dyDescent="0.2"/>
    <row r="335" ht="11.1" customHeight="1" x14ac:dyDescent="0.2"/>
    <row r="336" ht="11.1" customHeight="1" x14ac:dyDescent="0.2"/>
    <row r="337" ht="11.1" customHeight="1" x14ac:dyDescent="0.2"/>
    <row r="338" ht="11.1" customHeight="1" x14ac:dyDescent="0.2"/>
    <row r="339" ht="11.1" customHeight="1" x14ac:dyDescent="0.2"/>
    <row r="340" ht="11.1" customHeight="1" x14ac:dyDescent="0.2"/>
    <row r="341" ht="11.1" customHeight="1" x14ac:dyDescent="0.2"/>
    <row r="342" ht="11.1" customHeight="1" x14ac:dyDescent="0.2"/>
    <row r="343" ht="11.1" customHeight="1" x14ac:dyDescent="0.2"/>
    <row r="344" ht="11.1" customHeight="1" x14ac:dyDescent="0.2"/>
    <row r="345" ht="11.1" customHeight="1" x14ac:dyDescent="0.2"/>
    <row r="346" ht="11.1" customHeight="1" x14ac:dyDescent="0.2"/>
    <row r="347" ht="11.1" customHeight="1" x14ac:dyDescent="0.2"/>
    <row r="348" ht="11.1" customHeight="1" x14ac:dyDescent="0.2"/>
    <row r="349" ht="11.1" customHeight="1" x14ac:dyDescent="0.2"/>
    <row r="350" ht="11.1" customHeight="1" x14ac:dyDescent="0.2"/>
    <row r="351" ht="11.1" customHeight="1" x14ac:dyDescent="0.2"/>
    <row r="352" ht="11.1" customHeight="1" x14ac:dyDescent="0.2"/>
    <row r="353" ht="11.1" customHeight="1" x14ac:dyDescent="0.2"/>
    <row r="354" ht="11.1" customHeight="1" x14ac:dyDescent="0.2"/>
    <row r="355" ht="11.1" customHeight="1" x14ac:dyDescent="0.2"/>
    <row r="356" ht="11.1" customHeight="1" x14ac:dyDescent="0.2"/>
    <row r="357" ht="11.1" customHeight="1" x14ac:dyDescent="0.2"/>
    <row r="358" ht="11.1" customHeight="1" x14ac:dyDescent="0.2"/>
    <row r="359" ht="11.1" customHeight="1" x14ac:dyDescent="0.2"/>
    <row r="360" ht="11.1" customHeight="1" x14ac:dyDescent="0.2"/>
    <row r="361" ht="11.1" customHeight="1" x14ac:dyDescent="0.2"/>
    <row r="362" ht="11.1" customHeight="1" x14ac:dyDescent="0.2"/>
    <row r="363" ht="11.1" customHeight="1" x14ac:dyDescent="0.2"/>
    <row r="364" ht="11.1" customHeight="1" x14ac:dyDescent="0.2"/>
    <row r="365" ht="11.1" customHeight="1" x14ac:dyDescent="0.2"/>
    <row r="366" ht="11.1" customHeight="1" x14ac:dyDescent="0.2"/>
    <row r="367" ht="11.1" customHeight="1" x14ac:dyDescent="0.2"/>
    <row r="368" ht="11.1" customHeight="1" x14ac:dyDescent="0.2"/>
    <row r="369" ht="11.1" customHeight="1" x14ac:dyDescent="0.2"/>
    <row r="370" ht="11.1" customHeight="1" x14ac:dyDescent="0.2"/>
    <row r="371" ht="11.1" customHeight="1" x14ac:dyDescent="0.2"/>
    <row r="372" ht="11.1" customHeight="1" x14ac:dyDescent="0.2"/>
    <row r="373" ht="11.1" customHeight="1" x14ac:dyDescent="0.2"/>
    <row r="374" ht="11.1" customHeight="1" x14ac:dyDescent="0.2"/>
    <row r="375" ht="11.1" customHeight="1" x14ac:dyDescent="0.2"/>
    <row r="376" ht="11.1" customHeight="1" x14ac:dyDescent="0.2"/>
    <row r="377" ht="11.1" customHeight="1" x14ac:dyDescent="0.2"/>
    <row r="378" ht="11.1" customHeight="1" x14ac:dyDescent="0.2"/>
    <row r="379" ht="11.1" customHeight="1" x14ac:dyDescent="0.2"/>
    <row r="380" ht="11.1" customHeight="1" x14ac:dyDescent="0.2"/>
    <row r="381" ht="11.1" customHeight="1" x14ac:dyDescent="0.2"/>
    <row r="382" ht="11.1" customHeight="1" x14ac:dyDescent="0.2"/>
    <row r="383" ht="11.1" customHeight="1" x14ac:dyDescent="0.2"/>
    <row r="384" ht="11.1" customHeight="1" x14ac:dyDescent="0.2"/>
    <row r="385" ht="11.1" customHeight="1" x14ac:dyDescent="0.2"/>
    <row r="386" ht="11.1" customHeight="1" x14ac:dyDescent="0.2"/>
    <row r="387" ht="11.1" customHeight="1" x14ac:dyDescent="0.2"/>
    <row r="388" ht="11.1" customHeight="1" x14ac:dyDescent="0.2"/>
    <row r="389" ht="11.1" customHeight="1" x14ac:dyDescent="0.2"/>
    <row r="390" ht="11.1" customHeight="1" x14ac:dyDescent="0.2"/>
    <row r="391" ht="11.1" customHeight="1" x14ac:dyDescent="0.2"/>
    <row r="392" ht="11.1" customHeight="1" x14ac:dyDescent="0.2"/>
    <row r="393" ht="11.1" customHeight="1" x14ac:dyDescent="0.2"/>
    <row r="394" ht="11.1" customHeight="1" x14ac:dyDescent="0.2"/>
    <row r="395" ht="11.1" customHeight="1" x14ac:dyDescent="0.2"/>
    <row r="396" ht="11.1" customHeight="1" x14ac:dyDescent="0.2"/>
    <row r="397" ht="11.1" customHeight="1" x14ac:dyDescent="0.2"/>
    <row r="398" ht="11.1" customHeight="1" x14ac:dyDescent="0.2"/>
    <row r="399" ht="11.1" customHeight="1" x14ac:dyDescent="0.2"/>
    <row r="400" ht="11.1" customHeight="1" x14ac:dyDescent="0.2"/>
    <row r="401" ht="11.1" customHeight="1" x14ac:dyDescent="0.2"/>
    <row r="402" ht="11.1" customHeight="1" x14ac:dyDescent="0.2"/>
    <row r="403" ht="11.1" customHeight="1" x14ac:dyDescent="0.2"/>
    <row r="404" ht="11.1" customHeight="1" x14ac:dyDescent="0.2"/>
    <row r="405" ht="11.1" customHeight="1" x14ac:dyDescent="0.2"/>
    <row r="406" ht="11.1" customHeight="1" x14ac:dyDescent="0.2"/>
    <row r="407" ht="11.1" customHeight="1" x14ac:dyDescent="0.2"/>
    <row r="408" ht="11.1" customHeight="1" x14ac:dyDescent="0.2"/>
    <row r="409" ht="11.1" customHeight="1" x14ac:dyDescent="0.2"/>
    <row r="410" ht="11.1" customHeight="1" x14ac:dyDescent="0.2"/>
    <row r="411" ht="11.1" customHeight="1" x14ac:dyDescent="0.2"/>
    <row r="412" ht="11.1" customHeight="1" x14ac:dyDescent="0.2"/>
    <row r="413" ht="11.1" customHeight="1" x14ac:dyDescent="0.2"/>
    <row r="414" ht="11.1" customHeight="1" x14ac:dyDescent="0.2"/>
    <row r="415" ht="11.1" customHeight="1" x14ac:dyDescent="0.2"/>
    <row r="416" ht="11.1" customHeight="1" x14ac:dyDescent="0.2"/>
    <row r="417" ht="11.1" customHeight="1" x14ac:dyDescent="0.2"/>
    <row r="418" ht="11.1" customHeight="1" x14ac:dyDescent="0.2"/>
    <row r="419" ht="11.1" customHeight="1" x14ac:dyDescent="0.2"/>
    <row r="420" ht="11.1" customHeight="1" x14ac:dyDescent="0.2"/>
    <row r="421" ht="11.1" customHeight="1" x14ac:dyDescent="0.2"/>
    <row r="422" ht="11.1" customHeight="1" x14ac:dyDescent="0.2"/>
    <row r="423" ht="11.1" customHeight="1" x14ac:dyDescent="0.2"/>
    <row r="424" ht="11.1" customHeight="1" x14ac:dyDescent="0.2"/>
    <row r="425" ht="11.1" customHeight="1" x14ac:dyDescent="0.2"/>
    <row r="426" ht="11.1" customHeight="1" x14ac:dyDescent="0.2"/>
    <row r="427" ht="11.1" customHeight="1" x14ac:dyDescent="0.2"/>
    <row r="428" ht="11.1" customHeight="1" x14ac:dyDescent="0.2"/>
    <row r="429" ht="11.1" customHeight="1" x14ac:dyDescent="0.2"/>
    <row r="430" ht="11.1" customHeight="1" x14ac:dyDescent="0.2"/>
    <row r="431" ht="11.1" customHeight="1" x14ac:dyDescent="0.2"/>
    <row r="432" ht="11.1" customHeight="1" x14ac:dyDescent="0.2"/>
    <row r="433" ht="11.1" customHeight="1" x14ac:dyDescent="0.2"/>
    <row r="434" ht="11.1" customHeight="1" x14ac:dyDescent="0.2"/>
    <row r="435" ht="11.1" customHeight="1" x14ac:dyDescent="0.2"/>
    <row r="436" ht="11.1" customHeight="1" x14ac:dyDescent="0.2"/>
    <row r="437" ht="11.1" customHeight="1" x14ac:dyDescent="0.2"/>
    <row r="438" ht="11.1" customHeight="1" x14ac:dyDescent="0.2"/>
    <row r="439" ht="11.1" customHeight="1" x14ac:dyDescent="0.2"/>
    <row r="440" ht="11.1" customHeight="1" x14ac:dyDescent="0.2"/>
    <row r="441" ht="11.1" customHeight="1" x14ac:dyDescent="0.2"/>
    <row r="442" ht="11.1" customHeight="1" x14ac:dyDescent="0.2"/>
    <row r="443" ht="11.1" customHeight="1" x14ac:dyDescent="0.2"/>
    <row r="444" ht="11.1" customHeight="1" x14ac:dyDescent="0.2"/>
    <row r="445" ht="11.1" customHeight="1" x14ac:dyDescent="0.2"/>
    <row r="446" ht="11.1" customHeight="1" x14ac:dyDescent="0.2"/>
    <row r="447" ht="11.1" customHeight="1" x14ac:dyDescent="0.2"/>
    <row r="448" ht="11.1" customHeight="1" x14ac:dyDescent="0.2"/>
    <row r="449" ht="11.1" customHeight="1" x14ac:dyDescent="0.2"/>
    <row r="450" ht="11.1" customHeight="1" x14ac:dyDescent="0.2"/>
    <row r="451" ht="11.1" customHeight="1" x14ac:dyDescent="0.2"/>
    <row r="452" ht="11.1" customHeight="1" x14ac:dyDescent="0.2"/>
    <row r="453" ht="11.1" customHeight="1" x14ac:dyDescent="0.2"/>
    <row r="454" ht="11.1" customHeight="1" x14ac:dyDescent="0.2"/>
    <row r="455" ht="11.1" customHeight="1" x14ac:dyDescent="0.2"/>
    <row r="456" ht="11.1" customHeight="1" x14ac:dyDescent="0.2"/>
    <row r="457" ht="11.1" customHeight="1" x14ac:dyDescent="0.2"/>
    <row r="458" ht="11.1" customHeight="1" x14ac:dyDescent="0.2"/>
    <row r="459" ht="11.1" customHeight="1" x14ac:dyDescent="0.2"/>
    <row r="460" ht="11.1" customHeight="1" x14ac:dyDescent="0.2"/>
    <row r="461" ht="11.1" customHeight="1" x14ac:dyDescent="0.2"/>
    <row r="462" ht="11.1" customHeight="1" x14ac:dyDescent="0.2"/>
    <row r="463" ht="11.1" customHeight="1" x14ac:dyDescent="0.2"/>
    <row r="464" ht="11.1" customHeight="1" x14ac:dyDescent="0.2"/>
    <row r="465" ht="11.1" customHeight="1" x14ac:dyDescent="0.2"/>
    <row r="466" ht="11.1" customHeight="1" x14ac:dyDescent="0.2"/>
    <row r="467" ht="11.1" customHeight="1" x14ac:dyDescent="0.2"/>
    <row r="468" ht="11.1" customHeight="1" x14ac:dyDescent="0.2"/>
    <row r="469" ht="11.1" customHeight="1" x14ac:dyDescent="0.2"/>
    <row r="470" ht="11.1" customHeight="1" x14ac:dyDescent="0.2"/>
    <row r="471" ht="11.1" customHeight="1" x14ac:dyDescent="0.2"/>
    <row r="472" ht="11.1" customHeight="1" x14ac:dyDescent="0.2"/>
    <row r="473" ht="11.1" customHeight="1" x14ac:dyDescent="0.2"/>
    <row r="474" ht="11.1" customHeight="1" x14ac:dyDescent="0.2"/>
    <row r="475" ht="11.1" customHeight="1" x14ac:dyDescent="0.2"/>
    <row r="476" ht="11.1" customHeight="1" x14ac:dyDescent="0.2"/>
    <row r="477" ht="11.1" customHeight="1" x14ac:dyDescent="0.2"/>
    <row r="478" ht="11.1" customHeight="1" x14ac:dyDescent="0.2"/>
    <row r="479" ht="11.1" customHeight="1" x14ac:dyDescent="0.2"/>
    <row r="480" ht="11.1" customHeight="1" x14ac:dyDescent="0.2"/>
    <row r="481" ht="11.1" customHeight="1" x14ac:dyDescent="0.2"/>
    <row r="482" ht="11.1" customHeight="1" x14ac:dyDescent="0.2"/>
    <row r="483" ht="11.1" customHeight="1" x14ac:dyDescent="0.2"/>
    <row r="484" ht="11.1" customHeight="1" x14ac:dyDescent="0.2"/>
    <row r="485" ht="11.1" customHeight="1" x14ac:dyDescent="0.2"/>
    <row r="486" ht="11.1" customHeight="1" x14ac:dyDescent="0.2"/>
    <row r="487" ht="11.1" customHeight="1" x14ac:dyDescent="0.2"/>
    <row r="488" ht="11.1" customHeight="1" x14ac:dyDescent="0.2"/>
    <row r="489" ht="11.1" customHeight="1" x14ac:dyDescent="0.2"/>
    <row r="490" ht="11.1" customHeight="1" x14ac:dyDescent="0.2"/>
    <row r="491" ht="11.1" customHeight="1" x14ac:dyDescent="0.2"/>
    <row r="492" ht="11.1" customHeight="1" x14ac:dyDescent="0.2"/>
    <row r="493" ht="11.1" customHeight="1" x14ac:dyDescent="0.2"/>
    <row r="494" ht="11.1" customHeight="1" x14ac:dyDescent="0.2"/>
    <row r="495" ht="11.1" customHeight="1" x14ac:dyDescent="0.2"/>
    <row r="496" ht="11.1" customHeight="1" x14ac:dyDescent="0.2"/>
    <row r="497" ht="11.1" customHeight="1" x14ac:dyDescent="0.2"/>
    <row r="498" ht="11.1" customHeight="1" x14ac:dyDescent="0.2"/>
    <row r="499" ht="11.1" customHeight="1" x14ac:dyDescent="0.2"/>
    <row r="500" ht="11.1" customHeight="1" x14ac:dyDescent="0.2"/>
    <row r="501" ht="11.1" customHeight="1" x14ac:dyDescent="0.2"/>
    <row r="502" ht="11.1" customHeight="1" x14ac:dyDescent="0.2"/>
    <row r="503" ht="11.1" customHeight="1" x14ac:dyDescent="0.2"/>
    <row r="504" ht="11.1" customHeight="1" x14ac:dyDescent="0.2"/>
    <row r="505" ht="11.1" customHeight="1" x14ac:dyDescent="0.2"/>
    <row r="506" ht="11.1" customHeight="1" x14ac:dyDescent="0.2"/>
    <row r="507" ht="11.1" customHeight="1" x14ac:dyDescent="0.2"/>
    <row r="508" ht="11.1" customHeight="1" x14ac:dyDescent="0.2"/>
    <row r="509" ht="11.1" customHeight="1" x14ac:dyDescent="0.2"/>
    <row r="510" ht="11.1" customHeight="1" x14ac:dyDescent="0.2"/>
    <row r="511" ht="11.1" customHeight="1" x14ac:dyDescent="0.2"/>
    <row r="512" ht="11.1" customHeight="1" x14ac:dyDescent="0.2"/>
    <row r="513" ht="11.1" customHeight="1" x14ac:dyDescent="0.2"/>
    <row r="514" ht="11.1" customHeight="1" x14ac:dyDescent="0.2"/>
    <row r="515" ht="11.1" customHeight="1" x14ac:dyDescent="0.2"/>
    <row r="516" ht="11.1" customHeight="1" x14ac:dyDescent="0.2"/>
    <row r="517" ht="11.1" customHeight="1" x14ac:dyDescent="0.2"/>
    <row r="518" ht="11.1" customHeight="1" x14ac:dyDescent="0.2"/>
    <row r="519" ht="11.1" customHeight="1" x14ac:dyDescent="0.2"/>
    <row r="520" ht="11.1" customHeight="1" x14ac:dyDescent="0.2"/>
    <row r="521" ht="11.1" customHeight="1" x14ac:dyDescent="0.2"/>
    <row r="522" ht="11.1" customHeight="1" x14ac:dyDescent="0.2"/>
    <row r="523" ht="11.1" customHeight="1" x14ac:dyDescent="0.2"/>
    <row r="524" ht="11.1" customHeight="1" x14ac:dyDescent="0.2"/>
    <row r="525" ht="11.1" customHeight="1" x14ac:dyDescent="0.2"/>
    <row r="526" ht="11.1" customHeight="1" x14ac:dyDescent="0.2"/>
    <row r="527" ht="11.1" customHeight="1" x14ac:dyDescent="0.2"/>
    <row r="528" ht="11.1" customHeight="1" x14ac:dyDescent="0.2"/>
    <row r="529" ht="11.1" customHeight="1" x14ac:dyDescent="0.2"/>
    <row r="530" ht="11.1" customHeight="1" x14ac:dyDescent="0.2"/>
    <row r="531" ht="11.1" customHeight="1" x14ac:dyDescent="0.2"/>
    <row r="532" ht="11.1" customHeight="1" x14ac:dyDescent="0.2"/>
    <row r="533" ht="11.1" customHeight="1" x14ac:dyDescent="0.2"/>
    <row r="534" ht="11.1" customHeight="1" x14ac:dyDescent="0.2"/>
    <row r="535" ht="11.1" customHeight="1" x14ac:dyDescent="0.2"/>
    <row r="536" ht="11.1" customHeight="1" x14ac:dyDescent="0.2"/>
    <row r="537" ht="11.1" customHeight="1" x14ac:dyDescent="0.2"/>
    <row r="538" ht="11.1" customHeight="1" x14ac:dyDescent="0.2"/>
    <row r="539" ht="11.1" customHeight="1" x14ac:dyDescent="0.2"/>
    <row r="540" ht="11.1" customHeight="1" x14ac:dyDescent="0.2"/>
    <row r="541" ht="11.1" customHeight="1" x14ac:dyDescent="0.2"/>
    <row r="542" ht="11.1" customHeight="1" x14ac:dyDescent="0.2"/>
    <row r="543" ht="11.1" customHeight="1" x14ac:dyDescent="0.2"/>
    <row r="544" ht="11.1" customHeight="1" x14ac:dyDescent="0.2"/>
    <row r="545" ht="11.1" customHeight="1" x14ac:dyDescent="0.2"/>
    <row r="546" ht="11.1" customHeight="1" x14ac:dyDescent="0.2"/>
    <row r="547" ht="11.1" customHeight="1" x14ac:dyDescent="0.2"/>
    <row r="548" ht="11.1" customHeight="1" x14ac:dyDescent="0.2"/>
    <row r="549" ht="11.1" customHeight="1" x14ac:dyDescent="0.2"/>
    <row r="550" ht="11.1" customHeight="1" x14ac:dyDescent="0.2"/>
    <row r="551" ht="11.1" customHeight="1" x14ac:dyDescent="0.2"/>
    <row r="552" ht="11.1" customHeight="1" x14ac:dyDescent="0.2"/>
    <row r="553" ht="11.1" customHeight="1" x14ac:dyDescent="0.2"/>
    <row r="554" ht="11.1" customHeight="1" x14ac:dyDescent="0.2"/>
    <row r="555" ht="11.1" customHeight="1" x14ac:dyDescent="0.2"/>
    <row r="556" ht="11.1" customHeight="1" x14ac:dyDescent="0.2"/>
    <row r="557" ht="11.1" customHeight="1" x14ac:dyDescent="0.2"/>
    <row r="558" ht="11.1" customHeight="1" x14ac:dyDescent="0.2"/>
    <row r="559" ht="11.1" customHeight="1" x14ac:dyDescent="0.2"/>
    <row r="560" ht="11.1" customHeight="1" x14ac:dyDescent="0.2"/>
    <row r="561" ht="11.1" customHeight="1" x14ac:dyDescent="0.2"/>
    <row r="562" ht="11.1" customHeight="1" x14ac:dyDescent="0.2"/>
    <row r="563" ht="11.1" customHeight="1" x14ac:dyDescent="0.2"/>
    <row r="564" ht="11.1" customHeight="1" x14ac:dyDescent="0.2"/>
    <row r="565" ht="11.1" customHeight="1" x14ac:dyDescent="0.2"/>
    <row r="566" ht="11.1" customHeight="1" x14ac:dyDescent="0.2"/>
    <row r="567" ht="11.1" customHeight="1" x14ac:dyDescent="0.2"/>
    <row r="568" ht="11.1" customHeight="1" x14ac:dyDescent="0.2"/>
    <row r="569" ht="11.1" customHeight="1" x14ac:dyDescent="0.2"/>
    <row r="570" ht="11.1" customHeight="1" x14ac:dyDescent="0.2"/>
    <row r="571" ht="11.1" customHeight="1" x14ac:dyDescent="0.2"/>
    <row r="572" ht="11.1" customHeight="1" x14ac:dyDescent="0.2"/>
    <row r="573" ht="11.1" customHeight="1" x14ac:dyDescent="0.2"/>
    <row r="574" ht="11.1" customHeight="1" x14ac:dyDescent="0.2"/>
    <row r="575" ht="11.1" customHeight="1" x14ac:dyDescent="0.2"/>
    <row r="576" ht="11.1" customHeight="1" x14ac:dyDescent="0.2"/>
    <row r="577" ht="11.1" customHeight="1" x14ac:dyDescent="0.2"/>
    <row r="578" ht="11.1" customHeight="1" x14ac:dyDescent="0.2"/>
    <row r="579" ht="11.1" customHeight="1" x14ac:dyDescent="0.2"/>
    <row r="580" ht="11.1" customHeight="1" x14ac:dyDescent="0.2"/>
    <row r="581" ht="11.1" customHeight="1" x14ac:dyDescent="0.2"/>
    <row r="582" ht="11.1" customHeight="1" x14ac:dyDescent="0.2"/>
    <row r="583" ht="11.1" customHeight="1" x14ac:dyDescent="0.2"/>
    <row r="584" ht="11.1" customHeight="1" x14ac:dyDescent="0.2"/>
    <row r="585" ht="11.1" customHeight="1" x14ac:dyDescent="0.2"/>
    <row r="586" ht="11.1" customHeight="1" x14ac:dyDescent="0.2"/>
    <row r="587" ht="11.1" customHeight="1" x14ac:dyDescent="0.2"/>
    <row r="588" ht="11.1" customHeight="1" x14ac:dyDescent="0.2"/>
    <row r="589" ht="11.1" customHeight="1" x14ac:dyDescent="0.2"/>
    <row r="590" ht="11.1" customHeight="1" x14ac:dyDescent="0.2"/>
    <row r="591" ht="11.1" customHeight="1" x14ac:dyDescent="0.2"/>
    <row r="592" ht="11.1" customHeight="1" x14ac:dyDescent="0.2"/>
    <row r="593" ht="11.1" customHeight="1" x14ac:dyDescent="0.2"/>
    <row r="594" ht="11.1" customHeight="1" x14ac:dyDescent="0.2"/>
    <row r="595" ht="11.1" customHeight="1" x14ac:dyDescent="0.2"/>
    <row r="596" ht="11.1" customHeight="1" x14ac:dyDescent="0.2"/>
    <row r="597" ht="11.1" customHeight="1" x14ac:dyDescent="0.2"/>
    <row r="598" ht="11.1" customHeight="1" x14ac:dyDescent="0.2"/>
    <row r="599" ht="11.1" customHeight="1" x14ac:dyDescent="0.2"/>
    <row r="600" ht="11.1" customHeight="1" x14ac:dyDescent="0.2"/>
    <row r="601" ht="11.1" customHeight="1" x14ac:dyDescent="0.2"/>
    <row r="602" ht="11.1" customHeight="1" x14ac:dyDescent="0.2"/>
    <row r="603" ht="11.1" customHeight="1" x14ac:dyDescent="0.2"/>
    <row r="604" ht="11.1" customHeight="1" x14ac:dyDescent="0.2"/>
    <row r="605" ht="11.1" customHeight="1" x14ac:dyDescent="0.2"/>
    <row r="606" ht="11.1" customHeight="1" x14ac:dyDescent="0.2"/>
    <row r="607" ht="11.1" customHeight="1" x14ac:dyDescent="0.2"/>
    <row r="608" ht="11.1" customHeight="1" x14ac:dyDescent="0.2"/>
    <row r="609" ht="11.1" customHeight="1" x14ac:dyDescent="0.2"/>
    <row r="610" ht="11.1" customHeight="1" x14ac:dyDescent="0.2"/>
    <row r="611" ht="11.1" customHeight="1" x14ac:dyDescent="0.2"/>
    <row r="612" ht="11.1" customHeight="1" x14ac:dyDescent="0.2"/>
    <row r="613" ht="11.1" customHeight="1" x14ac:dyDescent="0.2"/>
    <row r="614" ht="11.1" customHeight="1" x14ac:dyDescent="0.2"/>
    <row r="615" ht="11.1" customHeight="1" x14ac:dyDescent="0.2"/>
    <row r="616" ht="11.1" customHeight="1" x14ac:dyDescent="0.2"/>
    <row r="617" ht="11.1" customHeight="1" x14ac:dyDescent="0.2"/>
    <row r="618" ht="11.1" customHeight="1" x14ac:dyDescent="0.2"/>
    <row r="619" ht="11.1" customHeight="1" x14ac:dyDescent="0.2"/>
    <row r="620" ht="11.1" customHeight="1" x14ac:dyDescent="0.2"/>
    <row r="621" ht="11.1" customHeight="1" x14ac:dyDescent="0.2"/>
    <row r="622" ht="11.1" customHeight="1" x14ac:dyDescent="0.2"/>
    <row r="623" ht="11.1" customHeight="1" x14ac:dyDescent="0.2"/>
    <row r="624" ht="11.1" customHeight="1" x14ac:dyDescent="0.2"/>
    <row r="625" ht="11.1" customHeight="1" x14ac:dyDescent="0.2"/>
    <row r="626" ht="11.1" customHeight="1" x14ac:dyDescent="0.2"/>
    <row r="627" ht="11.1" customHeight="1" x14ac:dyDescent="0.2"/>
    <row r="628" ht="11.1" customHeight="1" x14ac:dyDescent="0.2"/>
    <row r="629" ht="11.1" customHeight="1" x14ac:dyDescent="0.2"/>
    <row r="630" ht="11.1" customHeight="1" x14ac:dyDescent="0.2"/>
    <row r="631" ht="11.1" customHeight="1" x14ac:dyDescent="0.2"/>
    <row r="632" ht="11.1" customHeight="1" x14ac:dyDescent="0.2"/>
    <row r="633" ht="11.1" customHeight="1" x14ac:dyDescent="0.2"/>
    <row r="634" ht="11.1" customHeight="1" x14ac:dyDescent="0.2"/>
    <row r="635" ht="11.1" customHeight="1" x14ac:dyDescent="0.2"/>
    <row r="636" ht="11.1" customHeight="1" x14ac:dyDescent="0.2"/>
    <row r="637" ht="11.1" customHeight="1" x14ac:dyDescent="0.2"/>
    <row r="638" ht="11.1" customHeight="1" x14ac:dyDescent="0.2"/>
    <row r="639" ht="11.1" customHeight="1" x14ac:dyDescent="0.2"/>
    <row r="640" ht="11.1" customHeight="1" x14ac:dyDescent="0.2"/>
    <row r="641" ht="11.1" customHeight="1" x14ac:dyDescent="0.2"/>
    <row r="642" ht="11.1" customHeight="1" x14ac:dyDescent="0.2"/>
    <row r="643" ht="11.1" customHeight="1" x14ac:dyDescent="0.2"/>
    <row r="644" ht="11.1" customHeight="1" x14ac:dyDescent="0.2"/>
    <row r="645" ht="11.1" customHeight="1" x14ac:dyDescent="0.2"/>
    <row r="646" ht="11.1" customHeight="1" x14ac:dyDescent="0.2"/>
    <row r="647" ht="11.1" customHeight="1" x14ac:dyDescent="0.2"/>
    <row r="648" ht="11.1" customHeight="1" x14ac:dyDescent="0.2"/>
    <row r="649" ht="11.1" customHeight="1" x14ac:dyDescent="0.2"/>
    <row r="650" ht="11.1" customHeight="1" x14ac:dyDescent="0.2"/>
    <row r="651" ht="11.1" customHeight="1" x14ac:dyDescent="0.2"/>
    <row r="652" ht="11.1" customHeight="1" x14ac:dyDescent="0.2"/>
    <row r="653" ht="11.1" customHeight="1" x14ac:dyDescent="0.2"/>
    <row r="654" ht="11.1" customHeight="1" x14ac:dyDescent="0.2"/>
    <row r="655" ht="11.1" customHeight="1" x14ac:dyDescent="0.2"/>
    <row r="656" ht="11.1" customHeight="1" x14ac:dyDescent="0.2"/>
    <row r="657" ht="11.1" customHeight="1" x14ac:dyDescent="0.2"/>
    <row r="658" ht="11.1" customHeight="1" x14ac:dyDescent="0.2"/>
    <row r="659" ht="11.1" customHeight="1" x14ac:dyDescent="0.2"/>
    <row r="660" ht="11.1" customHeight="1" x14ac:dyDescent="0.2"/>
    <row r="661" ht="11.1" customHeight="1" x14ac:dyDescent="0.2"/>
    <row r="662" ht="11.1" customHeight="1" x14ac:dyDescent="0.2"/>
    <row r="663" ht="11.1" customHeight="1" x14ac:dyDescent="0.2"/>
    <row r="664" ht="11.1" customHeight="1" x14ac:dyDescent="0.2"/>
    <row r="665" ht="11.1" customHeight="1" x14ac:dyDescent="0.2"/>
    <row r="666" ht="11.1" customHeight="1" x14ac:dyDescent="0.2"/>
    <row r="667" ht="11.1" customHeight="1" x14ac:dyDescent="0.2"/>
    <row r="668" ht="11.1" customHeight="1" x14ac:dyDescent="0.2"/>
    <row r="669" ht="11.1" customHeight="1" x14ac:dyDescent="0.2"/>
    <row r="670" ht="11.1" customHeight="1" x14ac:dyDescent="0.2"/>
    <row r="671" ht="11.1" customHeight="1" x14ac:dyDescent="0.2"/>
    <row r="672" ht="11.1" customHeight="1" x14ac:dyDescent="0.2"/>
    <row r="673" ht="11.1" customHeight="1" x14ac:dyDescent="0.2"/>
    <row r="674" ht="11.1" customHeight="1" x14ac:dyDescent="0.2"/>
    <row r="675" ht="11.1" customHeight="1" x14ac:dyDescent="0.2"/>
    <row r="676" ht="11.1" customHeight="1" x14ac:dyDescent="0.2"/>
    <row r="677" ht="11.1" customHeight="1" x14ac:dyDescent="0.2"/>
    <row r="678" ht="11.1" customHeight="1" x14ac:dyDescent="0.2"/>
    <row r="679" ht="11.1" customHeight="1" x14ac:dyDescent="0.2"/>
    <row r="680" ht="11.1" customHeight="1" x14ac:dyDescent="0.2"/>
    <row r="681" ht="11.1" customHeight="1" x14ac:dyDescent="0.2"/>
    <row r="682" ht="11.1" customHeight="1" x14ac:dyDescent="0.2"/>
    <row r="683" ht="11.1" customHeight="1" x14ac:dyDescent="0.2"/>
    <row r="684" ht="11.1" customHeight="1" x14ac:dyDescent="0.2"/>
    <row r="685" ht="11.1" customHeight="1" x14ac:dyDescent="0.2"/>
    <row r="686" ht="11.1" customHeight="1" x14ac:dyDescent="0.2"/>
    <row r="687" ht="11.1" customHeight="1" x14ac:dyDescent="0.2"/>
    <row r="688" ht="11.1" customHeight="1" x14ac:dyDescent="0.2"/>
    <row r="689" ht="11.1" customHeight="1" x14ac:dyDescent="0.2"/>
    <row r="690" ht="11.1" customHeight="1" x14ac:dyDescent="0.2"/>
    <row r="691" ht="11.1" customHeight="1" x14ac:dyDescent="0.2"/>
    <row r="692" ht="11.1" customHeight="1" x14ac:dyDescent="0.2"/>
    <row r="693" ht="11.1" customHeight="1" x14ac:dyDescent="0.2"/>
    <row r="694" ht="11.1" customHeight="1" x14ac:dyDescent="0.2"/>
    <row r="695" ht="11.1" customHeight="1" x14ac:dyDescent="0.2"/>
    <row r="696" ht="11.1" customHeight="1" x14ac:dyDescent="0.2"/>
    <row r="697" ht="11.1" customHeight="1" x14ac:dyDescent="0.2"/>
    <row r="698" ht="11.1" customHeight="1" x14ac:dyDescent="0.2"/>
    <row r="699" ht="11.1" customHeight="1" x14ac:dyDescent="0.2"/>
    <row r="700" ht="11.1" customHeight="1" x14ac:dyDescent="0.2"/>
    <row r="701" ht="11.1" customHeight="1" x14ac:dyDescent="0.2"/>
    <row r="702" ht="11.1" customHeight="1" x14ac:dyDescent="0.2"/>
    <row r="703" ht="11.1" customHeight="1" x14ac:dyDescent="0.2"/>
    <row r="704" ht="11.1" customHeight="1" x14ac:dyDescent="0.2"/>
    <row r="705" ht="11.1" customHeight="1" x14ac:dyDescent="0.2"/>
    <row r="706" ht="11.1" customHeight="1" x14ac:dyDescent="0.2"/>
    <row r="707" ht="11.1" customHeight="1" x14ac:dyDescent="0.2"/>
    <row r="708" ht="11.1" customHeight="1" x14ac:dyDescent="0.2"/>
    <row r="709" ht="11.1" customHeight="1" x14ac:dyDescent="0.2"/>
    <row r="710" ht="11.1" customHeight="1" x14ac:dyDescent="0.2"/>
    <row r="711" ht="11.1" customHeight="1" x14ac:dyDescent="0.2"/>
    <row r="712" ht="11.1" customHeight="1" x14ac:dyDescent="0.2"/>
    <row r="713" ht="11.1" customHeight="1" x14ac:dyDescent="0.2"/>
    <row r="714" ht="11.1" customHeight="1" x14ac:dyDescent="0.2"/>
    <row r="715" ht="11.1" customHeight="1" x14ac:dyDescent="0.2"/>
    <row r="716" ht="11.1" customHeight="1" x14ac:dyDescent="0.2"/>
    <row r="717" ht="11.1" customHeight="1" x14ac:dyDescent="0.2"/>
    <row r="718" ht="11.1" customHeight="1" x14ac:dyDescent="0.2"/>
    <row r="719" ht="11.1" customHeight="1" x14ac:dyDescent="0.2"/>
    <row r="720" ht="11.1" customHeight="1" x14ac:dyDescent="0.2"/>
    <row r="721" ht="11.1" customHeight="1" x14ac:dyDescent="0.2"/>
    <row r="722" ht="11.1" customHeight="1" x14ac:dyDescent="0.2"/>
    <row r="723" ht="11.1" customHeight="1" x14ac:dyDescent="0.2"/>
    <row r="724" ht="11.1" customHeight="1" x14ac:dyDescent="0.2"/>
    <row r="725" ht="11.1" customHeight="1" x14ac:dyDescent="0.2"/>
    <row r="726" ht="11.1" customHeight="1" x14ac:dyDescent="0.2"/>
    <row r="727" ht="11.1" customHeight="1" x14ac:dyDescent="0.2"/>
    <row r="728" ht="11.1" customHeight="1" x14ac:dyDescent="0.2"/>
    <row r="729" ht="11.1" customHeight="1" x14ac:dyDescent="0.2"/>
    <row r="730" ht="11.1" customHeight="1" x14ac:dyDescent="0.2"/>
    <row r="731" ht="11.1" customHeight="1" x14ac:dyDescent="0.2"/>
    <row r="732" ht="11.1" customHeight="1" x14ac:dyDescent="0.2"/>
    <row r="733" ht="11.1" customHeight="1" x14ac:dyDescent="0.2"/>
    <row r="734" ht="11.1" customHeight="1" x14ac:dyDescent="0.2"/>
    <row r="735" ht="11.1" customHeight="1" x14ac:dyDescent="0.2"/>
    <row r="736" ht="11.1" customHeight="1" x14ac:dyDescent="0.2"/>
    <row r="737" ht="11.1" customHeight="1" x14ac:dyDescent="0.2"/>
    <row r="738" ht="11.1" customHeight="1" x14ac:dyDescent="0.2"/>
    <row r="739" ht="11.1" customHeight="1" x14ac:dyDescent="0.2"/>
    <row r="740" ht="11.1" customHeight="1" x14ac:dyDescent="0.2"/>
    <row r="741" ht="11.1" customHeight="1" x14ac:dyDescent="0.2"/>
    <row r="742" ht="11.1" customHeight="1" x14ac:dyDescent="0.2"/>
    <row r="743" ht="11.1" customHeight="1" x14ac:dyDescent="0.2"/>
    <row r="744" ht="11.1" customHeight="1" x14ac:dyDescent="0.2"/>
    <row r="745" ht="11.1" customHeight="1" x14ac:dyDescent="0.2"/>
    <row r="746" ht="11.1" customHeight="1" x14ac:dyDescent="0.2"/>
    <row r="747" ht="11.1" customHeight="1" x14ac:dyDescent="0.2"/>
    <row r="748" ht="11.1" customHeight="1" x14ac:dyDescent="0.2"/>
    <row r="749" ht="11.1" customHeight="1" x14ac:dyDescent="0.2"/>
    <row r="750" ht="11.1" customHeight="1" x14ac:dyDescent="0.2"/>
    <row r="751" ht="11.1" customHeight="1" x14ac:dyDescent="0.2"/>
    <row r="752" ht="11.1" customHeight="1" x14ac:dyDescent="0.2"/>
    <row r="753" ht="11.1" customHeight="1" x14ac:dyDescent="0.2"/>
    <row r="754" ht="11.1" customHeight="1" x14ac:dyDescent="0.2"/>
    <row r="755" ht="11.1" customHeight="1" x14ac:dyDescent="0.2"/>
    <row r="756" ht="11.1" customHeight="1" x14ac:dyDescent="0.2"/>
    <row r="757" ht="11.1" customHeight="1" x14ac:dyDescent="0.2"/>
    <row r="758" ht="11.1" customHeight="1" x14ac:dyDescent="0.2"/>
    <row r="759" ht="11.1" customHeight="1" x14ac:dyDescent="0.2"/>
    <row r="760" ht="11.1" customHeight="1" x14ac:dyDescent="0.2"/>
    <row r="761" ht="11.1" customHeight="1" x14ac:dyDescent="0.2"/>
    <row r="762" ht="11.1" customHeight="1" x14ac:dyDescent="0.2"/>
    <row r="763" ht="11.1" customHeight="1" x14ac:dyDescent="0.2"/>
    <row r="764" ht="11.1" customHeight="1" x14ac:dyDescent="0.2"/>
    <row r="765" ht="11.1" customHeight="1" x14ac:dyDescent="0.2"/>
    <row r="766" ht="11.1" customHeight="1" x14ac:dyDescent="0.2"/>
    <row r="767" ht="11.1" customHeight="1" x14ac:dyDescent="0.2"/>
    <row r="768" ht="11.1" customHeight="1" x14ac:dyDescent="0.2"/>
    <row r="769" ht="11.1" customHeight="1" x14ac:dyDescent="0.2"/>
    <row r="770" ht="11.1" customHeight="1" x14ac:dyDescent="0.2"/>
    <row r="771" ht="11.1" customHeight="1" x14ac:dyDescent="0.2"/>
    <row r="772" ht="11.1" customHeight="1" x14ac:dyDescent="0.2"/>
    <row r="773" ht="11.1" customHeight="1" x14ac:dyDescent="0.2"/>
    <row r="774" ht="11.1" customHeight="1" x14ac:dyDescent="0.2"/>
    <row r="775" ht="11.1" customHeight="1" x14ac:dyDescent="0.2"/>
    <row r="776" ht="11.1" customHeight="1" x14ac:dyDescent="0.2"/>
    <row r="777" ht="11.1" customHeight="1" x14ac:dyDescent="0.2"/>
    <row r="778" ht="11.1" customHeight="1" x14ac:dyDescent="0.2"/>
    <row r="779" ht="11.1" customHeight="1" x14ac:dyDescent="0.2"/>
    <row r="780" ht="11.1" customHeight="1" x14ac:dyDescent="0.2"/>
    <row r="781" ht="11.1" customHeight="1" x14ac:dyDescent="0.2"/>
    <row r="782" ht="11.1" customHeight="1" x14ac:dyDescent="0.2"/>
    <row r="783" ht="11.1" customHeight="1" x14ac:dyDescent="0.2"/>
    <row r="784" ht="11.1" customHeight="1" x14ac:dyDescent="0.2"/>
    <row r="785" ht="11.1" customHeight="1" x14ac:dyDescent="0.2"/>
    <row r="786" ht="11.1" customHeight="1" x14ac:dyDescent="0.2"/>
    <row r="787" ht="11.1" customHeight="1" x14ac:dyDescent="0.2"/>
    <row r="788" ht="11.1" customHeight="1" x14ac:dyDescent="0.2"/>
    <row r="789" ht="11.1" customHeight="1" x14ac:dyDescent="0.2"/>
    <row r="790" ht="11.1" customHeight="1" x14ac:dyDescent="0.2"/>
    <row r="791" ht="11.1" customHeight="1" x14ac:dyDescent="0.2"/>
    <row r="792" ht="11.1" customHeight="1" x14ac:dyDescent="0.2"/>
    <row r="793" ht="11.1" customHeight="1" x14ac:dyDescent="0.2"/>
    <row r="794" ht="11.1" customHeight="1" x14ac:dyDescent="0.2"/>
    <row r="795" ht="11.1" customHeight="1" x14ac:dyDescent="0.2"/>
    <row r="796" ht="11.1" customHeight="1" x14ac:dyDescent="0.2"/>
    <row r="797" ht="11.1" customHeight="1" x14ac:dyDescent="0.2"/>
    <row r="798" ht="11.1" customHeight="1" x14ac:dyDescent="0.2"/>
    <row r="799" ht="11.1" customHeight="1" x14ac:dyDescent="0.2"/>
    <row r="800" ht="11.1" customHeight="1" x14ac:dyDescent="0.2"/>
    <row r="801" ht="11.1" customHeight="1" x14ac:dyDescent="0.2"/>
    <row r="802" ht="11.1" customHeight="1" x14ac:dyDescent="0.2"/>
    <row r="803" ht="11.1" customHeight="1" x14ac:dyDescent="0.2"/>
    <row r="804" ht="11.1" customHeight="1" x14ac:dyDescent="0.2"/>
    <row r="805" ht="11.1" customHeight="1" x14ac:dyDescent="0.2"/>
    <row r="806" ht="11.1" customHeight="1" x14ac:dyDescent="0.2"/>
    <row r="807" ht="11.1" customHeight="1" x14ac:dyDescent="0.2"/>
    <row r="808" ht="11.1" customHeight="1" x14ac:dyDescent="0.2"/>
    <row r="809" ht="11.1" customHeight="1" x14ac:dyDescent="0.2"/>
    <row r="810" ht="11.1" customHeight="1" x14ac:dyDescent="0.2"/>
    <row r="811" ht="11.1" customHeight="1" x14ac:dyDescent="0.2"/>
    <row r="812" ht="11.1" customHeight="1" x14ac:dyDescent="0.2"/>
    <row r="813" ht="11.1" customHeight="1" x14ac:dyDescent="0.2"/>
    <row r="814" ht="11.1" customHeight="1" x14ac:dyDescent="0.2"/>
    <row r="815" ht="11.1" customHeight="1" x14ac:dyDescent="0.2"/>
    <row r="816" ht="11.1" customHeight="1" x14ac:dyDescent="0.2"/>
    <row r="817" ht="11.1" customHeight="1" x14ac:dyDescent="0.2"/>
    <row r="818" ht="11.1" customHeight="1" x14ac:dyDescent="0.2"/>
    <row r="819" ht="11.1" customHeight="1" x14ac:dyDescent="0.2"/>
    <row r="820" ht="11.1" customHeight="1" x14ac:dyDescent="0.2"/>
    <row r="821" ht="11.1" customHeight="1" x14ac:dyDescent="0.2"/>
    <row r="822" ht="11.1" customHeight="1" x14ac:dyDescent="0.2"/>
    <row r="823" ht="11.1" customHeight="1" x14ac:dyDescent="0.2"/>
    <row r="824" ht="11.1" customHeight="1" x14ac:dyDescent="0.2"/>
    <row r="825" ht="11.1" customHeight="1" x14ac:dyDescent="0.2"/>
    <row r="826" ht="11.1" customHeight="1" x14ac:dyDescent="0.2"/>
    <row r="827" ht="11.1" customHeight="1" x14ac:dyDescent="0.2"/>
    <row r="828" ht="11.1" customHeight="1" x14ac:dyDescent="0.2"/>
    <row r="829" ht="11.1" customHeight="1" x14ac:dyDescent="0.2"/>
    <row r="830" ht="11.1" customHeight="1" x14ac:dyDescent="0.2"/>
    <row r="831" ht="11.1" customHeight="1" x14ac:dyDescent="0.2"/>
    <row r="832" ht="11.1" customHeight="1" x14ac:dyDescent="0.2"/>
    <row r="833" ht="11.1" customHeight="1" x14ac:dyDescent="0.2"/>
    <row r="834" ht="11.1" customHeight="1" x14ac:dyDescent="0.2"/>
    <row r="835" ht="11.1" customHeight="1" x14ac:dyDescent="0.2"/>
    <row r="836" ht="11.1" customHeight="1" x14ac:dyDescent="0.2"/>
    <row r="837" ht="11.1" customHeight="1" x14ac:dyDescent="0.2"/>
    <row r="838" ht="11.1" customHeight="1" x14ac:dyDescent="0.2"/>
    <row r="839" ht="11.1" customHeight="1" x14ac:dyDescent="0.2"/>
    <row r="840" ht="11.1" customHeight="1" x14ac:dyDescent="0.2"/>
    <row r="841" ht="11.1" customHeight="1" x14ac:dyDescent="0.2"/>
    <row r="842" ht="11.1" customHeight="1" x14ac:dyDescent="0.2"/>
    <row r="843" ht="11.1" customHeight="1" x14ac:dyDescent="0.2"/>
    <row r="844" ht="11.1" customHeight="1" x14ac:dyDescent="0.2"/>
    <row r="845" ht="11.1" customHeight="1" x14ac:dyDescent="0.2"/>
    <row r="846" ht="11.1" customHeight="1" x14ac:dyDescent="0.2"/>
    <row r="847" ht="11.1" customHeight="1" x14ac:dyDescent="0.2"/>
    <row r="848" ht="11.1" customHeight="1" x14ac:dyDescent="0.2"/>
    <row r="849" ht="11.1" customHeight="1" x14ac:dyDescent="0.2"/>
    <row r="850" ht="11.1" customHeight="1" x14ac:dyDescent="0.2"/>
    <row r="851" ht="11.1" customHeight="1" x14ac:dyDescent="0.2"/>
    <row r="852" ht="11.1" customHeight="1" x14ac:dyDescent="0.2"/>
    <row r="853" ht="11.1" customHeight="1" x14ac:dyDescent="0.2"/>
    <row r="854" ht="11.1" customHeight="1" x14ac:dyDescent="0.2"/>
    <row r="855" ht="11.1" customHeight="1" x14ac:dyDescent="0.2"/>
    <row r="856" ht="11.1" customHeight="1" x14ac:dyDescent="0.2"/>
    <row r="857" ht="11.1" customHeight="1" x14ac:dyDescent="0.2"/>
    <row r="858" ht="11.1" customHeight="1" x14ac:dyDescent="0.2"/>
    <row r="859" ht="11.1" customHeight="1" x14ac:dyDescent="0.2"/>
    <row r="860" ht="11.1" customHeight="1" x14ac:dyDescent="0.2"/>
    <row r="861" ht="11.1" customHeight="1" x14ac:dyDescent="0.2"/>
    <row r="862" ht="11.1" customHeight="1" x14ac:dyDescent="0.2"/>
    <row r="863" ht="11.1" customHeight="1" x14ac:dyDescent="0.2"/>
    <row r="864" ht="11.1" customHeight="1" x14ac:dyDescent="0.2"/>
    <row r="865" ht="11.1" customHeight="1" x14ac:dyDescent="0.2"/>
    <row r="866" ht="11.1" customHeight="1" x14ac:dyDescent="0.2"/>
    <row r="867" ht="11.1" customHeight="1" x14ac:dyDescent="0.2"/>
    <row r="868" ht="11.1" customHeight="1" x14ac:dyDescent="0.2"/>
    <row r="869" ht="11.1" customHeight="1" x14ac:dyDescent="0.2"/>
    <row r="870" ht="11.1" customHeight="1" x14ac:dyDescent="0.2"/>
    <row r="871" ht="11.1" customHeight="1" x14ac:dyDescent="0.2"/>
    <row r="872" ht="11.1" customHeight="1" x14ac:dyDescent="0.2"/>
    <row r="873" ht="11.1" customHeight="1" x14ac:dyDescent="0.2"/>
    <row r="874" ht="11.1" customHeight="1" x14ac:dyDescent="0.2"/>
    <row r="875" ht="11.1" customHeight="1" x14ac:dyDescent="0.2"/>
    <row r="876" ht="11.1" customHeight="1" x14ac:dyDescent="0.2"/>
    <row r="877" ht="11.1" customHeight="1" x14ac:dyDescent="0.2"/>
    <row r="878" ht="11.1" customHeight="1" x14ac:dyDescent="0.2"/>
    <row r="879" ht="11.1" customHeight="1" x14ac:dyDescent="0.2"/>
    <row r="880" ht="11.1" customHeight="1" x14ac:dyDescent="0.2"/>
    <row r="881" ht="11.1" customHeight="1" x14ac:dyDescent="0.2"/>
    <row r="882" ht="11.1" customHeight="1" x14ac:dyDescent="0.2"/>
    <row r="883" ht="11.1" customHeight="1" x14ac:dyDescent="0.2"/>
    <row r="884" ht="11.1" customHeight="1" x14ac:dyDescent="0.2"/>
    <row r="885" ht="11.1" customHeight="1" x14ac:dyDescent="0.2"/>
    <row r="886" ht="11.1" customHeight="1" x14ac:dyDescent="0.2"/>
    <row r="887" ht="11.1" customHeight="1" x14ac:dyDescent="0.2"/>
    <row r="888" ht="11.1" customHeight="1" x14ac:dyDescent="0.2"/>
    <row r="889" ht="11.1" customHeight="1" x14ac:dyDescent="0.2"/>
    <row r="890" ht="11.1" customHeight="1" x14ac:dyDescent="0.2"/>
    <row r="891" ht="11.1" customHeight="1" x14ac:dyDescent="0.2"/>
    <row r="892" ht="11.1" customHeight="1" x14ac:dyDescent="0.2"/>
    <row r="893" ht="11.1" customHeight="1" x14ac:dyDescent="0.2"/>
    <row r="894" ht="11.1" customHeight="1" x14ac:dyDescent="0.2"/>
    <row r="895" ht="11.1" customHeight="1" x14ac:dyDescent="0.2"/>
    <row r="896" ht="11.1" customHeight="1" x14ac:dyDescent="0.2"/>
    <row r="897" ht="11.1" customHeight="1" x14ac:dyDescent="0.2"/>
    <row r="898" ht="11.1" customHeight="1" x14ac:dyDescent="0.2"/>
    <row r="899" ht="11.1" customHeight="1" x14ac:dyDescent="0.2"/>
    <row r="900" ht="11.1" customHeight="1" x14ac:dyDescent="0.2"/>
    <row r="901" ht="11.1" customHeight="1" x14ac:dyDescent="0.2"/>
    <row r="902" ht="11.1" customHeight="1" x14ac:dyDescent="0.2"/>
    <row r="903" ht="11.1" customHeight="1" x14ac:dyDescent="0.2"/>
    <row r="904" ht="11.1" customHeight="1" x14ac:dyDescent="0.2"/>
    <row r="905" ht="11.1" customHeight="1" x14ac:dyDescent="0.2"/>
    <row r="906" ht="11.1" customHeight="1" x14ac:dyDescent="0.2"/>
    <row r="907" ht="11.1" customHeight="1" x14ac:dyDescent="0.2"/>
    <row r="908" ht="11.1" customHeight="1" x14ac:dyDescent="0.2"/>
    <row r="909" ht="11.1" customHeight="1" x14ac:dyDescent="0.2"/>
    <row r="910" ht="11.1" customHeight="1" x14ac:dyDescent="0.2"/>
    <row r="911" ht="11.1" customHeight="1" x14ac:dyDescent="0.2"/>
    <row r="912" ht="11.1" customHeight="1" x14ac:dyDescent="0.2"/>
    <row r="913" ht="11.1" customHeight="1" x14ac:dyDescent="0.2"/>
    <row r="914" ht="11.1" customHeight="1" x14ac:dyDescent="0.2"/>
    <row r="915" ht="11.1" customHeight="1" x14ac:dyDescent="0.2"/>
    <row r="916" ht="11.1" customHeight="1" x14ac:dyDescent="0.2"/>
    <row r="917" ht="11.1" customHeight="1" x14ac:dyDescent="0.2"/>
    <row r="918" ht="11.1" customHeight="1" x14ac:dyDescent="0.2"/>
    <row r="919" ht="11.1" customHeight="1" x14ac:dyDescent="0.2"/>
    <row r="920" ht="11.1" customHeight="1" x14ac:dyDescent="0.2"/>
    <row r="921" ht="11.1" customHeight="1" x14ac:dyDescent="0.2"/>
    <row r="922" ht="11.1" customHeight="1" x14ac:dyDescent="0.2"/>
    <row r="923" ht="11.1" customHeight="1" x14ac:dyDescent="0.2"/>
    <row r="924" ht="11.1" customHeight="1" x14ac:dyDescent="0.2"/>
    <row r="925" ht="11.1" customHeight="1" x14ac:dyDescent="0.2"/>
    <row r="926" ht="11.1" customHeight="1" x14ac:dyDescent="0.2"/>
    <row r="927" ht="11.1" customHeight="1" x14ac:dyDescent="0.2"/>
    <row r="928" ht="11.1" customHeight="1" x14ac:dyDescent="0.2"/>
    <row r="929" ht="11.1" customHeight="1" x14ac:dyDescent="0.2"/>
    <row r="930" ht="11.1" customHeight="1" x14ac:dyDescent="0.2"/>
    <row r="931" ht="11.1" customHeight="1" x14ac:dyDescent="0.2"/>
    <row r="932" ht="11.1" customHeight="1" x14ac:dyDescent="0.2"/>
    <row r="933" ht="11.1" customHeight="1" x14ac:dyDescent="0.2"/>
    <row r="934" ht="11.1" customHeight="1" x14ac:dyDescent="0.2"/>
    <row r="935" ht="11.1" customHeight="1" x14ac:dyDescent="0.2"/>
    <row r="936" ht="11.1" customHeight="1" x14ac:dyDescent="0.2"/>
    <row r="937" ht="11.1" customHeight="1" x14ac:dyDescent="0.2"/>
    <row r="938" ht="11.1" customHeight="1" x14ac:dyDescent="0.2"/>
    <row r="939" ht="11.1" customHeight="1" x14ac:dyDescent="0.2"/>
    <row r="940" ht="11.1" customHeight="1" x14ac:dyDescent="0.2"/>
    <row r="941" ht="11.1" customHeight="1" x14ac:dyDescent="0.2"/>
    <row r="942" ht="11.1" customHeight="1" x14ac:dyDescent="0.2"/>
    <row r="943" ht="11.1" customHeight="1" x14ac:dyDescent="0.2"/>
    <row r="944" ht="11.1" customHeight="1" x14ac:dyDescent="0.2"/>
    <row r="945" ht="11.1" customHeight="1" x14ac:dyDescent="0.2"/>
    <row r="946" ht="11.1" customHeight="1" x14ac:dyDescent="0.2"/>
    <row r="947" ht="11.1" customHeight="1" x14ac:dyDescent="0.2"/>
    <row r="948" ht="11.1" customHeight="1" x14ac:dyDescent="0.2"/>
    <row r="949" ht="11.1" customHeight="1" x14ac:dyDescent="0.2"/>
    <row r="950" ht="11.1" customHeight="1" x14ac:dyDescent="0.2"/>
    <row r="951" ht="11.1" customHeight="1" x14ac:dyDescent="0.2"/>
    <row r="952" ht="11.1" customHeight="1" x14ac:dyDescent="0.2"/>
    <row r="953" ht="11.1" customHeight="1" x14ac:dyDescent="0.2"/>
    <row r="954" ht="11.1" customHeight="1" x14ac:dyDescent="0.2"/>
    <row r="955" ht="11.1" customHeight="1" x14ac:dyDescent="0.2"/>
    <row r="956" ht="11.1" customHeight="1" x14ac:dyDescent="0.2"/>
    <row r="957" ht="11.1" customHeight="1" x14ac:dyDescent="0.2"/>
    <row r="958" ht="11.1" customHeight="1" x14ac:dyDescent="0.2"/>
    <row r="959" ht="11.1" customHeight="1" x14ac:dyDescent="0.2"/>
    <row r="960" ht="11.1" customHeight="1" x14ac:dyDescent="0.2"/>
    <row r="961" ht="11.1" customHeight="1" x14ac:dyDescent="0.2"/>
    <row r="962" ht="11.1" customHeight="1" x14ac:dyDescent="0.2"/>
    <row r="963" ht="11.1" customHeight="1" x14ac:dyDescent="0.2"/>
    <row r="964" ht="11.1" customHeight="1" x14ac:dyDescent="0.2"/>
    <row r="965" ht="11.1" customHeight="1" x14ac:dyDescent="0.2"/>
    <row r="966" ht="11.1" customHeight="1" x14ac:dyDescent="0.2"/>
    <row r="967" ht="11.1" customHeight="1" x14ac:dyDescent="0.2"/>
    <row r="968" ht="11.1" customHeight="1" x14ac:dyDescent="0.2"/>
    <row r="969" ht="11.1" customHeight="1" x14ac:dyDescent="0.2"/>
    <row r="970" ht="11.1" customHeight="1" x14ac:dyDescent="0.2"/>
    <row r="971" ht="11.1" customHeight="1" x14ac:dyDescent="0.2"/>
    <row r="972" ht="11.1" customHeight="1" x14ac:dyDescent="0.2"/>
    <row r="973" ht="11.1" customHeight="1" x14ac:dyDescent="0.2"/>
    <row r="974" ht="11.1" customHeight="1" x14ac:dyDescent="0.2"/>
    <row r="975" ht="11.1" customHeight="1" x14ac:dyDescent="0.2"/>
    <row r="976" ht="11.1" customHeight="1" x14ac:dyDescent="0.2"/>
    <row r="977" ht="11.1" customHeight="1" x14ac:dyDescent="0.2"/>
    <row r="978" ht="11.1" customHeight="1" x14ac:dyDescent="0.2"/>
    <row r="979" ht="11.1" customHeight="1" x14ac:dyDescent="0.2"/>
    <row r="980" ht="11.1" customHeight="1" x14ac:dyDescent="0.2"/>
    <row r="981" ht="11.1" customHeight="1" x14ac:dyDescent="0.2"/>
    <row r="982" ht="11.1" customHeight="1" x14ac:dyDescent="0.2"/>
    <row r="983" ht="11.1" customHeight="1" x14ac:dyDescent="0.2"/>
    <row r="984" ht="11.1" customHeight="1" x14ac:dyDescent="0.2"/>
    <row r="985" ht="11.1" customHeight="1" x14ac:dyDescent="0.2"/>
    <row r="986" ht="11.1" customHeight="1" x14ac:dyDescent="0.2"/>
    <row r="987" ht="11.1" customHeight="1" x14ac:dyDescent="0.2"/>
    <row r="988" ht="11.1" customHeight="1" x14ac:dyDescent="0.2"/>
    <row r="989" ht="11.1" customHeight="1" x14ac:dyDescent="0.2"/>
    <row r="990" ht="11.1" customHeight="1" x14ac:dyDescent="0.2"/>
    <row r="991" ht="11.1" customHeight="1" x14ac:dyDescent="0.2"/>
    <row r="992" ht="11.1" customHeight="1" x14ac:dyDescent="0.2"/>
    <row r="993" ht="11.1" customHeight="1" x14ac:dyDescent="0.2"/>
    <row r="994" ht="11.1" customHeight="1" x14ac:dyDescent="0.2"/>
    <row r="995" ht="11.1" customHeight="1" x14ac:dyDescent="0.2"/>
    <row r="996" ht="11.1" customHeight="1" x14ac:dyDescent="0.2"/>
    <row r="997" ht="11.1" customHeight="1" x14ac:dyDescent="0.2"/>
    <row r="998" ht="11.1" customHeight="1" x14ac:dyDescent="0.2"/>
    <row r="999" ht="11.1" customHeight="1" x14ac:dyDescent="0.2"/>
    <row r="1000" ht="11.1" customHeight="1" x14ac:dyDescent="0.2"/>
    <row r="1001" ht="11.1" customHeight="1" x14ac:dyDescent="0.2"/>
    <row r="1002" ht="11.1" customHeight="1" x14ac:dyDescent="0.2"/>
    <row r="1003" ht="11.1" customHeight="1" x14ac:dyDescent="0.2"/>
    <row r="1004" ht="11.1" customHeight="1" x14ac:dyDescent="0.2"/>
    <row r="1005" ht="11.1" customHeight="1" x14ac:dyDescent="0.2"/>
    <row r="1006" ht="11.1" customHeight="1" x14ac:dyDescent="0.2"/>
    <row r="1007" ht="11.1" customHeight="1" x14ac:dyDescent="0.2"/>
    <row r="1008" ht="11.1" customHeight="1" x14ac:dyDescent="0.2"/>
    <row r="1009" ht="11.1" customHeight="1" x14ac:dyDescent="0.2"/>
    <row r="1010" ht="11.1" customHeight="1" x14ac:dyDescent="0.2"/>
    <row r="1011" ht="11.1" customHeight="1" x14ac:dyDescent="0.2"/>
    <row r="1012" ht="11.1" customHeight="1" x14ac:dyDescent="0.2"/>
    <row r="1013" ht="11.1" customHeight="1" x14ac:dyDescent="0.2"/>
    <row r="1014" ht="11.1" customHeight="1" x14ac:dyDescent="0.2"/>
    <row r="1015" ht="11.1" customHeight="1" x14ac:dyDescent="0.2"/>
    <row r="1016" ht="11.1" customHeight="1" x14ac:dyDescent="0.2"/>
    <row r="1017" ht="11.1" customHeight="1" x14ac:dyDescent="0.2"/>
    <row r="1018" ht="11.1" customHeight="1" x14ac:dyDescent="0.2"/>
    <row r="1019" ht="11.1" customHeight="1" x14ac:dyDescent="0.2"/>
    <row r="1020" ht="11.1" customHeight="1" x14ac:dyDescent="0.2"/>
    <row r="1021" ht="11.1" customHeight="1" x14ac:dyDescent="0.2"/>
    <row r="1022" ht="11.1" customHeight="1" x14ac:dyDescent="0.2"/>
    <row r="1023" ht="11.1" customHeight="1" x14ac:dyDescent="0.2"/>
    <row r="1024" ht="11.1" customHeight="1" x14ac:dyDescent="0.2"/>
    <row r="1025" ht="11.1" customHeight="1" x14ac:dyDescent="0.2"/>
    <row r="1026" ht="11.1" customHeight="1" x14ac:dyDescent="0.2"/>
    <row r="1027" ht="11.1" customHeight="1" x14ac:dyDescent="0.2"/>
    <row r="1028" ht="11.1" customHeight="1" x14ac:dyDescent="0.2"/>
    <row r="1029" ht="11.1" customHeight="1" x14ac:dyDescent="0.2"/>
    <row r="1030" ht="11.1" customHeight="1" x14ac:dyDescent="0.2"/>
    <row r="1031" ht="11.1" customHeight="1" x14ac:dyDescent="0.2"/>
    <row r="1032" ht="11.1" customHeight="1" x14ac:dyDescent="0.2"/>
    <row r="1033" ht="11.1" customHeight="1" x14ac:dyDescent="0.2"/>
    <row r="1034" ht="11.1" customHeight="1" x14ac:dyDescent="0.2"/>
    <row r="1035" ht="11.1" customHeight="1" x14ac:dyDescent="0.2"/>
    <row r="1036" ht="11.1" customHeight="1" x14ac:dyDescent="0.2"/>
    <row r="1037" ht="11.1" customHeight="1" x14ac:dyDescent="0.2"/>
    <row r="1038" ht="11.1" customHeight="1" x14ac:dyDescent="0.2"/>
    <row r="1039" ht="11.1" customHeight="1" x14ac:dyDescent="0.2"/>
    <row r="1040" ht="11.1" customHeight="1" x14ac:dyDescent="0.2"/>
    <row r="1041" ht="11.1" customHeight="1" x14ac:dyDescent="0.2"/>
    <row r="1042" ht="11.1" customHeight="1" x14ac:dyDescent="0.2"/>
    <row r="1043" ht="11.1" customHeight="1" x14ac:dyDescent="0.2"/>
    <row r="1044" ht="11.1" customHeight="1" x14ac:dyDescent="0.2"/>
    <row r="1045" ht="11.1" customHeight="1" x14ac:dyDescent="0.2"/>
    <row r="1046" ht="11.1" customHeight="1" x14ac:dyDescent="0.2"/>
    <row r="1047" ht="11.1" customHeight="1" x14ac:dyDescent="0.2"/>
    <row r="1048" ht="11.1" customHeight="1" x14ac:dyDescent="0.2"/>
    <row r="1049" ht="11.1" customHeight="1" x14ac:dyDescent="0.2"/>
    <row r="1050" ht="11.1" customHeight="1" x14ac:dyDescent="0.2"/>
    <row r="1051" ht="11.1" customHeight="1" x14ac:dyDescent="0.2"/>
    <row r="1052" ht="11.1" customHeight="1" x14ac:dyDescent="0.2"/>
    <row r="1053" ht="11.1" customHeight="1" x14ac:dyDescent="0.2"/>
    <row r="1054" ht="11.1" customHeight="1" x14ac:dyDescent="0.2"/>
    <row r="1055" ht="11.1" customHeight="1" x14ac:dyDescent="0.2"/>
    <row r="1056" ht="11.1" customHeight="1" x14ac:dyDescent="0.2"/>
    <row r="1057" ht="11.1" customHeight="1" x14ac:dyDescent="0.2"/>
    <row r="1058" ht="11.1" customHeight="1" x14ac:dyDescent="0.2"/>
    <row r="1059" ht="11.1" customHeight="1" x14ac:dyDescent="0.2"/>
    <row r="1060" ht="11.1" customHeight="1" x14ac:dyDescent="0.2"/>
    <row r="1061" ht="11.1" customHeight="1" x14ac:dyDescent="0.2"/>
    <row r="1062" ht="11.1" customHeight="1" x14ac:dyDescent="0.2"/>
    <row r="1063" ht="11.1" customHeight="1" x14ac:dyDescent="0.2"/>
    <row r="1064" ht="11.1" customHeight="1" x14ac:dyDescent="0.2"/>
    <row r="1065" ht="11.1" customHeight="1" x14ac:dyDescent="0.2"/>
    <row r="1066" ht="11.1" customHeight="1" x14ac:dyDescent="0.2"/>
    <row r="1067" ht="11.1" customHeight="1" x14ac:dyDescent="0.2"/>
    <row r="1068" ht="11.1" customHeight="1" x14ac:dyDescent="0.2"/>
    <row r="1069" ht="11.1" customHeight="1" x14ac:dyDescent="0.2"/>
    <row r="1070" ht="11.1" customHeight="1" x14ac:dyDescent="0.2"/>
    <row r="1071" ht="11.1" customHeight="1" x14ac:dyDescent="0.2"/>
    <row r="1072" ht="11.1" customHeight="1" x14ac:dyDescent="0.2"/>
    <row r="1073" ht="11.1" customHeight="1" x14ac:dyDescent="0.2"/>
    <row r="1074" ht="11.1" customHeight="1" x14ac:dyDescent="0.2"/>
    <row r="1075" ht="11.1" customHeight="1" x14ac:dyDescent="0.2"/>
    <row r="1076" ht="11.1" customHeight="1" x14ac:dyDescent="0.2"/>
    <row r="1077" ht="11.1" customHeight="1" x14ac:dyDescent="0.2"/>
    <row r="1078" ht="11.1" customHeight="1" x14ac:dyDescent="0.2"/>
    <row r="1079" ht="11.1" customHeight="1" x14ac:dyDescent="0.2"/>
    <row r="1080" ht="11.1" customHeight="1" x14ac:dyDescent="0.2"/>
    <row r="1081" ht="11.1" customHeight="1" x14ac:dyDescent="0.2"/>
    <row r="1082" ht="11.1" customHeight="1" x14ac:dyDescent="0.2"/>
    <row r="1083" ht="11.1" customHeight="1" x14ac:dyDescent="0.2"/>
    <row r="1084" ht="11.1" customHeight="1" x14ac:dyDescent="0.2"/>
    <row r="1085" ht="11.1" customHeight="1" x14ac:dyDescent="0.2"/>
    <row r="1086" ht="11.1" customHeight="1" x14ac:dyDescent="0.2"/>
    <row r="1087" ht="11.1" customHeight="1" x14ac:dyDescent="0.2"/>
    <row r="1088" ht="11.1" customHeight="1" x14ac:dyDescent="0.2"/>
    <row r="1089" ht="11.1" customHeight="1" x14ac:dyDescent="0.2"/>
    <row r="1090" ht="11.1" customHeight="1" x14ac:dyDescent="0.2"/>
    <row r="1091" ht="11.1" customHeight="1" x14ac:dyDescent="0.2"/>
    <row r="1092" ht="11.1" customHeight="1" x14ac:dyDescent="0.2"/>
    <row r="1093" ht="11.1" customHeight="1" x14ac:dyDescent="0.2"/>
    <row r="1094" ht="11.1" customHeight="1" x14ac:dyDescent="0.2"/>
    <row r="1095" ht="11.1" customHeight="1" x14ac:dyDescent="0.2"/>
    <row r="1096" ht="11.1" customHeight="1" x14ac:dyDescent="0.2"/>
    <row r="1097" ht="11.1" customHeight="1" x14ac:dyDescent="0.2"/>
    <row r="1098" ht="11.1" customHeight="1" x14ac:dyDescent="0.2"/>
    <row r="1099" ht="11.1" customHeight="1" x14ac:dyDescent="0.2"/>
    <row r="1100" ht="11.1" customHeight="1" x14ac:dyDescent="0.2"/>
    <row r="1101" ht="11.1" customHeight="1" x14ac:dyDescent="0.2"/>
    <row r="1102" ht="11.1" customHeight="1" x14ac:dyDescent="0.2"/>
    <row r="1103" ht="11.1" customHeight="1" x14ac:dyDescent="0.2"/>
    <row r="1104" ht="11.1" customHeight="1" x14ac:dyDescent="0.2"/>
    <row r="1105" ht="11.1" customHeight="1" x14ac:dyDescent="0.2"/>
    <row r="1106" ht="11.1" customHeight="1" x14ac:dyDescent="0.2"/>
    <row r="1107" ht="11.1" customHeight="1" x14ac:dyDescent="0.2"/>
    <row r="1108" ht="11.1" customHeight="1" x14ac:dyDescent="0.2"/>
    <row r="1109" ht="11.1" customHeight="1" x14ac:dyDescent="0.2"/>
    <row r="1110" ht="11.1" customHeight="1" x14ac:dyDescent="0.2"/>
    <row r="1111" ht="11.1" customHeight="1" x14ac:dyDescent="0.2"/>
    <row r="1112" ht="11.1" customHeight="1" x14ac:dyDescent="0.2"/>
    <row r="1113" ht="11.1" customHeight="1" x14ac:dyDescent="0.2"/>
    <row r="1114" ht="11.1" customHeight="1" x14ac:dyDescent="0.2"/>
    <row r="1115" ht="11.1" customHeight="1" x14ac:dyDescent="0.2"/>
    <row r="1116" ht="11.1" customHeight="1" x14ac:dyDescent="0.2"/>
    <row r="1117" ht="11.1" customHeight="1" x14ac:dyDescent="0.2"/>
    <row r="1118" ht="11.1" customHeight="1" x14ac:dyDescent="0.2"/>
    <row r="1119" ht="11.1" customHeight="1" x14ac:dyDescent="0.2"/>
    <row r="1120" ht="11.1" customHeight="1" x14ac:dyDescent="0.2"/>
    <row r="1121" ht="11.1" customHeight="1" x14ac:dyDescent="0.2"/>
    <row r="1122" ht="11.1" customHeight="1" x14ac:dyDescent="0.2"/>
    <row r="1123" ht="11.1" customHeight="1" x14ac:dyDescent="0.2"/>
    <row r="1124" ht="11.1" customHeight="1" x14ac:dyDescent="0.2"/>
    <row r="1125" ht="11.1" customHeight="1" x14ac:dyDescent="0.2"/>
    <row r="1126" ht="11.1" customHeight="1" x14ac:dyDescent="0.2"/>
    <row r="1127" ht="11.1" customHeight="1" x14ac:dyDescent="0.2"/>
    <row r="1128" ht="11.1" customHeight="1" x14ac:dyDescent="0.2"/>
    <row r="1129" ht="11.1" customHeight="1" x14ac:dyDescent="0.2"/>
    <row r="1130" ht="11.1" customHeight="1" x14ac:dyDescent="0.2"/>
    <row r="1131" ht="11.1" customHeight="1" x14ac:dyDescent="0.2"/>
    <row r="1132" ht="11.1" customHeight="1" x14ac:dyDescent="0.2"/>
    <row r="1133" ht="11.1" customHeight="1" x14ac:dyDescent="0.2"/>
    <row r="1134" ht="11.1" customHeight="1" x14ac:dyDescent="0.2"/>
    <row r="1135" ht="11.1" customHeight="1" x14ac:dyDescent="0.2"/>
    <row r="1136" ht="11.1" customHeight="1" x14ac:dyDescent="0.2"/>
    <row r="1137" ht="11.1" customHeight="1" x14ac:dyDescent="0.2"/>
    <row r="1138" ht="11.1" customHeight="1" x14ac:dyDescent="0.2"/>
    <row r="1139" ht="11.1" customHeight="1" x14ac:dyDescent="0.2"/>
    <row r="1140" ht="11.1" customHeight="1" x14ac:dyDescent="0.2"/>
    <row r="1141" ht="11.1" customHeight="1" x14ac:dyDescent="0.2"/>
    <row r="1142" ht="11.1" customHeight="1" x14ac:dyDescent="0.2"/>
    <row r="1143" ht="11.1" customHeight="1" x14ac:dyDescent="0.2"/>
    <row r="1144" ht="11.1" customHeight="1" x14ac:dyDescent="0.2"/>
    <row r="1145" ht="11.1" customHeight="1" x14ac:dyDescent="0.2"/>
    <row r="1146" ht="11.1" customHeight="1" x14ac:dyDescent="0.2"/>
    <row r="1147" ht="11.1" customHeight="1" x14ac:dyDescent="0.2"/>
    <row r="1148" ht="11.1" customHeight="1" x14ac:dyDescent="0.2"/>
    <row r="1149" ht="11.1" customHeight="1" x14ac:dyDescent="0.2"/>
    <row r="1150" ht="11.1" customHeight="1" x14ac:dyDescent="0.2"/>
    <row r="1151" ht="11.1" customHeight="1" x14ac:dyDescent="0.2"/>
    <row r="1152" ht="11.1" customHeight="1" x14ac:dyDescent="0.2"/>
    <row r="1153" ht="11.1" customHeight="1" x14ac:dyDescent="0.2"/>
    <row r="1154" ht="11.1" customHeight="1" x14ac:dyDescent="0.2"/>
    <row r="1155" ht="11.1" customHeight="1" x14ac:dyDescent="0.2"/>
    <row r="1156" ht="11.1" customHeight="1" x14ac:dyDescent="0.2"/>
    <row r="1157" ht="11.1" customHeight="1" x14ac:dyDescent="0.2"/>
    <row r="1158" ht="11.1" customHeight="1" x14ac:dyDescent="0.2"/>
    <row r="1159" ht="11.1" customHeight="1" x14ac:dyDescent="0.2"/>
    <row r="1160" ht="11.1" customHeight="1" x14ac:dyDescent="0.2"/>
    <row r="1161" ht="11.1" customHeight="1" x14ac:dyDescent="0.2"/>
    <row r="1162" ht="11.1" customHeight="1" x14ac:dyDescent="0.2"/>
    <row r="1163" ht="11.1" customHeight="1" x14ac:dyDescent="0.2"/>
    <row r="1164" ht="11.1" customHeight="1" x14ac:dyDescent="0.2"/>
    <row r="1165" ht="11.1" customHeight="1" x14ac:dyDescent="0.2"/>
    <row r="1166" ht="11.1" customHeight="1" x14ac:dyDescent="0.2"/>
    <row r="1167" ht="11.1" customHeight="1" x14ac:dyDescent="0.2"/>
    <row r="1168" ht="11.1" customHeight="1" x14ac:dyDescent="0.2"/>
    <row r="1169" ht="11.1" customHeight="1" x14ac:dyDescent="0.2"/>
    <row r="1170" ht="11.1" customHeight="1" x14ac:dyDescent="0.2"/>
    <row r="1171" ht="11.1" customHeight="1" x14ac:dyDescent="0.2"/>
    <row r="1172" ht="11.1" customHeight="1" x14ac:dyDescent="0.2"/>
    <row r="1173" ht="11.1" customHeight="1" x14ac:dyDescent="0.2"/>
    <row r="1174" ht="11.1" customHeight="1" x14ac:dyDescent="0.2"/>
    <row r="1175" ht="11.1" customHeight="1" x14ac:dyDescent="0.2"/>
    <row r="1176" ht="11.1" customHeight="1" x14ac:dyDescent="0.2"/>
    <row r="1177" ht="11.1" customHeight="1" x14ac:dyDescent="0.2"/>
    <row r="1178" ht="11.1" customHeight="1" x14ac:dyDescent="0.2"/>
    <row r="1179" ht="11.1" customHeight="1" x14ac:dyDescent="0.2"/>
    <row r="1180" ht="11.1" customHeight="1" x14ac:dyDescent="0.2"/>
    <row r="1181" ht="11.1" customHeight="1" x14ac:dyDescent="0.2"/>
    <row r="1182" ht="11.1" customHeight="1" x14ac:dyDescent="0.2"/>
    <row r="1183" ht="11.1" customHeight="1" x14ac:dyDescent="0.2"/>
    <row r="1184" ht="11.1" customHeight="1" x14ac:dyDescent="0.2"/>
    <row r="1185" ht="11.1" customHeight="1" x14ac:dyDescent="0.2"/>
    <row r="1186" ht="11.1" customHeight="1" x14ac:dyDescent="0.2"/>
    <row r="1187" ht="11.1" customHeight="1" x14ac:dyDescent="0.2"/>
    <row r="1188" ht="11.1" customHeight="1" x14ac:dyDescent="0.2"/>
    <row r="1189" ht="11.1" customHeight="1" x14ac:dyDescent="0.2"/>
    <row r="1190" ht="11.1" customHeight="1" x14ac:dyDescent="0.2"/>
    <row r="1191" ht="11.1" customHeight="1" x14ac:dyDescent="0.2"/>
    <row r="1192" ht="11.1" customHeight="1" x14ac:dyDescent="0.2"/>
    <row r="1193" ht="11.1" customHeight="1" x14ac:dyDescent="0.2"/>
    <row r="1194" ht="11.1" customHeight="1" x14ac:dyDescent="0.2"/>
    <row r="1195" ht="11.1" customHeight="1" x14ac:dyDescent="0.2"/>
    <row r="1196" ht="11.1" customHeight="1" x14ac:dyDescent="0.2"/>
    <row r="1197" ht="11.1" customHeight="1" x14ac:dyDescent="0.2"/>
    <row r="1198" ht="11.1" customHeight="1" x14ac:dyDescent="0.2"/>
    <row r="1199" ht="11.1" customHeight="1" x14ac:dyDescent="0.2"/>
    <row r="1200" ht="11.1" customHeight="1" x14ac:dyDescent="0.2"/>
    <row r="1201" ht="11.1" customHeight="1" x14ac:dyDescent="0.2"/>
    <row r="1202" ht="11.1" customHeight="1" x14ac:dyDescent="0.2"/>
    <row r="1203" ht="11.1" customHeight="1" x14ac:dyDescent="0.2"/>
    <row r="1204" ht="11.1" customHeight="1" x14ac:dyDescent="0.2"/>
    <row r="1205" ht="11.1" customHeight="1" x14ac:dyDescent="0.2"/>
    <row r="1206" ht="11.1" customHeight="1" x14ac:dyDescent="0.2"/>
    <row r="1207" ht="11.1" customHeight="1" x14ac:dyDescent="0.2"/>
    <row r="1208" ht="11.1" customHeight="1" x14ac:dyDescent="0.2"/>
    <row r="1209" ht="11.1" customHeight="1" x14ac:dyDescent="0.2"/>
    <row r="1210" ht="11.1" customHeight="1" x14ac:dyDescent="0.2"/>
    <row r="1211" ht="11.1" customHeight="1" x14ac:dyDescent="0.2"/>
    <row r="1212" ht="11.1" customHeight="1" x14ac:dyDescent="0.2"/>
    <row r="1213" ht="11.1" customHeight="1" x14ac:dyDescent="0.2"/>
    <row r="1214" ht="11.1" customHeight="1" x14ac:dyDescent="0.2"/>
    <row r="1215" ht="11.1" customHeight="1" x14ac:dyDescent="0.2"/>
    <row r="1216" ht="11.1" customHeight="1" x14ac:dyDescent="0.2"/>
    <row r="1217" ht="11.1" customHeight="1" x14ac:dyDescent="0.2"/>
    <row r="1218" ht="11.1" customHeight="1" x14ac:dyDescent="0.2"/>
    <row r="1219" ht="11.1" customHeight="1" x14ac:dyDescent="0.2"/>
    <row r="1220" ht="11.1" customHeight="1" x14ac:dyDescent="0.2"/>
    <row r="1221" ht="11.1" customHeight="1" x14ac:dyDescent="0.2"/>
    <row r="1222" ht="11.1" customHeight="1" x14ac:dyDescent="0.2"/>
    <row r="1223" ht="11.1" customHeight="1" x14ac:dyDescent="0.2"/>
    <row r="1224" ht="11.1" customHeight="1" x14ac:dyDescent="0.2"/>
    <row r="1225" ht="11.1" customHeight="1" x14ac:dyDescent="0.2"/>
    <row r="1226" ht="11.1" customHeight="1" x14ac:dyDescent="0.2"/>
    <row r="1227" ht="11.1" customHeight="1" x14ac:dyDescent="0.2"/>
    <row r="1228" ht="11.1" customHeight="1" x14ac:dyDescent="0.2"/>
    <row r="1229" ht="11.1" customHeight="1" x14ac:dyDescent="0.2"/>
    <row r="1230" ht="11.1" customHeight="1" x14ac:dyDescent="0.2"/>
    <row r="1231" ht="11.1" customHeight="1" x14ac:dyDescent="0.2"/>
    <row r="1232" ht="11.1" customHeight="1" x14ac:dyDescent="0.2"/>
    <row r="1233" ht="11.1" customHeight="1" x14ac:dyDescent="0.2"/>
    <row r="1234" ht="11.1" customHeight="1" x14ac:dyDescent="0.2"/>
    <row r="1235" ht="11.1" customHeight="1" x14ac:dyDescent="0.2"/>
    <row r="1236" ht="11.1" customHeight="1" x14ac:dyDescent="0.2"/>
    <row r="1237" ht="11.1" customHeight="1" x14ac:dyDescent="0.2"/>
    <row r="1238" ht="11.1" customHeight="1" x14ac:dyDescent="0.2"/>
    <row r="1239" ht="11.1" customHeight="1" x14ac:dyDescent="0.2"/>
    <row r="1240" ht="11.1" customHeight="1" x14ac:dyDescent="0.2"/>
    <row r="1241" ht="11.1" customHeight="1" x14ac:dyDescent="0.2"/>
    <row r="1242" ht="11.1" customHeight="1" x14ac:dyDescent="0.2"/>
    <row r="1243" ht="11.1" customHeight="1" x14ac:dyDescent="0.2"/>
    <row r="1244" ht="11.1" customHeight="1" x14ac:dyDescent="0.2"/>
    <row r="1245" ht="11.1" customHeight="1" x14ac:dyDescent="0.2"/>
  </sheetData>
  <mergeCells count="4">
    <mergeCell ref="A2:J2"/>
    <mergeCell ref="K2:S2"/>
    <mergeCell ref="T2:Y2"/>
    <mergeCell ref="A3:A4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/>
    <pageSetUpPr fitToPage="1"/>
  </sheetPr>
  <dimension ref="A1:CB1173"/>
  <sheetViews>
    <sheetView showGridLines="0" zoomScale="110" zoomScaleNormal="11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D33" sqref="D33"/>
    </sheetView>
  </sheetViews>
  <sheetFormatPr defaultRowHeight="12" customHeight="1" x14ac:dyDescent="0.2"/>
  <cols>
    <col min="1" max="1" width="18.42578125" style="5" customWidth="1"/>
    <col min="2" max="25" width="10.28515625" style="5" customWidth="1"/>
    <col min="26" max="164" width="9" style="5"/>
    <col min="165" max="165" width="10.85546875" style="5" customWidth="1"/>
    <col min="166" max="168" width="8.42578125" style="5" customWidth="1"/>
    <col min="169" max="169" width="0.7109375" style="5" customWidth="1"/>
    <col min="170" max="172" width="8.42578125" style="5" customWidth="1"/>
    <col min="173" max="173" width="0.7109375" style="5" customWidth="1"/>
    <col min="174" max="176" width="8.42578125" style="5" customWidth="1"/>
    <col min="177" max="420" width="9" style="5"/>
    <col min="421" max="421" width="10.85546875" style="5" customWidth="1"/>
    <col min="422" max="424" width="8.42578125" style="5" customWidth="1"/>
    <col min="425" max="425" width="0.7109375" style="5" customWidth="1"/>
    <col min="426" max="428" width="8.42578125" style="5" customWidth="1"/>
    <col min="429" max="429" width="0.7109375" style="5" customWidth="1"/>
    <col min="430" max="432" width="8.42578125" style="5" customWidth="1"/>
    <col min="433" max="676" width="9" style="5"/>
    <col min="677" max="677" width="10.85546875" style="5" customWidth="1"/>
    <col min="678" max="680" width="8.42578125" style="5" customWidth="1"/>
    <col min="681" max="681" width="0.7109375" style="5" customWidth="1"/>
    <col min="682" max="684" width="8.42578125" style="5" customWidth="1"/>
    <col min="685" max="685" width="0.7109375" style="5" customWidth="1"/>
    <col min="686" max="688" width="8.42578125" style="5" customWidth="1"/>
    <col min="689" max="932" width="9" style="5"/>
    <col min="933" max="933" width="10.85546875" style="5" customWidth="1"/>
    <col min="934" max="936" width="8.42578125" style="5" customWidth="1"/>
    <col min="937" max="937" width="0.7109375" style="5" customWidth="1"/>
    <col min="938" max="940" width="8.42578125" style="5" customWidth="1"/>
    <col min="941" max="941" width="0.7109375" style="5" customWidth="1"/>
    <col min="942" max="944" width="8.42578125" style="5" customWidth="1"/>
    <col min="945" max="1188" width="9" style="5"/>
    <col min="1189" max="1189" width="10.85546875" style="5" customWidth="1"/>
    <col min="1190" max="1192" width="8.42578125" style="5" customWidth="1"/>
    <col min="1193" max="1193" width="0.7109375" style="5" customWidth="1"/>
    <col min="1194" max="1196" width="8.42578125" style="5" customWidth="1"/>
    <col min="1197" max="1197" width="0.7109375" style="5" customWidth="1"/>
    <col min="1198" max="1200" width="8.42578125" style="5" customWidth="1"/>
    <col min="1201" max="1444" width="9" style="5"/>
    <col min="1445" max="1445" width="10.85546875" style="5" customWidth="1"/>
    <col min="1446" max="1448" width="8.42578125" style="5" customWidth="1"/>
    <col min="1449" max="1449" width="0.7109375" style="5" customWidth="1"/>
    <col min="1450" max="1452" width="8.42578125" style="5" customWidth="1"/>
    <col min="1453" max="1453" width="0.7109375" style="5" customWidth="1"/>
    <col min="1454" max="1456" width="8.42578125" style="5" customWidth="1"/>
    <col min="1457" max="1700" width="9" style="5"/>
    <col min="1701" max="1701" width="10.85546875" style="5" customWidth="1"/>
    <col min="1702" max="1704" width="8.42578125" style="5" customWidth="1"/>
    <col min="1705" max="1705" width="0.7109375" style="5" customWidth="1"/>
    <col min="1706" max="1708" width="8.42578125" style="5" customWidth="1"/>
    <col min="1709" max="1709" width="0.7109375" style="5" customWidth="1"/>
    <col min="1710" max="1712" width="8.42578125" style="5" customWidth="1"/>
    <col min="1713" max="1956" width="9" style="5"/>
    <col min="1957" max="1957" width="10.85546875" style="5" customWidth="1"/>
    <col min="1958" max="1960" width="8.42578125" style="5" customWidth="1"/>
    <col min="1961" max="1961" width="0.7109375" style="5" customWidth="1"/>
    <col min="1962" max="1964" width="8.42578125" style="5" customWidth="1"/>
    <col min="1965" max="1965" width="0.7109375" style="5" customWidth="1"/>
    <col min="1966" max="1968" width="8.42578125" style="5" customWidth="1"/>
    <col min="1969" max="2212" width="9" style="5"/>
    <col min="2213" max="2213" width="10.85546875" style="5" customWidth="1"/>
    <col min="2214" max="2216" width="8.42578125" style="5" customWidth="1"/>
    <col min="2217" max="2217" width="0.7109375" style="5" customWidth="1"/>
    <col min="2218" max="2220" width="8.42578125" style="5" customWidth="1"/>
    <col min="2221" max="2221" width="0.7109375" style="5" customWidth="1"/>
    <col min="2222" max="2224" width="8.42578125" style="5" customWidth="1"/>
    <col min="2225" max="2468" width="9" style="5"/>
    <col min="2469" max="2469" width="10.85546875" style="5" customWidth="1"/>
    <col min="2470" max="2472" width="8.42578125" style="5" customWidth="1"/>
    <col min="2473" max="2473" width="0.7109375" style="5" customWidth="1"/>
    <col min="2474" max="2476" width="8.42578125" style="5" customWidth="1"/>
    <col min="2477" max="2477" width="0.7109375" style="5" customWidth="1"/>
    <col min="2478" max="2480" width="8.42578125" style="5" customWidth="1"/>
    <col min="2481" max="2724" width="9" style="5"/>
    <col min="2725" max="2725" width="10.85546875" style="5" customWidth="1"/>
    <col min="2726" max="2728" width="8.42578125" style="5" customWidth="1"/>
    <col min="2729" max="2729" width="0.7109375" style="5" customWidth="1"/>
    <col min="2730" max="2732" width="8.42578125" style="5" customWidth="1"/>
    <col min="2733" max="2733" width="0.7109375" style="5" customWidth="1"/>
    <col min="2734" max="2736" width="8.42578125" style="5" customWidth="1"/>
    <col min="2737" max="2980" width="9" style="5"/>
    <col min="2981" max="2981" width="10.85546875" style="5" customWidth="1"/>
    <col min="2982" max="2984" width="8.42578125" style="5" customWidth="1"/>
    <col min="2985" max="2985" width="0.7109375" style="5" customWidth="1"/>
    <col min="2986" max="2988" width="8.42578125" style="5" customWidth="1"/>
    <col min="2989" max="2989" width="0.7109375" style="5" customWidth="1"/>
    <col min="2990" max="2992" width="8.42578125" style="5" customWidth="1"/>
    <col min="2993" max="3236" width="9" style="5"/>
    <col min="3237" max="3237" width="10.85546875" style="5" customWidth="1"/>
    <col min="3238" max="3240" width="8.42578125" style="5" customWidth="1"/>
    <col min="3241" max="3241" width="0.7109375" style="5" customWidth="1"/>
    <col min="3242" max="3244" width="8.42578125" style="5" customWidth="1"/>
    <col min="3245" max="3245" width="0.7109375" style="5" customWidth="1"/>
    <col min="3246" max="3248" width="8.42578125" style="5" customWidth="1"/>
    <col min="3249" max="3492" width="9" style="5"/>
    <col min="3493" max="3493" width="10.85546875" style="5" customWidth="1"/>
    <col min="3494" max="3496" width="8.42578125" style="5" customWidth="1"/>
    <col min="3497" max="3497" width="0.7109375" style="5" customWidth="1"/>
    <col min="3498" max="3500" width="8.42578125" style="5" customWidth="1"/>
    <col min="3501" max="3501" width="0.7109375" style="5" customWidth="1"/>
    <col min="3502" max="3504" width="8.42578125" style="5" customWidth="1"/>
    <col min="3505" max="3748" width="9" style="5"/>
    <col min="3749" max="3749" width="10.85546875" style="5" customWidth="1"/>
    <col min="3750" max="3752" width="8.42578125" style="5" customWidth="1"/>
    <col min="3753" max="3753" width="0.7109375" style="5" customWidth="1"/>
    <col min="3754" max="3756" width="8.42578125" style="5" customWidth="1"/>
    <col min="3757" max="3757" width="0.7109375" style="5" customWidth="1"/>
    <col min="3758" max="3760" width="8.42578125" style="5" customWidth="1"/>
    <col min="3761" max="4004" width="9" style="5"/>
    <col min="4005" max="4005" width="10.85546875" style="5" customWidth="1"/>
    <col min="4006" max="4008" width="8.42578125" style="5" customWidth="1"/>
    <col min="4009" max="4009" width="0.7109375" style="5" customWidth="1"/>
    <col min="4010" max="4012" width="8.42578125" style="5" customWidth="1"/>
    <col min="4013" max="4013" width="0.7109375" style="5" customWidth="1"/>
    <col min="4014" max="4016" width="8.42578125" style="5" customWidth="1"/>
    <col min="4017" max="4260" width="9" style="5"/>
    <col min="4261" max="4261" width="10.85546875" style="5" customWidth="1"/>
    <col min="4262" max="4264" width="8.42578125" style="5" customWidth="1"/>
    <col min="4265" max="4265" width="0.7109375" style="5" customWidth="1"/>
    <col min="4266" max="4268" width="8.42578125" style="5" customWidth="1"/>
    <col min="4269" max="4269" width="0.7109375" style="5" customWidth="1"/>
    <col min="4270" max="4272" width="8.42578125" style="5" customWidth="1"/>
    <col min="4273" max="4516" width="9" style="5"/>
    <col min="4517" max="4517" width="10.85546875" style="5" customWidth="1"/>
    <col min="4518" max="4520" width="8.42578125" style="5" customWidth="1"/>
    <col min="4521" max="4521" width="0.7109375" style="5" customWidth="1"/>
    <col min="4522" max="4524" width="8.42578125" style="5" customWidth="1"/>
    <col min="4525" max="4525" width="0.7109375" style="5" customWidth="1"/>
    <col min="4526" max="4528" width="8.42578125" style="5" customWidth="1"/>
    <col min="4529" max="4772" width="9" style="5"/>
    <col min="4773" max="4773" width="10.85546875" style="5" customWidth="1"/>
    <col min="4774" max="4776" width="8.42578125" style="5" customWidth="1"/>
    <col min="4777" max="4777" width="0.7109375" style="5" customWidth="1"/>
    <col min="4778" max="4780" width="8.42578125" style="5" customWidth="1"/>
    <col min="4781" max="4781" width="0.7109375" style="5" customWidth="1"/>
    <col min="4782" max="4784" width="8.42578125" style="5" customWidth="1"/>
    <col min="4785" max="5028" width="9" style="5"/>
    <col min="5029" max="5029" width="10.85546875" style="5" customWidth="1"/>
    <col min="5030" max="5032" width="8.42578125" style="5" customWidth="1"/>
    <col min="5033" max="5033" width="0.7109375" style="5" customWidth="1"/>
    <col min="5034" max="5036" width="8.42578125" style="5" customWidth="1"/>
    <col min="5037" max="5037" width="0.7109375" style="5" customWidth="1"/>
    <col min="5038" max="5040" width="8.42578125" style="5" customWidth="1"/>
    <col min="5041" max="5284" width="9" style="5"/>
    <col min="5285" max="5285" width="10.85546875" style="5" customWidth="1"/>
    <col min="5286" max="5288" width="8.42578125" style="5" customWidth="1"/>
    <col min="5289" max="5289" width="0.7109375" style="5" customWidth="1"/>
    <col min="5290" max="5292" width="8.42578125" style="5" customWidth="1"/>
    <col min="5293" max="5293" width="0.7109375" style="5" customWidth="1"/>
    <col min="5294" max="5296" width="8.42578125" style="5" customWidth="1"/>
    <col min="5297" max="5540" width="9" style="5"/>
    <col min="5541" max="5541" width="10.85546875" style="5" customWidth="1"/>
    <col min="5542" max="5544" width="8.42578125" style="5" customWidth="1"/>
    <col min="5545" max="5545" width="0.7109375" style="5" customWidth="1"/>
    <col min="5546" max="5548" width="8.42578125" style="5" customWidth="1"/>
    <col min="5549" max="5549" width="0.7109375" style="5" customWidth="1"/>
    <col min="5550" max="5552" width="8.42578125" style="5" customWidth="1"/>
    <col min="5553" max="5796" width="9" style="5"/>
    <col min="5797" max="5797" width="10.85546875" style="5" customWidth="1"/>
    <col min="5798" max="5800" width="8.42578125" style="5" customWidth="1"/>
    <col min="5801" max="5801" width="0.7109375" style="5" customWidth="1"/>
    <col min="5802" max="5804" width="8.42578125" style="5" customWidth="1"/>
    <col min="5805" max="5805" width="0.7109375" style="5" customWidth="1"/>
    <col min="5806" max="5808" width="8.42578125" style="5" customWidth="1"/>
    <col min="5809" max="6052" width="9" style="5"/>
    <col min="6053" max="6053" width="10.85546875" style="5" customWidth="1"/>
    <col min="6054" max="6056" width="8.42578125" style="5" customWidth="1"/>
    <col min="6057" max="6057" width="0.7109375" style="5" customWidth="1"/>
    <col min="6058" max="6060" width="8.42578125" style="5" customWidth="1"/>
    <col min="6061" max="6061" width="0.7109375" style="5" customWidth="1"/>
    <col min="6062" max="6064" width="8.42578125" style="5" customWidth="1"/>
    <col min="6065" max="6308" width="9" style="5"/>
    <col min="6309" max="6309" width="10.85546875" style="5" customWidth="1"/>
    <col min="6310" max="6312" width="8.42578125" style="5" customWidth="1"/>
    <col min="6313" max="6313" width="0.7109375" style="5" customWidth="1"/>
    <col min="6314" max="6316" width="8.42578125" style="5" customWidth="1"/>
    <col min="6317" max="6317" width="0.7109375" style="5" customWidth="1"/>
    <col min="6318" max="6320" width="8.42578125" style="5" customWidth="1"/>
    <col min="6321" max="6564" width="9" style="5"/>
    <col min="6565" max="6565" width="10.85546875" style="5" customWidth="1"/>
    <col min="6566" max="6568" width="8.42578125" style="5" customWidth="1"/>
    <col min="6569" max="6569" width="0.7109375" style="5" customWidth="1"/>
    <col min="6570" max="6572" width="8.42578125" style="5" customWidth="1"/>
    <col min="6573" max="6573" width="0.7109375" style="5" customWidth="1"/>
    <col min="6574" max="6576" width="8.42578125" style="5" customWidth="1"/>
    <col min="6577" max="6820" width="9" style="5"/>
    <col min="6821" max="6821" width="10.85546875" style="5" customWidth="1"/>
    <col min="6822" max="6824" width="8.42578125" style="5" customWidth="1"/>
    <col min="6825" max="6825" width="0.7109375" style="5" customWidth="1"/>
    <col min="6826" max="6828" width="8.42578125" style="5" customWidth="1"/>
    <col min="6829" max="6829" width="0.7109375" style="5" customWidth="1"/>
    <col min="6830" max="6832" width="8.42578125" style="5" customWidth="1"/>
    <col min="6833" max="7076" width="9" style="5"/>
    <col min="7077" max="7077" width="10.85546875" style="5" customWidth="1"/>
    <col min="7078" max="7080" width="8.42578125" style="5" customWidth="1"/>
    <col min="7081" max="7081" width="0.7109375" style="5" customWidth="1"/>
    <col min="7082" max="7084" width="8.42578125" style="5" customWidth="1"/>
    <col min="7085" max="7085" width="0.7109375" style="5" customWidth="1"/>
    <col min="7086" max="7088" width="8.42578125" style="5" customWidth="1"/>
    <col min="7089" max="7332" width="9" style="5"/>
    <col min="7333" max="7333" width="10.85546875" style="5" customWidth="1"/>
    <col min="7334" max="7336" width="8.42578125" style="5" customWidth="1"/>
    <col min="7337" max="7337" width="0.7109375" style="5" customWidth="1"/>
    <col min="7338" max="7340" width="8.42578125" style="5" customWidth="1"/>
    <col min="7341" max="7341" width="0.7109375" style="5" customWidth="1"/>
    <col min="7342" max="7344" width="8.42578125" style="5" customWidth="1"/>
    <col min="7345" max="7588" width="9" style="5"/>
    <col min="7589" max="7589" width="10.85546875" style="5" customWidth="1"/>
    <col min="7590" max="7592" width="8.42578125" style="5" customWidth="1"/>
    <col min="7593" max="7593" width="0.7109375" style="5" customWidth="1"/>
    <col min="7594" max="7596" width="8.42578125" style="5" customWidth="1"/>
    <col min="7597" max="7597" width="0.7109375" style="5" customWidth="1"/>
    <col min="7598" max="7600" width="8.42578125" style="5" customWidth="1"/>
    <col min="7601" max="7844" width="9" style="5"/>
    <col min="7845" max="7845" width="10.85546875" style="5" customWidth="1"/>
    <col min="7846" max="7848" width="8.42578125" style="5" customWidth="1"/>
    <col min="7849" max="7849" width="0.7109375" style="5" customWidth="1"/>
    <col min="7850" max="7852" width="8.42578125" style="5" customWidth="1"/>
    <col min="7853" max="7853" width="0.7109375" style="5" customWidth="1"/>
    <col min="7854" max="7856" width="8.42578125" style="5" customWidth="1"/>
    <col min="7857" max="8100" width="9" style="5"/>
    <col min="8101" max="8101" width="10.85546875" style="5" customWidth="1"/>
    <col min="8102" max="8104" width="8.42578125" style="5" customWidth="1"/>
    <col min="8105" max="8105" width="0.7109375" style="5" customWidth="1"/>
    <col min="8106" max="8108" width="8.42578125" style="5" customWidth="1"/>
    <col min="8109" max="8109" width="0.7109375" style="5" customWidth="1"/>
    <col min="8110" max="8112" width="8.42578125" style="5" customWidth="1"/>
    <col min="8113" max="8356" width="9" style="5"/>
    <col min="8357" max="8357" width="10.85546875" style="5" customWidth="1"/>
    <col min="8358" max="8360" width="8.42578125" style="5" customWidth="1"/>
    <col min="8361" max="8361" width="0.7109375" style="5" customWidth="1"/>
    <col min="8362" max="8364" width="8.42578125" style="5" customWidth="1"/>
    <col min="8365" max="8365" width="0.7109375" style="5" customWidth="1"/>
    <col min="8366" max="8368" width="8.42578125" style="5" customWidth="1"/>
    <col min="8369" max="8612" width="9" style="5"/>
    <col min="8613" max="8613" width="10.85546875" style="5" customWidth="1"/>
    <col min="8614" max="8616" width="8.42578125" style="5" customWidth="1"/>
    <col min="8617" max="8617" width="0.7109375" style="5" customWidth="1"/>
    <col min="8618" max="8620" width="8.42578125" style="5" customWidth="1"/>
    <col min="8621" max="8621" width="0.7109375" style="5" customWidth="1"/>
    <col min="8622" max="8624" width="8.42578125" style="5" customWidth="1"/>
    <col min="8625" max="8868" width="9" style="5"/>
    <col min="8869" max="8869" width="10.85546875" style="5" customWidth="1"/>
    <col min="8870" max="8872" width="8.42578125" style="5" customWidth="1"/>
    <col min="8873" max="8873" width="0.7109375" style="5" customWidth="1"/>
    <col min="8874" max="8876" width="8.42578125" style="5" customWidth="1"/>
    <col min="8877" max="8877" width="0.7109375" style="5" customWidth="1"/>
    <col min="8878" max="8880" width="8.42578125" style="5" customWidth="1"/>
    <col min="8881" max="9124" width="9" style="5"/>
    <col min="9125" max="9125" width="10.85546875" style="5" customWidth="1"/>
    <col min="9126" max="9128" width="8.42578125" style="5" customWidth="1"/>
    <col min="9129" max="9129" width="0.7109375" style="5" customWidth="1"/>
    <col min="9130" max="9132" width="8.42578125" style="5" customWidth="1"/>
    <col min="9133" max="9133" width="0.7109375" style="5" customWidth="1"/>
    <col min="9134" max="9136" width="8.42578125" style="5" customWidth="1"/>
    <col min="9137" max="9380" width="9" style="5"/>
    <col min="9381" max="9381" width="10.85546875" style="5" customWidth="1"/>
    <col min="9382" max="9384" width="8.42578125" style="5" customWidth="1"/>
    <col min="9385" max="9385" width="0.7109375" style="5" customWidth="1"/>
    <col min="9386" max="9388" width="8.42578125" style="5" customWidth="1"/>
    <col min="9389" max="9389" width="0.7109375" style="5" customWidth="1"/>
    <col min="9390" max="9392" width="8.42578125" style="5" customWidth="1"/>
    <col min="9393" max="9636" width="9" style="5"/>
    <col min="9637" max="9637" width="10.85546875" style="5" customWidth="1"/>
    <col min="9638" max="9640" width="8.42578125" style="5" customWidth="1"/>
    <col min="9641" max="9641" width="0.7109375" style="5" customWidth="1"/>
    <col min="9642" max="9644" width="8.42578125" style="5" customWidth="1"/>
    <col min="9645" max="9645" width="0.7109375" style="5" customWidth="1"/>
    <col min="9646" max="9648" width="8.42578125" style="5" customWidth="1"/>
    <col min="9649" max="9892" width="9" style="5"/>
    <col min="9893" max="9893" width="10.85546875" style="5" customWidth="1"/>
    <col min="9894" max="9896" width="8.42578125" style="5" customWidth="1"/>
    <col min="9897" max="9897" width="0.7109375" style="5" customWidth="1"/>
    <col min="9898" max="9900" width="8.42578125" style="5" customWidth="1"/>
    <col min="9901" max="9901" width="0.7109375" style="5" customWidth="1"/>
    <col min="9902" max="9904" width="8.42578125" style="5" customWidth="1"/>
    <col min="9905" max="10148" width="9" style="5"/>
    <col min="10149" max="10149" width="10.85546875" style="5" customWidth="1"/>
    <col min="10150" max="10152" width="8.42578125" style="5" customWidth="1"/>
    <col min="10153" max="10153" width="0.7109375" style="5" customWidth="1"/>
    <col min="10154" max="10156" width="8.42578125" style="5" customWidth="1"/>
    <col min="10157" max="10157" width="0.7109375" style="5" customWidth="1"/>
    <col min="10158" max="10160" width="8.42578125" style="5" customWidth="1"/>
    <col min="10161" max="10404" width="9" style="5"/>
    <col min="10405" max="10405" width="10.85546875" style="5" customWidth="1"/>
    <col min="10406" max="10408" width="8.42578125" style="5" customWidth="1"/>
    <col min="10409" max="10409" width="0.7109375" style="5" customWidth="1"/>
    <col min="10410" max="10412" width="8.42578125" style="5" customWidth="1"/>
    <col min="10413" max="10413" width="0.7109375" style="5" customWidth="1"/>
    <col min="10414" max="10416" width="8.42578125" style="5" customWidth="1"/>
    <col min="10417" max="10660" width="9" style="5"/>
    <col min="10661" max="10661" width="10.85546875" style="5" customWidth="1"/>
    <col min="10662" max="10664" width="8.42578125" style="5" customWidth="1"/>
    <col min="10665" max="10665" width="0.7109375" style="5" customWidth="1"/>
    <col min="10666" max="10668" width="8.42578125" style="5" customWidth="1"/>
    <col min="10669" max="10669" width="0.7109375" style="5" customWidth="1"/>
    <col min="10670" max="10672" width="8.42578125" style="5" customWidth="1"/>
    <col min="10673" max="10916" width="9" style="5"/>
    <col min="10917" max="10917" width="10.85546875" style="5" customWidth="1"/>
    <col min="10918" max="10920" width="8.42578125" style="5" customWidth="1"/>
    <col min="10921" max="10921" width="0.7109375" style="5" customWidth="1"/>
    <col min="10922" max="10924" width="8.42578125" style="5" customWidth="1"/>
    <col min="10925" max="10925" width="0.7109375" style="5" customWidth="1"/>
    <col min="10926" max="10928" width="8.42578125" style="5" customWidth="1"/>
    <col min="10929" max="11172" width="9" style="5"/>
    <col min="11173" max="11173" width="10.85546875" style="5" customWidth="1"/>
    <col min="11174" max="11176" width="8.42578125" style="5" customWidth="1"/>
    <col min="11177" max="11177" width="0.7109375" style="5" customWidth="1"/>
    <col min="11178" max="11180" width="8.42578125" style="5" customWidth="1"/>
    <col min="11181" max="11181" width="0.7109375" style="5" customWidth="1"/>
    <col min="11182" max="11184" width="8.42578125" style="5" customWidth="1"/>
    <col min="11185" max="11428" width="9" style="5"/>
    <col min="11429" max="11429" width="10.85546875" style="5" customWidth="1"/>
    <col min="11430" max="11432" width="8.42578125" style="5" customWidth="1"/>
    <col min="11433" max="11433" width="0.7109375" style="5" customWidth="1"/>
    <col min="11434" max="11436" width="8.42578125" style="5" customWidth="1"/>
    <col min="11437" max="11437" width="0.7109375" style="5" customWidth="1"/>
    <col min="11438" max="11440" width="8.42578125" style="5" customWidth="1"/>
    <col min="11441" max="11684" width="9" style="5"/>
    <col min="11685" max="11685" width="10.85546875" style="5" customWidth="1"/>
    <col min="11686" max="11688" width="8.42578125" style="5" customWidth="1"/>
    <col min="11689" max="11689" width="0.7109375" style="5" customWidth="1"/>
    <col min="11690" max="11692" width="8.42578125" style="5" customWidth="1"/>
    <col min="11693" max="11693" width="0.7109375" style="5" customWidth="1"/>
    <col min="11694" max="11696" width="8.42578125" style="5" customWidth="1"/>
    <col min="11697" max="11940" width="9" style="5"/>
    <col min="11941" max="11941" width="10.85546875" style="5" customWidth="1"/>
    <col min="11942" max="11944" width="8.42578125" style="5" customWidth="1"/>
    <col min="11945" max="11945" width="0.7109375" style="5" customWidth="1"/>
    <col min="11946" max="11948" width="8.42578125" style="5" customWidth="1"/>
    <col min="11949" max="11949" width="0.7109375" style="5" customWidth="1"/>
    <col min="11950" max="11952" width="8.42578125" style="5" customWidth="1"/>
    <col min="11953" max="12196" width="9" style="5"/>
    <col min="12197" max="12197" width="10.85546875" style="5" customWidth="1"/>
    <col min="12198" max="12200" width="8.42578125" style="5" customWidth="1"/>
    <col min="12201" max="12201" width="0.7109375" style="5" customWidth="1"/>
    <col min="12202" max="12204" width="8.42578125" style="5" customWidth="1"/>
    <col min="12205" max="12205" width="0.7109375" style="5" customWidth="1"/>
    <col min="12206" max="12208" width="8.42578125" style="5" customWidth="1"/>
    <col min="12209" max="12452" width="9" style="5"/>
    <col min="12453" max="12453" width="10.85546875" style="5" customWidth="1"/>
    <col min="12454" max="12456" width="8.42578125" style="5" customWidth="1"/>
    <col min="12457" max="12457" width="0.7109375" style="5" customWidth="1"/>
    <col min="12458" max="12460" width="8.42578125" style="5" customWidth="1"/>
    <col min="12461" max="12461" width="0.7109375" style="5" customWidth="1"/>
    <col min="12462" max="12464" width="8.42578125" style="5" customWidth="1"/>
    <col min="12465" max="12708" width="9" style="5"/>
    <col min="12709" max="12709" width="10.85546875" style="5" customWidth="1"/>
    <col min="12710" max="12712" width="8.42578125" style="5" customWidth="1"/>
    <col min="12713" max="12713" width="0.7109375" style="5" customWidth="1"/>
    <col min="12714" max="12716" width="8.42578125" style="5" customWidth="1"/>
    <col min="12717" max="12717" width="0.7109375" style="5" customWidth="1"/>
    <col min="12718" max="12720" width="8.42578125" style="5" customWidth="1"/>
    <col min="12721" max="12964" width="9" style="5"/>
    <col min="12965" max="12965" width="10.85546875" style="5" customWidth="1"/>
    <col min="12966" max="12968" width="8.42578125" style="5" customWidth="1"/>
    <col min="12969" max="12969" width="0.7109375" style="5" customWidth="1"/>
    <col min="12970" max="12972" width="8.42578125" style="5" customWidth="1"/>
    <col min="12973" max="12973" width="0.7109375" style="5" customWidth="1"/>
    <col min="12974" max="12976" width="8.42578125" style="5" customWidth="1"/>
    <col min="12977" max="13220" width="9" style="5"/>
    <col min="13221" max="13221" width="10.85546875" style="5" customWidth="1"/>
    <col min="13222" max="13224" width="8.42578125" style="5" customWidth="1"/>
    <col min="13225" max="13225" width="0.7109375" style="5" customWidth="1"/>
    <col min="13226" max="13228" width="8.42578125" style="5" customWidth="1"/>
    <col min="13229" max="13229" width="0.7109375" style="5" customWidth="1"/>
    <col min="13230" max="13232" width="8.42578125" style="5" customWidth="1"/>
    <col min="13233" max="13476" width="9" style="5"/>
    <col min="13477" max="13477" width="10.85546875" style="5" customWidth="1"/>
    <col min="13478" max="13480" width="8.42578125" style="5" customWidth="1"/>
    <col min="13481" max="13481" width="0.7109375" style="5" customWidth="1"/>
    <col min="13482" max="13484" width="8.42578125" style="5" customWidth="1"/>
    <col min="13485" max="13485" width="0.7109375" style="5" customWidth="1"/>
    <col min="13486" max="13488" width="8.42578125" style="5" customWidth="1"/>
    <col min="13489" max="13732" width="9" style="5"/>
    <col min="13733" max="13733" width="10.85546875" style="5" customWidth="1"/>
    <col min="13734" max="13736" width="8.42578125" style="5" customWidth="1"/>
    <col min="13737" max="13737" width="0.7109375" style="5" customWidth="1"/>
    <col min="13738" max="13740" width="8.42578125" style="5" customWidth="1"/>
    <col min="13741" max="13741" width="0.7109375" style="5" customWidth="1"/>
    <col min="13742" max="13744" width="8.42578125" style="5" customWidth="1"/>
    <col min="13745" max="13988" width="9" style="5"/>
    <col min="13989" max="13989" width="10.85546875" style="5" customWidth="1"/>
    <col min="13990" max="13992" width="8.42578125" style="5" customWidth="1"/>
    <col min="13993" max="13993" width="0.7109375" style="5" customWidth="1"/>
    <col min="13994" max="13996" width="8.42578125" style="5" customWidth="1"/>
    <col min="13997" max="13997" width="0.7109375" style="5" customWidth="1"/>
    <col min="13998" max="14000" width="8.42578125" style="5" customWidth="1"/>
    <col min="14001" max="14244" width="9" style="5"/>
    <col min="14245" max="14245" width="10.85546875" style="5" customWidth="1"/>
    <col min="14246" max="14248" width="8.42578125" style="5" customWidth="1"/>
    <col min="14249" max="14249" width="0.7109375" style="5" customWidth="1"/>
    <col min="14250" max="14252" width="8.42578125" style="5" customWidth="1"/>
    <col min="14253" max="14253" width="0.7109375" style="5" customWidth="1"/>
    <col min="14254" max="14256" width="8.42578125" style="5" customWidth="1"/>
    <col min="14257" max="14500" width="9" style="5"/>
    <col min="14501" max="14501" width="10.85546875" style="5" customWidth="1"/>
    <col min="14502" max="14504" width="8.42578125" style="5" customWidth="1"/>
    <col min="14505" max="14505" width="0.7109375" style="5" customWidth="1"/>
    <col min="14506" max="14508" width="8.42578125" style="5" customWidth="1"/>
    <col min="14509" max="14509" width="0.7109375" style="5" customWidth="1"/>
    <col min="14510" max="14512" width="8.42578125" style="5" customWidth="1"/>
    <col min="14513" max="14756" width="9" style="5"/>
    <col min="14757" max="14757" width="10.85546875" style="5" customWidth="1"/>
    <col min="14758" max="14760" width="8.42578125" style="5" customWidth="1"/>
    <col min="14761" max="14761" width="0.7109375" style="5" customWidth="1"/>
    <col min="14762" max="14764" width="8.42578125" style="5" customWidth="1"/>
    <col min="14765" max="14765" width="0.7109375" style="5" customWidth="1"/>
    <col min="14766" max="14768" width="8.42578125" style="5" customWidth="1"/>
    <col min="14769" max="15012" width="9" style="5"/>
    <col min="15013" max="15013" width="10.85546875" style="5" customWidth="1"/>
    <col min="15014" max="15016" width="8.42578125" style="5" customWidth="1"/>
    <col min="15017" max="15017" width="0.7109375" style="5" customWidth="1"/>
    <col min="15018" max="15020" width="8.42578125" style="5" customWidth="1"/>
    <col min="15021" max="15021" width="0.7109375" style="5" customWidth="1"/>
    <col min="15022" max="15024" width="8.42578125" style="5" customWidth="1"/>
    <col min="15025" max="15268" width="9" style="5"/>
    <col min="15269" max="15269" width="10.85546875" style="5" customWidth="1"/>
    <col min="15270" max="15272" width="8.42578125" style="5" customWidth="1"/>
    <col min="15273" max="15273" width="0.7109375" style="5" customWidth="1"/>
    <col min="15274" max="15276" width="8.42578125" style="5" customWidth="1"/>
    <col min="15277" max="15277" width="0.7109375" style="5" customWidth="1"/>
    <col min="15278" max="15280" width="8.42578125" style="5" customWidth="1"/>
    <col min="15281" max="15524" width="9" style="5"/>
    <col min="15525" max="15525" width="10.85546875" style="5" customWidth="1"/>
    <col min="15526" max="15528" width="8.42578125" style="5" customWidth="1"/>
    <col min="15529" max="15529" width="0.7109375" style="5" customWidth="1"/>
    <col min="15530" max="15532" width="8.42578125" style="5" customWidth="1"/>
    <col min="15533" max="15533" width="0.7109375" style="5" customWidth="1"/>
    <col min="15534" max="15536" width="8.42578125" style="5" customWidth="1"/>
    <col min="15537" max="15780" width="9" style="5"/>
    <col min="15781" max="15781" width="10.85546875" style="5" customWidth="1"/>
    <col min="15782" max="15784" width="8.42578125" style="5" customWidth="1"/>
    <col min="15785" max="15785" width="0.7109375" style="5" customWidth="1"/>
    <col min="15786" max="15788" width="8.42578125" style="5" customWidth="1"/>
    <col min="15789" max="15789" width="0.7109375" style="5" customWidth="1"/>
    <col min="15790" max="15792" width="8.42578125" style="5" customWidth="1"/>
    <col min="15793" max="16384" width="9" style="5"/>
  </cols>
  <sheetData>
    <row r="1" spans="1:28" ht="30" customHeight="1" thickBot="1" x14ac:dyDescent="0.25">
      <c r="A1" s="61" t="s">
        <v>105</v>
      </c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61"/>
      <c r="U1" s="61"/>
      <c r="V1" s="61"/>
      <c r="W1" s="61"/>
      <c r="X1" s="61"/>
      <c r="Y1" s="61"/>
      <c r="Z1" s="115"/>
      <c r="AA1" s="115"/>
      <c r="AB1" s="115"/>
    </row>
    <row r="2" spans="1:28" ht="11.1" customHeight="1" x14ac:dyDescent="0.2">
      <c r="A2" s="235" t="s">
        <v>24</v>
      </c>
      <c r="B2" s="236"/>
      <c r="C2" s="236"/>
      <c r="D2" s="236"/>
      <c r="E2" s="236"/>
      <c r="F2" s="236"/>
      <c r="G2" s="236"/>
      <c r="H2" s="236"/>
      <c r="I2" s="236"/>
      <c r="J2" s="237"/>
      <c r="K2" s="238" t="s">
        <v>25</v>
      </c>
      <c r="L2" s="239"/>
      <c r="M2" s="239"/>
      <c r="N2" s="239"/>
      <c r="O2" s="239"/>
      <c r="P2" s="239"/>
      <c r="Q2" s="239"/>
      <c r="R2" s="239"/>
      <c r="S2" s="240"/>
      <c r="T2" s="235" t="s">
        <v>26</v>
      </c>
      <c r="U2" s="236"/>
      <c r="V2" s="236"/>
      <c r="W2" s="236"/>
      <c r="X2" s="236"/>
      <c r="Y2" s="236"/>
      <c r="Z2" s="236"/>
      <c r="AA2" s="236"/>
      <c r="AB2" s="237"/>
    </row>
    <row r="3" spans="1:28" ht="17.25" customHeight="1" thickBot="1" x14ac:dyDescent="0.25">
      <c r="A3" s="243" t="s">
        <v>36</v>
      </c>
      <c r="B3" s="11"/>
      <c r="C3" s="11" t="s">
        <v>0</v>
      </c>
      <c r="D3" s="12"/>
      <c r="E3" s="86"/>
      <c r="F3" s="13" t="s">
        <v>1</v>
      </c>
      <c r="G3" s="14"/>
      <c r="H3" s="11"/>
      <c r="I3" s="11" t="s">
        <v>2</v>
      </c>
      <c r="J3" s="15"/>
      <c r="K3" s="88"/>
      <c r="L3" s="11" t="s">
        <v>0</v>
      </c>
      <c r="M3" s="12"/>
      <c r="N3" s="13"/>
      <c r="O3" s="13" t="s">
        <v>1</v>
      </c>
      <c r="P3" s="14"/>
      <c r="Q3" s="11"/>
      <c r="R3" s="11" t="s">
        <v>2</v>
      </c>
      <c r="S3" s="15"/>
      <c r="T3" s="88"/>
      <c r="U3" s="11" t="s">
        <v>0</v>
      </c>
      <c r="V3" s="12"/>
      <c r="W3" s="13"/>
      <c r="X3" s="13" t="s">
        <v>1</v>
      </c>
      <c r="Y3" s="13"/>
      <c r="Z3" s="86"/>
      <c r="AA3" s="13" t="s">
        <v>2</v>
      </c>
      <c r="AB3" s="232"/>
    </row>
    <row r="4" spans="1:28" ht="12.75" customHeight="1" thickBot="1" x14ac:dyDescent="0.25">
      <c r="A4" s="244"/>
      <c r="B4" s="9" t="s">
        <v>0</v>
      </c>
      <c r="C4" s="10" t="s">
        <v>3</v>
      </c>
      <c r="D4" s="16" t="s">
        <v>4</v>
      </c>
      <c r="E4" s="87" t="s">
        <v>0</v>
      </c>
      <c r="F4" s="10" t="s">
        <v>3</v>
      </c>
      <c r="G4" s="16" t="s">
        <v>4</v>
      </c>
      <c r="H4" s="17" t="s">
        <v>0</v>
      </c>
      <c r="I4" s="10" t="s">
        <v>3</v>
      </c>
      <c r="J4" s="18" t="s">
        <v>4</v>
      </c>
      <c r="K4" s="124" t="s">
        <v>0</v>
      </c>
      <c r="L4" s="10" t="s">
        <v>3</v>
      </c>
      <c r="M4" s="16" t="s">
        <v>4</v>
      </c>
      <c r="N4" s="106" t="s">
        <v>0</v>
      </c>
      <c r="O4" s="20" t="s">
        <v>3</v>
      </c>
      <c r="P4" s="21" t="s">
        <v>4</v>
      </c>
      <c r="Q4" s="17" t="s">
        <v>0</v>
      </c>
      <c r="R4" s="10" t="s">
        <v>3</v>
      </c>
      <c r="S4" s="18" t="s">
        <v>4</v>
      </c>
      <c r="T4" s="141" t="s">
        <v>0</v>
      </c>
      <c r="U4" s="135" t="s">
        <v>3</v>
      </c>
      <c r="V4" s="142" t="s">
        <v>4</v>
      </c>
      <c r="W4" s="145" t="s">
        <v>0</v>
      </c>
      <c r="X4" s="137" t="s">
        <v>3</v>
      </c>
      <c r="Y4" s="137" t="s">
        <v>4</v>
      </c>
      <c r="Z4" s="136" t="s">
        <v>0</v>
      </c>
      <c r="AA4" s="137" t="s">
        <v>3</v>
      </c>
      <c r="AB4" s="233" t="s">
        <v>4</v>
      </c>
    </row>
    <row r="5" spans="1:28" ht="16.5" customHeight="1" thickBot="1" x14ac:dyDescent="0.25">
      <c r="A5" s="22" t="s">
        <v>70</v>
      </c>
      <c r="B5" s="23">
        <v>916122.71156311897</v>
      </c>
      <c r="C5" s="23">
        <v>460078.0649080138</v>
      </c>
      <c r="D5" s="24">
        <v>456044.64665266423</v>
      </c>
      <c r="E5" s="26">
        <v>691853.23943480081</v>
      </c>
      <c r="F5" s="23">
        <v>345626.39689826651</v>
      </c>
      <c r="G5" s="24">
        <v>346226.84253662324</v>
      </c>
      <c r="H5" s="23">
        <v>224269.4721253168</v>
      </c>
      <c r="I5" s="23">
        <v>114451.66800953027</v>
      </c>
      <c r="J5" s="25">
        <v>109817.80411580396</v>
      </c>
      <c r="K5" s="30">
        <v>947025.1558221603</v>
      </c>
      <c r="L5" s="23">
        <v>475597.31421583652</v>
      </c>
      <c r="M5" s="24">
        <v>471427.8416074483</v>
      </c>
      <c r="N5" s="23">
        <v>715190.67654815991</v>
      </c>
      <c r="O5" s="23">
        <v>357284.98840703408</v>
      </c>
      <c r="P5" s="24">
        <v>357905.68814198382</v>
      </c>
      <c r="Q5" s="23">
        <v>231834.4792741868</v>
      </c>
      <c r="R5" s="23">
        <v>118312.32580874808</v>
      </c>
      <c r="S5" s="23">
        <v>113522.1534654119</v>
      </c>
      <c r="T5" s="133">
        <v>978875.77008304046</v>
      </c>
      <c r="U5" s="28">
        <v>491592.73577896314</v>
      </c>
      <c r="V5" s="29">
        <v>487283.03430452675</v>
      </c>
      <c r="W5" s="28">
        <v>739244.1689202534</v>
      </c>
      <c r="X5" s="28">
        <v>369301.29681945313</v>
      </c>
      <c r="Y5" s="28">
        <v>369942.87210106215</v>
      </c>
      <c r="Z5" s="27">
        <v>239631.60116291262</v>
      </c>
      <c r="AA5" s="28">
        <v>122291.43895950307</v>
      </c>
      <c r="AB5" s="132">
        <v>117340.16220345479</v>
      </c>
    </row>
    <row r="6" spans="1:28" ht="12" customHeight="1" x14ac:dyDescent="0.2">
      <c r="A6" s="31" t="s">
        <v>5</v>
      </c>
      <c r="B6" s="32">
        <v>132180.10412936663</v>
      </c>
      <c r="C6" s="32">
        <v>66073.776065107842</v>
      </c>
      <c r="D6" s="33">
        <v>66106.328063990513</v>
      </c>
      <c r="E6" s="35">
        <v>97173.141997575454</v>
      </c>
      <c r="F6" s="32">
        <v>48461.788336408463</v>
      </c>
      <c r="G6" s="33">
        <v>48711.353661174799</v>
      </c>
      <c r="H6" s="32">
        <v>35006.962131621185</v>
      </c>
      <c r="I6" s="32">
        <v>17611.987728752421</v>
      </c>
      <c r="J6" s="34">
        <v>17394.974402868676</v>
      </c>
      <c r="K6" s="125">
        <v>136638.77352898012</v>
      </c>
      <c r="L6" s="32">
        <v>68302.561746727719</v>
      </c>
      <c r="M6" s="33">
        <v>68336.211782279948</v>
      </c>
      <c r="N6" s="32">
        <v>100450.96446231086</v>
      </c>
      <c r="O6" s="143">
        <v>50096.490428216115</v>
      </c>
      <c r="P6" s="144">
        <v>50354.474034115694</v>
      </c>
      <c r="Q6" s="32">
        <v>36187.809066669914</v>
      </c>
      <c r="R6" s="32">
        <v>18206.071318509388</v>
      </c>
      <c r="S6" s="34">
        <v>17981.737748161991</v>
      </c>
      <c r="T6" s="125">
        <v>141234.24688251683</v>
      </c>
      <c r="U6" s="32">
        <v>70599.732559795113</v>
      </c>
      <c r="V6" s="33">
        <v>70634.514322731164</v>
      </c>
      <c r="W6" s="32">
        <v>103829.35932492166</v>
      </c>
      <c r="X6" s="32">
        <v>51781.349571210456</v>
      </c>
      <c r="Y6" s="32">
        <v>52048.009753721017</v>
      </c>
      <c r="Z6" s="35">
        <v>37404.887557600945</v>
      </c>
      <c r="AA6" s="32">
        <v>18818.382988586971</v>
      </c>
      <c r="AB6" s="34">
        <v>18586.504569012501</v>
      </c>
    </row>
    <row r="7" spans="1:28" ht="12" customHeight="1" x14ac:dyDescent="0.2">
      <c r="A7" s="31" t="s">
        <v>6</v>
      </c>
      <c r="B7" s="32">
        <v>117256.59715688764</v>
      </c>
      <c r="C7" s="32">
        <v>58896.886695225599</v>
      </c>
      <c r="D7" s="33">
        <v>58359.710461731062</v>
      </c>
      <c r="E7" s="35">
        <v>86794.932778169459</v>
      </c>
      <c r="F7" s="32">
        <v>43417.626756196056</v>
      </c>
      <c r="G7" s="33">
        <v>43377.306021962679</v>
      </c>
      <c r="H7" s="32">
        <v>30461.664378839701</v>
      </c>
      <c r="I7" s="32">
        <v>15479.259939051097</v>
      </c>
      <c r="J7" s="34">
        <v>14982.404439789078</v>
      </c>
      <c r="K7" s="125">
        <v>121211.87019232116</v>
      </c>
      <c r="L7" s="32">
        <v>60883.583166547454</v>
      </c>
      <c r="M7" s="33">
        <v>60328.287025745623</v>
      </c>
      <c r="N7" s="32">
        <v>89722.679834983501</v>
      </c>
      <c r="O7" s="32">
        <v>44882.180329546893</v>
      </c>
      <c r="P7" s="33">
        <v>44840.499505418884</v>
      </c>
      <c r="Q7" s="32">
        <v>31489.190357332074</v>
      </c>
      <c r="R7" s="32">
        <v>16001.402837002834</v>
      </c>
      <c r="S7" s="34">
        <v>15487.787520329017</v>
      </c>
      <c r="T7" s="125">
        <v>125288.50162872071</v>
      </c>
      <c r="U7" s="32">
        <v>62931.236822141938</v>
      </c>
      <c r="V7" s="33">
        <v>62357.264806605068</v>
      </c>
      <c r="W7" s="32">
        <v>92740.258035807172</v>
      </c>
      <c r="X7" s="32">
        <v>46391.670340531389</v>
      </c>
      <c r="Y7" s="32">
        <v>46348.587695297429</v>
      </c>
      <c r="Z7" s="35">
        <v>32548.24359291475</v>
      </c>
      <c r="AA7" s="32">
        <v>16539.566481607981</v>
      </c>
      <c r="AB7" s="34">
        <v>16008.677111305127</v>
      </c>
    </row>
    <row r="8" spans="1:28" ht="12" customHeight="1" x14ac:dyDescent="0.2">
      <c r="A8" s="31" t="s">
        <v>7</v>
      </c>
      <c r="B8" s="32">
        <v>112581.99332352355</v>
      </c>
      <c r="C8" s="32">
        <v>56170.684793519664</v>
      </c>
      <c r="D8" s="33">
        <v>56411.308530072907</v>
      </c>
      <c r="E8" s="35">
        <v>85647.742855788805</v>
      </c>
      <c r="F8" s="32">
        <v>42197.599378426406</v>
      </c>
      <c r="G8" s="33">
        <v>43450.143477352482</v>
      </c>
      <c r="H8" s="32">
        <v>26934.250467848615</v>
      </c>
      <c r="I8" s="32">
        <v>13973.085415110185</v>
      </c>
      <c r="J8" s="34">
        <v>12961.165052738856</v>
      </c>
      <c r="K8" s="125">
        <v>116379.58367890141</v>
      </c>
      <c r="L8" s="32">
        <v>58065.421638410735</v>
      </c>
      <c r="M8" s="33">
        <v>58314.162040465475</v>
      </c>
      <c r="N8" s="32">
        <v>88536.793161406415</v>
      </c>
      <c r="O8" s="32">
        <v>43620.999263997102</v>
      </c>
      <c r="P8" s="33">
        <v>44915.793897392396</v>
      </c>
      <c r="Q8" s="32">
        <v>27842.790517490692</v>
      </c>
      <c r="R8" s="32">
        <v>14444.422374415703</v>
      </c>
      <c r="S8" s="34">
        <v>13398.368143074773</v>
      </c>
      <c r="T8" s="125">
        <v>120293.69430707525</v>
      </c>
      <c r="U8" s="32">
        <v>60018.294099223109</v>
      </c>
      <c r="V8" s="33">
        <v>60275.400207877887</v>
      </c>
      <c r="W8" s="32">
        <v>91514.487290762132</v>
      </c>
      <c r="X8" s="32">
        <v>45088.072881515152</v>
      </c>
      <c r="Y8" s="32">
        <v>46426.414409268597</v>
      </c>
      <c r="Z8" s="35">
        <v>28779.207016313943</v>
      </c>
      <c r="AA8" s="32">
        <v>14930.221217705615</v>
      </c>
      <c r="AB8" s="34">
        <v>13848.98579860714</v>
      </c>
    </row>
    <row r="9" spans="1:28" ht="12" customHeight="1" x14ac:dyDescent="0.2">
      <c r="A9" s="31" t="s">
        <v>8</v>
      </c>
      <c r="B9" s="32">
        <v>107344.83302223243</v>
      </c>
      <c r="C9" s="32">
        <v>53752.085860604318</v>
      </c>
      <c r="D9" s="33">
        <v>53592.747161845487</v>
      </c>
      <c r="E9" s="35">
        <v>83580.015546351016</v>
      </c>
      <c r="F9" s="32">
        <v>41414.32558256272</v>
      </c>
      <c r="G9" s="33">
        <v>42165.689963778779</v>
      </c>
      <c r="H9" s="32">
        <v>23764.817476082186</v>
      </c>
      <c r="I9" s="32">
        <v>12337.760278028663</v>
      </c>
      <c r="J9" s="34">
        <v>11427.057198053926</v>
      </c>
      <c r="K9" s="125">
        <v>110965.76467000057</v>
      </c>
      <c r="L9" s="32">
        <v>55565.23907286828</v>
      </c>
      <c r="M9" s="33">
        <v>55400.52559713347</v>
      </c>
      <c r="N9" s="32">
        <v>86399.317741665</v>
      </c>
      <c r="O9" s="32">
        <v>42811.304253474584</v>
      </c>
      <c r="P9" s="33">
        <v>43588.013488189201</v>
      </c>
      <c r="Q9" s="32">
        <v>24566.446928336998</v>
      </c>
      <c r="R9" s="32">
        <v>12753.934819393371</v>
      </c>
      <c r="S9" s="34">
        <v>11812.512108943822</v>
      </c>
      <c r="T9" s="125">
        <v>114697.79622682769</v>
      </c>
      <c r="U9" s="32">
        <v>57434.024696076929</v>
      </c>
      <c r="V9" s="33">
        <v>57263.77153077141</v>
      </c>
      <c r="W9" s="32">
        <v>89305.123701357981</v>
      </c>
      <c r="X9" s="32">
        <v>44251.145982488313</v>
      </c>
      <c r="Y9" s="32">
        <v>45053.977718887203</v>
      </c>
      <c r="Z9" s="35">
        <v>25392.672525469829</v>
      </c>
      <c r="AA9" s="32">
        <v>13182.878713586731</v>
      </c>
      <c r="AB9" s="34">
        <v>12209.793811882437</v>
      </c>
    </row>
    <row r="10" spans="1:28" ht="12" customHeight="1" x14ac:dyDescent="0.2">
      <c r="A10" s="31" t="s">
        <v>9</v>
      </c>
      <c r="B10" s="32">
        <v>88890.773512847445</v>
      </c>
      <c r="C10" s="32">
        <v>43104.975032344839</v>
      </c>
      <c r="D10" s="33">
        <v>45785.798480392652</v>
      </c>
      <c r="E10" s="35">
        <v>69255.593153205642</v>
      </c>
      <c r="F10" s="32">
        <v>33135.570265056864</v>
      </c>
      <c r="G10" s="33">
        <v>36120.022888159961</v>
      </c>
      <c r="H10" s="32">
        <v>19635.180359551705</v>
      </c>
      <c r="I10" s="32">
        <v>9969.4047673032783</v>
      </c>
      <c r="J10" s="34">
        <v>9665.7755922480301</v>
      </c>
      <c r="K10" s="125">
        <v>91889.21699558523</v>
      </c>
      <c r="L10" s="32">
        <v>44558.982308426937</v>
      </c>
      <c r="M10" s="33">
        <v>47330.234687159318</v>
      </c>
      <c r="N10" s="32">
        <v>71591.7071696973</v>
      </c>
      <c r="O10" s="32">
        <v>34253.291832598843</v>
      </c>
      <c r="P10" s="33">
        <v>37338.415337099272</v>
      </c>
      <c r="Q10" s="32">
        <v>20297.509825888679</v>
      </c>
      <c r="R10" s="32">
        <v>10305.690475828518</v>
      </c>
      <c r="S10" s="34">
        <v>9991.819350060412</v>
      </c>
      <c r="T10" s="125">
        <v>94979.660778695281</v>
      </c>
      <c r="U10" s="32">
        <v>46057.602433388514</v>
      </c>
      <c r="V10" s="33">
        <v>48922.058345303099</v>
      </c>
      <c r="W10" s="32">
        <v>73999.499439333958</v>
      </c>
      <c r="X10" s="32">
        <v>35405.308100187969</v>
      </c>
      <c r="Y10" s="32">
        <v>38594.191339142475</v>
      </c>
      <c r="Z10" s="35">
        <v>20980.161339358619</v>
      </c>
      <c r="AA10" s="32">
        <v>10652.294333199108</v>
      </c>
      <c r="AB10" s="34">
        <v>10327.867006159171</v>
      </c>
    </row>
    <row r="11" spans="1:28" ht="12" customHeight="1" x14ac:dyDescent="0.2">
      <c r="A11" s="36" t="s">
        <v>10</v>
      </c>
      <c r="B11" s="32">
        <v>71102.547208310207</v>
      </c>
      <c r="C11" s="32">
        <v>35539.424660727032</v>
      </c>
      <c r="D11" s="33">
        <v>35563.122547560604</v>
      </c>
      <c r="E11" s="40">
        <v>56525.384569794631</v>
      </c>
      <c r="F11" s="37">
        <v>27867.233798366735</v>
      </c>
      <c r="G11" s="38">
        <v>28658.150771437475</v>
      </c>
      <c r="H11" s="37">
        <v>14577.162638508484</v>
      </c>
      <c r="I11" s="37">
        <v>7672.1908623727104</v>
      </c>
      <c r="J11" s="39">
        <v>6904.9717761354568</v>
      </c>
      <c r="K11" s="125">
        <v>73500.962261564739</v>
      </c>
      <c r="L11" s="32">
        <v>36738.232501484505</v>
      </c>
      <c r="M11" s="33">
        <v>36762.729760080991</v>
      </c>
      <c r="N11" s="37">
        <v>58432.086067373908</v>
      </c>
      <c r="O11" s="37">
        <v>28807.24503085763</v>
      </c>
      <c r="P11" s="38">
        <v>29624.841036516798</v>
      </c>
      <c r="Q11" s="37">
        <v>15068.876194191496</v>
      </c>
      <c r="R11" s="37">
        <v>7930.9874706272312</v>
      </c>
      <c r="S11" s="39">
        <v>7137.8887235645007</v>
      </c>
      <c r="T11" s="125">
        <v>75972.967131132202</v>
      </c>
      <c r="U11" s="32">
        <v>37973.822986948086</v>
      </c>
      <c r="V11" s="33">
        <v>37999.144144180602</v>
      </c>
      <c r="W11" s="37">
        <v>60397.290288558936</v>
      </c>
      <c r="X11" s="37">
        <v>29776.098332962145</v>
      </c>
      <c r="Y11" s="37">
        <v>30621.191955593276</v>
      </c>
      <c r="Z11" s="40">
        <v>15575.67684257106</v>
      </c>
      <c r="AA11" s="37">
        <v>8197.7246539847583</v>
      </c>
      <c r="AB11" s="39">
        <v>7377.9521885862832</v>
      </c>
    </row>
    <row r="12" spans="1:28" ht="12" customHeight="1" x14ac:dyDescent="0.2">
      <c r="A12" s="36" t="s">
        <v>11</v>
      </c>
      <c r="B12" s="37">
        <v>55856.5262866755</v>
      </c>
      <c r="C12" s="37">
        <v>28084.069353323972</v>
      </c>
      <c r="D12" s="38">
        <v>27772.456933315047</v>
      </c>
      <c r="E12" s="35">
        <v>44355.331342375954</v>
      </c>
      <c r="F12" s="32">
        <v>22235.343931624069</v>
      </c>
      <c r="G12" s="33">
        <v>22119.987410755275</v>
      </c>
      <c r="H12" s="32">
        <v>11501.194944284085</v>
      </c>
      <c r="I12" s="32">
        <v>5848.7254217121972</v>
      </c>
      <c r="J12" s="34">
        <v>5652.4695225717523</v>
      </c>
      <c r="K12" s="126">
        <v>57740.666007787848</v>
      </c>
      <c r="L12" s="37">
        <v>29031.394833763512</v>
      </c>
      <c r="M12" s="38">
        <v>28709.271174026911</v>
      </c>
      <c r="N12" s="32">
        <v>45851.515354912874</v>
      </c>
      <c r="O12" s="32">
        <v>22985.38152793745</v>
      </c>
      <c r="P12" s="33">
        <v>22866.133826977297</v>
      </c>
      <c r="Q12" s="32">
        <v>11889.15065287437</v>
      </c>
      <c r="R12" s="32">
        <v>6046.013305825436</v>
      </c>
      <c r="S12" s="34">
        <v>5843.1373470490198</v>
      </c>
      <c r="T12" s="126">
        <v>59682.616196607814</v>
      </c>
      <c r="U12" s="37">
        <v>30007.786804568619</v>
      </c>
      <c r="V12" s="38">
        <v>29674.829392035263</v>
      </c>
      <c r="W12" s="32">
        <v>47393.606311902753</v>
      </c>
      <c r="X12" s="32">
        <v>23758.432292404301</v>
      </c>
      <c r="Y12" s="32">
        <v>23635.174019495291</v>
      </c>
      <c r="Z12" s="35">
        <v>12289.009884705145</v>
      </c>
      <c r="AA12" s="32">
        <v>6249.3545121646766</v>
      </c>
      <c r="AB12" s="34">
        <v>6039.6553725402973</v>
      </c>
    </row>
    <row r="13" spans="1:28" ht="12" customHeight="1" x14ac:dyDescent="0.2">
      <c r="A13" s="36" t="s">
        <v>12</v>
      </c>
      <c r="B13" s="37">
        <v>45931.371082040198</v>
      </c>
      <c r="C13" s="37">
        <v>23129.731502508992</v>
      </c>
      <c r="D13" s="38">
        <v>22801.639579518825</v>
      </c>
      <c r="E13" s="40">
        <v>35281.117746244097</v>
      </c>
      <c r="F13" s="37">
        <v>17827.825952454106</v>
      </c>
      <c r="G13" s="38">
        <v>17453.291793789103</v>
      </c>
      <c r="H13" s="37">
        <v>10650.253335797224</v>
      </c>
      <c r="I13" s="37">
        <v>5301.9055500613385</v>
      </c>
      <c r="J13" s="39">
        <v>5348.3477857357948</v>
      </c>
      <c r="K13" s="126">
        <v>47480.717710891164</v>
      </c>
      <c r="L13" s="37">
        <v>23909.938378238709</v>
      </c>
      <c r="M13" s="38">
        <v>23570.779332650618</v>
      </c>
      <c r="N13" s="37">
        <v>36471.212436527705</v>
      </c>
      <c r="O13" s="37">
        <v>18429.190148393067</v>
      </c>
      <c r="P13" s="38">
        <v>18042.022288132688</v>
      </c>
      <c r="Q13" s="37">
        <v>11009.505274362891</v>
      </c>
      <c r="R13" s="37">
        <v>5480.7482298453551</v>
      </c>
      <c r="S13" s="39">
        <v>5528.7570445176352</v>
      </c>
      <c r="T13" s="126">
        <v>49077.60245605879</v>
      </c>
      <c r="U13" s="37">
        <v>24714.084096646973</v>
      </c>
      <c r="V13" s="38">
        <v>24363.518359412337</v>
      </c>
      <c r="W13" s="37">
        <v>37697.822428656487</v>
      </c>
      <c r="X13" s="37">
        <v>19049.005813206757</v>
      </c>
      <c r="Y13" s="37">
        <v>18648.816615450323</v>
      </c>
      <c r="Z13" s="40">
        <v>11379.780027402447</v>
      </c>
      <c r="AA13" s="37">
        <v>5665.0782834402644</v>
      </c>
      <c r="AB13" s="39">
        <v>5714.7017439620622</v>
      </c>
    </row>
    <row r="14" spans="1:28" ht="12" customHeight="1" x14ac:dyDescent="0.2">
      <c r="A14" s="36" t="s">
        <v>13</v>
      </c>
      <c r="B14" s="37">
        <v>38382.26057997872</v>
      </c>
      <c r="C14" s="37">
        <v>19489.259480289336</v>
      </c>
      <c r="D14" s="38">
        <v>18893.001099695335</v>
      </c>
      <c r="E14" s="40">
        <v>28722.275559702299</v>
      </c>
      <c r="F14" s="37">
        <v>14594.84709485766</v>
      </c>
      <c r="G14" s="38">
        <v>14127.42846484371</v>
      </c>
      <c r="H14" s="37">
        <v>9659.985020286982</v>
      </c>
      <c r="I14" s="37">
        <v>4894.4123854338495</v>
      </c>
      <c r="J14" s="39">
        <v>4765.5726348530989</v>
      </c>
      <c r="K14" s="126">
        <v>39676.962319483799</v>
      </c>
      <c r="L14" s="37">
        <v>20146.666776507682</v>
      </c>
      <c r="M14" s="38">
        <v>19530.295542973094</v>
      </c>
      <c r="N14" s="37">
        <v>29691.128867647945</v>
      </c>
      <c r="O14" s="37">
        <v>15087.157178625277</v>
      </c>
      <c r="P14" s="38">
        <v>14603.971689020302</v>
      </c>
      <c r="Q14" s="37">
        <v>9985.8334518345637</v>
      </c>
      <c r="R14" s="37">
        <v>5059.5095978821155</v>
      </c>
      <c r="S14" s="39">
        <v>4926.3238539525601</v>
      </c>
      <c r="T14" s="126">
        <v>41011.388986078658</v>
      </c>
      <c r="U14" s="37">
        <v>20824.245094454585</v>
      </c>
      <c r="V14" s="38">
        <v>20187.143891626401</v>
      </c>
      <c r="W14" s="37">
        <v>30689.709197545122</v>
      </c>
      <c r="X14" s="37">
        <v>15594.572658173372</v>
      </c>
      <c r="Y14" s="37">
        <v>15095.136539373387</v>
      </c>
      <c r="Z14" s="40">
        <v>10321.679788534348</v>
      </c>
      <c r="AA14" s="37">
        <v>5229.6724362812492</v>
      </c>
      <c r="AB14" s="39">
        <v>5092.007352253032</v>
      </c>
    </row>
    <row r="15" spans="1:28" ht="12" customHeight="1" x14ac:dyDescent="0.2">
      <c r="A15" s="36" t="s">
        <v>14</v>
      </c>
      <c r="B15" s="37">
        <v>33283.366375504062</v>
      </c>
      <c r="C15" s="37">
        <v>17517.561250265437</v>
      </c>
      <c r="D15" s="38">
        <v>15765.805125238923</v>
      </c>
      <c r="E15" s="40">
        <v>24334.303783226114</v>
      </c>
      <c r="F15" s="37">
        <v>13035.041016574793</v>
      </c>
      <c r="G15" s="38">
        <v>11299.262766652109</v>
      </c>
      <c r="H15" s="37">
        <v>8950.51512638042</v>
      </c>
      <c r="I15" s="37">
        <v>4483.9727677923129</v>
      </c>
      <c r="J15" s="39">
        <v>4466.5423585880726</v>
      </c>
      <c r="K15" s="126">
        <v>34406.073368048674</v>
      </c>
      <c r="L15" s="37">
        <v>18108.459667392719</v>
      </c>
      <c r="M15" s="38">
        <v>16297.613700653144</v>
      </c>
      <c r="N15" s="37">
        <v>25155.14301889305</v>
      </c>
      <c r="O15" s="37">
        <v>13474.736074227352</v>
      </c>
      <c r="P15" s="38">
        <v>11680.40694466384</v>
      </c>
      <c r="Q15" s="37">
        <v>9252.4318798068252</v>
      </c>
      <c r="R15" s="37">
        <v>4635.2251238176041</v>
      </c>
      <c r="S15" s="39">
        <v>4617.2067559893494</v>
      </c>
      <c r="T15" s="126">
        <v>35563.22802685541</v>
      </c>
      <c r="U15" s="37">
        <v>18717.488435186944</v>
      </c>
      <c r="V15" s="38">
        <v>16845.739591668236</v>
      </c>
      <c r="W15" s="37">
        <v>26001.167807188162</v>
      </c>
      <c r="X15" s="37">
        <v>13927.922157327364</v>
      </c>
      <c r="Y15" s="37">
        <v>12073.245649860639</v>
      </c>
      <c r="Z15" s="40">
        <v>9563.6122502172257</v>
      </c>
      <c r="AA15" s="37">
        <v>4791.1183084096365</v>
      </c>
      <c r="AB15" s="39">
        <v>4772.4939418074673</v>
      </c>
    </row>
    <row r="16" spans="1:28" ht="12" customHeight="1" x14ac:dyDescent="0.2">
      <c r="A16" s="36" t="s">
        <v>15</v>
      </c>
      <c r="B16" s="37">
        <v>26834.114969933809</v>
      </c>
      <c r="C16" s="37">
        <v>14340.869172791983</v>
      </c>
      <c r="D16" s="38">
        <v>12493.245797142128</v>
      </c>
      <c r="E16" s="40">
        <v>18973.000418820669</v>
      </c>
      <c r="F16" s="37">
        <v>10420.479635938102</v>
      </c>
      <c r="G16" s="38">
        <v>8552.5207828832408</v>
      </c>
      <c r="H16" s="37">
        <v>7861.1145511150398</v>
      </c>
      <c r="I16" s="37">
        <v>3920.3895368550166</v>
      </c>
      <c r="J16" s="39">
        <v>3940.7250142599769</v>
      </c>
      <c r="K16" s="126">
        <v>27739.277271594437</v>
      </c>
      <c r="L16" s="37">
        <v>14824.612130693495</v>
      </c>
      <c r="M16" s="38">
        <v>12914.665140898649</v>
      </c>
      <c r="N16" s="37">
        <v>19612.993381052493</v>
      </c>
      <c r="O16" s="37">
        <v>10771.980899989379</v>
      </c>
      <c r="P16" s="38">
        <v>8841.0124810616362</v>
      </c>
      <c r="Q16" s="37">
        <v>8126.2838905411527</v>
      </c>
      <c r="R16" s="37">
        <v>4052.6312307041549</v>
      </c>
      <c r="S16" s="39">
        <v>4073.6526598371192</v>
      </c>
      <c r="T16" s="126">
        <v>28672.212384050159</v>
      </c>
      <c r="U16" s="37">
        <v>15323.197621940324</v>
      </c>
      <c r="V16" s="38">
        <v>13349.01476210964</v>
      </c>
      <c r="W16" s="37">
        <v>20272.623046468765</v>
      </c>
      <c r="X16" s="37">
        <v>11134.267167000911</v>
      </c>
      <c r="Y16" s="37">
        <v>9138.3558794676774</v>
      </c>
      <c r="Z16" s="40">
        <v>8399.5893375812375</v>
      </c>
      <c r="AA16" s="37">
        <v>4188.9304549392918</v>
      </c>
      <c r="AB16" s="39">
        <v>4210.6588826418256</v>
      </c>
    </row>
    <row r="17" spans="1:80" ht="12" customHeight="1" x14ac:dyDescent="0.2">
      <c r="A17" s="36" t="s">
        <v>16</v>
      </c>
      <c r="B17" s="37">
        <v>21122.75088734322</v>
      </c>
      <c r="C17" s="37">
        <v>11120.60107230792</v>
      </c>
      <c r="D17" s="38">
        <v>10002.149815035602</v>
      </c>
      <c r="E17" s="40">
        <v>14640.091197465634</v>
      </c>
      <c r="F17" s="37">
        <v>7849.4942783120359</v>
      </c>
      <c r="G17" s="38">
        <v>6790.5969191541699</v>
      </c>
      <c r="H17" s="37">
        <v>6482.6596898792259</v>
      </c>
      <c r="I17" s="37">
        <v>3271.1067939968443</v>
      </c>
      <c r="J17" s="39">
        <v>3211.5528958823415</v>
      </c>
      <c r="K17" s="126">
        <v>21835.258746536416</v>
      </c>
      <c r="L17" s="37">
        <v>11495.718674423904</v>
      </c>
      <c r="M17" s="38">
        <v>10339.540072111171</v>
      </c>
      <c r="N17" s="37">
        <v>15133.927445078942</v>
      </c>
      <c r="O17" s="37">
        <v>8114.271645322212</v>
      </c>
      <c r="P17" s="38">
        <v>7019.6557997560094</v>
      </c>
      <c r="Q17" s="37">
        <v>6701.3313014569976</v>
      </c>
      <c r="R17" s="37">
        <v>3381.4470291017979</v>
      </c>
      <c r="S17" s="39">
        <v>3319.8842723552757</v>
      </c>
      <c r="T17" s="126">
        <v>22569.628260737052</v>
      </c>
      <c r="U17" s="37">
        <v>11882.345892188265</v>
      </c>
      <c r="V17" s="38">
        <v>10687.282368548622</v>
      </c>
      <c r="W17" s="37">
        <v>15642.915915277772</v>
      </c>
      <c r="X17" s="37">
        <v>8387.1730931798957</v>
      </c>
      <c r="Y17" s="37">
        <v>7255.7428220976826</v>
      </c>
      <c r="Z17" s="40">
        <v>6926.7123454591601</v>
      </c>
      <c r="AA17" s="37">
        <v>3495.1727990082582</v>
      </c>
      <c r="AB17" s="39">
        <v>3431.5395464508229</v>
      </c>
    </row>
    <row r="18" spans="1:80" ht="12" customHeight="1" x14ac:dyDescent="0.2">
      <c r="A18" s="36" t="s">
        <v>17</v>
      </c>
      <c r="B18" s="37">
        <v>18715.901883057206</v>
      </c>
      <c r="C18" s="37">
        <v>9775.554495380431</v>
      </c>
      <c r="D18" s="38">
        <v>8940.3473876770768</v>
      </c>
      <c r="E18" s="40">
        <v>12934.816163650399</v>
      </c>
      <c r="F18" s="37">
        <v>6848.6982831683163</v>
      </c>
      <c r="G18" s="38">
        <v>6086.1178804825886</v>
      </c>
      <c r="H18" s="37">
        <v>5782.5382535086683</v>
      </c>
      <c r="I18" s="37">
        <v>2926.8562122129833</v>
      </c>
      <c r="J18" s="39">
        <v>2855.6820412956463</v>
      </c>
      <c r="K18" s="126">
        <v>19347.222455585052</v>
      </c>
      <c r="L18" s="37">
        <v>10105.301290343916</v>
      </c>
      <c r="M18" s="38">
        <v>9241.9211652402537</v>
      </c>
      <c r="N18" s="37">
        <v>13371.130459214815</v>
      </c>
      <c r="O18" s="37">
        <v>7079.7170258501792</v>
      </c>
      <c r="P18" s="38">
        <v>6291.4134333642241</v>
      </c>
      <c r="Q18" s="37">
        <v>5977.5935270222626</v>
      </c>
      <c r="R18" s="37">
        <v>3025.5842644938357</v>
      </c>
      <c r="S18" s="39">
        <v>2952.0092625284774</v>
      </c>
      <c r="T18" s="126">
        <v>19997.913639086557</v>
      </c>
      <c r="U18" s="37">
        <v>10445.165602720328</v>
      </c>
      <c r="V18" s="38">
        <v>9552.7480363660543</v>
      </c>
      <c r="W18" s="37">
        <v>13820.832049364853</v>
      </c>
      <c r="X18" s="37">
        <v>7317.8240441049365</v>
      </c>
      <c r="Y18" s="37">
        <v>6503.0080052597259</v>
      </c>
      <c r="Z18" s="40">
        <v>6178.6336202717612</v>
      </c>
      <c r="AA18" s="37">
        <v>3127.3415586152951</v>
      </c>
      <c r="AB18" s="39">
        <v>3051.2920616564115</v>
      </c>
    </row>
    <row r="19" spans="1:80" ht="12" customHeight="1" x14ac:dyDescent="0.2">
      <c r="A19" s="36" t="s">
        <v>18</v>
      </c>
      <c r="B19" s="37">
        <v>14176.57767324875</v>
      </c>
      <c r="C19" s="37">
        <v>7169.8008977646568</v>
      </c>
      <c r="D19" s="38">
        <v>7006.7767754871456</v>
      </c>
      <c r="E19" s="40">
        <v>9986.8577307194537</v>
      </c>
      <c r="F19" s="37">
        <v>4996.6893478050561</v>
      </c>
      <c r="G19" s="38">
        <v>4990.1683829139556</v>
      </c>
      <c r="H19" s="37">
        <v>4191.3501837542317</v>
      </c>
      <c r="I19" s="37">
        <v>2174.7417911816992</v>
      </c>
      <c r="J19" s="39">
        <v>2016.608392572535</v>
      </c>
      <c r="K19" s="126">
        <v>14654.778787417734</v>
      </c>
      <c r="L19" s="37">
        <v>7411.651001272242</v>
      </c>
      <c r="M19" s="38">
        <v>7243.1277861455383</v>
      </c>
      <c r="N19" s="37">
        <v>10323.732158661554</v>
      </c>
      <c r="O19" s="37">
        <v>5165.2365436333357</v>
      </c>
      <c r="P19" s="38">
        <v>5158.495615028266</v>
      </c>
      <c r="Q19" s="37">
        <v>4332.7318609074846</v>
      </c>
      <c r="R19" s="37">
        <v>2248.0996897902055</v>
      </c>
      <c r="S19" s="39">
        <v>2084.632171117305</v>
      </c>
      <c r="T19" s="126">
        <v>15147.652396280258</v>
      </c>
      <c r="U19" s="37">
        <v>7660.9217155977658</v>
      </c>
      <c r="V19" s="38">
        <v>7486.7306806819388</v>
      </c>
      <c r="W19" s="37">
        <v>10670.942798943499</v>
      </c>
      <c r="X19" s="37">
        <v>5338.9552201698671</v>
      </c>
      <c r="Y19" s="37">
        <v>5331.9875787732317</v>
      </c>
      <c r="Z19" s="40">
        <v>4478.4515076857106</v>
      </c>
      <c r="AA19" s="37">
        <v>2323.7084057770417</v>
      </c>
      <c r="AB19" s="39">
        <v>2154.7431019086962</v>
      </c>
    </row>
    <row r="20" spans="1:80" ht="12" customHeight="1" x14ac:dyDescent="0.2">
      <c r="A20" s="36" t="s">
        <v>19</v>
      </c>
      <c r="B20" s="37">
        <v>12763.158533103517</v>
      </c>
      <c r="C20" s="37">
        <v>6367.7222161593018</v>
      </c>
      <c r="D20" s="38">
        <v>6395.4363169464787</v>
      </c>
      <c r="E20" s="40">
        <v>8985.889619935575</v>
      </c>
      <c r="F20" s="37">
        <v>4321.7694815762216</v>
      </c>
      <c r="G20" s="38">
        <v>4664.1201383589805</v>
      </c>
      <c r="H20" s="37">
        <v>3777.2689131694115</v>
      </c>
      <c r="I20" s="37">
        <v>2045.9527345824831</v>
      </c>
      <c r="J20" s="39">
        <v>1731.3161785869304</v>
      </c>
      <c r="K20" s="126">
        <v>13193.682512269263</v>
      </c>
      <c r="L20" s="37">
        <v>6582.5167828488884</v>
      </c>
      <c r="M20" s="38">
        <v>6611.1657294204151</v>
      </c>
      <c r="N20" s="37">
        <v>9288.999617783631</v>
      </c>
      <c r="O20" s="37">
        <v>4467.550433008807</v>
      </c>
      <c r="P20" s="38">
        <v>4821.4491847748704</v>
      </c>
      <c r="Q20" s="37">
        <v>3904.6828944856675</v>
      </c>
      <c r="R20" s="37">
        <v>2114.9663498401119</v>
      </c>
      <c r="S20" s="39">
        <v>1789.7165446455772</v>
      </c>
      <c r="T20" s="126">
        <v>13637.416123559966</v>
      </c>
      <c r="U20" s="37">
        <v>6803.9018238118761</v>
      </c>
      <c r="V20" s="38">
        <v>6833.5142997476032</v>
      </c>
      <c r="W20" s="37">
        <v>9601.4098445602904</v>
      </c>
      <c r="X20" s="37">
        <v>4617.8043356183434</v>
      </c>
      <c r="Y20" s="37">
        <v>4983.6055089416022</v>
      </c>
      <c r="Z20" s="40">
        <v>4036.0062789995327</v>
      </c>
      <c r="AA20" s="37">
        <v>2186.097488193544</v>
      </c>
      <c r="AB20" s="39">
        <v>1849.9087908060123</v>
      </c>
    </row>
    <row r="21" spans="1:80" ht="12" customHeight="1" x14ac:dyDescent="0.2">
      <c r="A21" s="36" t="s">
        <v>20</v>
      </c>
      <c r="B21" s="37">
        <v>9502.6760875551117</v>
      </c>
      <c r="C21" s="37">
        <v>4717.9180987108884</v>
      </c>
      <c r="D21" s="38">
        <v>4784.757988844668</v>
      </c>
      <c r="E21" s="40">
        <v>7231.7500642296491</v>
      </c>
      <c r="F21" s="37">
        <v>3558.8165893175751</v>
      </c>
      <c r="G21" s="38">
        <v>3672.933474911817</v>
      </c>
      <c r="H21" s="37">
        <v>2270.9260233254172</v>
      </c>
      <c r="I21" s="37">
        <v>1159.1015093929454</v>
      </c>
      <c r="J21" s="39">
        <v>1111.824513932474</v>
      </c>
      <c r="K21" s="126">
        <v>9823.2182097352834</v>
      </c>
      <c r="L21" s="37">
        <v>4877.0618457666906</v>
      </c>
      <c r="M21" s="38">
        <v>4946.1563639686365</v>
      </c>
      <c r="N21" s="37">
        <v>7475.6898230203551</v>
      </c>
      <c r="O21" s="37">
        <v>3678.8617862158526</v>
      </c>
      <c r="P21" s="38">
        <v>3796.8280368045434</v>
      </c>
      <c r="Q21" s="37">
        <v>2347.5283867149619</v>
      </c>
      <c r="R21" s="37">
        <v>1198.2000595508516</v>
      </c>
      <c r="S21" s="39">
        <v>1149.3283271641078</v>
      </c>
      <c r="T21" s="126">
        <v>10153.595425243382</v>
      </c>
      <c r="U21" s="37">
        <v>5041.0885504637781</v>
      </c>
      <c r="V21" s="38">
        <v>5112.5068747792675</v>
      </c>
      <c r="W21" s="37">
        <v>7727.1143088659483</v>
      </c>
      <c r="X21" s="37">
        <v>3802.5902922123082</v>
      </c>
      <c r="Y21" s="37">
        <v>3924.5240166533822</v>
      </c>
      <c r="Z21" s="40">
        <v>2426.4811163773775</v>
      </c>
      <c r="AA21" s="37">
        <v>1238.4982582514795</v>
      </c>
      <c r="AB21" s="39">
        <v>1187.9828581258917</v>
      </c>
    </row>
    <row r="22" spans="1:80" ht="12" customHeight="1" x14ac:dyDescent="0.2">
      <c r="A22" s="36" t="s">
        <v>27</v>
      </c>
      <c r="B22" s="37">
        <v>8645.1692043758812</v>
      </c>
      <c r="C22" s="37">
        <v>4233.7364555466802</v>
      </c>
      <c r="D22" s="38">
        <v>4411.4327488291674</v>
      </c>
      <c r="E22" s="40">
        <v>6600.8467110156953</v>
      </c>
      <c r="F22" s="37">
        <v>3165.9284546288281</v>
      </c>
      <c r="G22" s="38">
        <v>3434.9182563866839</v>
      </c>
      <c r="H22" s="37">
        <v>2044.3224933597082</v>
      </c>
      <c r="I22" s="37">
        <v>1067.8080009175521</v>
      </c>
      <c r="J22" s="39">
        <v>976.51449244215837</v>
      </c>
      <c r="K22" s="126">
        <v>8936.7860981688536</v>
      </c>
      <c r="L22" s="37">
        <v>4376.5478968404013</v>
      </c>
      <c r="M22" s="38">
        <v>4560.2382013284969</v>
      </c>
      <c r="N22" s="37">
        <v>6823.5049804800383</v>
      </c>
      <c r="O22" s="37">
        <v>3272.7208377605116</v>
      </c>
      <c r="P22" s="38">
        <v>3550.7841427195644</v>
      </c>
      <c r="Q22" s="37">
        <v>2113.2811176888454</v>
      </c>
      <c r="R22" s="37">
        <v>1103.8270590798975</v>
      </c>
      <c r="S22" s="39">
        <v>1009.4540586089447</v>
      </c>
      <c r="T22" s="126">
        <v>9237.350581586099</v>
      </c>
      <c r="U22" s="37">
        <v>4523.741176763805</v>
      </c>
      <c r="V22" s="38">
        <v>4713.6094048220421</v>
      </c>
      <c r="W22" s="37">
        <v>7052.9950037416602</v>
      </c>
      <c r="X22" s="37">
        <v>3382.7898980651898</v>
      </c>
      <c r="Y22" s="37">
        <v>3670.2051056762898</v>
      </c>
      <c r="Z22" s="40">
        <v>2184.355577844387</v>
      </c>
      <c r="AA22" s="37">
        <v>1140.9512786986204</v>
      </c>
      <c r="AB22" s="39">
        <v>1043.4042991457609</v>
      </c>
    </row>
    <row r="23" spans="1:80" ht="12" customHeight="1" x14ac:dyDescent="0.2">
      <c r="A23" s="36" t="s">
        <v>28</v>
      </c>
      <c r="B23" s="37">
        <v>717.30613802094956</v>
      </c>
      <c r="C23" s="37">
        <v>275.51076664895578</v>
      </c>
      <c r="D23" s="38">
        <v>441.79537137199401</v>
      </c>
      <c r="E23" s="40">
        <v>389.62765224319855</v>
      </c>
      <c r="F23" s="37">
        <v>133.67978026754108</v>
      </c>
      <c r="G23" s="38">
        <v>255.94787197565779</v>
      </c>
      <c r="H23" s="37">
        <v>327.678485777753</v>
      </c>
      <c r="I23" s="37">
        <v>141.83098638141553</v>
      </c>
      <c r="J23" s="39">
        <v>185.84749939633764</v>
      </c>
      <c r="K23" s="126">
        <v>741.50214655748846</v>
      </c>
      <c r="L23" s="37">
        <v>284.80423356412587</v>
      </c>
      <c r="M23" s="38">
        <v>456.69791299336151</v>
      </c>
      <c r="N23" s="37">
        <v>402.77048415281706</v>
      </c>
      <c r="O23" s="37">
        <v>138.18903640389539</v>
      </c>
      <c r="P23" s="38">
        <v>264.58144774892162</v>
      </c>
      <c r="Q23" s="37">
        <v>338.73166240467037</v>
      </c>
      <c r="R23" s="37">
        <v>146.61519716023045</v>
      </c>
      <c r="S23" s="39">
        <v>192.11646524443992</v>
      </c>
      <c r="T23" s="126">
        <v>766.44055362960751</v>
      </c>
      <c r="U23" s="37">
        <v>294.38284900773596</v>
      </c>
      <c r="V23" s="38">
        <v>472.05770462187257</v>
      </c>
      <c r="W23" s="37">
        <v>416.31657344881</v>
      </c>
      <c r="X23" s="37">
        <v>142.83664863097249</v>
      </c>
      <c r="Y23" s="37">
        <v>273.47992481783768</v>
      </c>
      <c r="Z23" s="40">
        <v>350.12398018079841</v>
      </c>
      <c r="AA23" s="37">
        <v>151.54620037676347</v>
      </c>
      <c r="AB23" s="39">
        <v>198.57777980403492</v>
      </c>
    </row>
    <row r="24" spans="1:80" ht="12" customHeight="1" x14ac:dyDescent="0.2">
      <c r="A24" s="36" t="s">
        <v>29</v>
      </c>
      <c r="B24" s="37">
        <v>529.82839740183783</v>
      </c>
      <c r="C24" s="37">
        <v>211.93135896073528</v>
      </c>
      <c r="D24" s="38">
        <v>317.89703844110278</v>
      </c>
      <c r="E24" s="40">
        <v>283.66197276283089</v>
      </c>
      <c r="F24" s="37">
        <v>104.33543825759304</v>
      </c>
      <c r="G24" s="38">
        <v>179.32653450523804</v>
      </c>
      <c r="H24" s="37">
        <v>246.1664246390086</v>
      </c>
      <c r="I24" s="37">
        <v>107.59592070314284</v>
      </c>
      <c r="J24" s="39">
        <v>138.57050393586576</v>
      </c>
      <c r="K24" s="126">
        <v>547.70044916178051</v>
      </c>
      <c r="L24" s="37">
        <v>219.08017966471218</v>
      </c>
      <c r="M24" s="38">
        <v>328.62026949706825</v>
      </c>
      <c r="N24" s="37">
        <v>293.23039432046085</v>
      </c>
      <c r="O24" s="37">
        <v>107.85485768108907</v>
      </c>
      <c r="P24" s="38">
        <v>185.37553663937183</v>
      </c>
      <c r="Q24" s="37">
        <v>254.47005484131958</v>
      </c>
      <c r="R24" s="37">
        <v>111.22532198362315</v>
      </c>
      <c r="S24" s="39">
        <v>143.24473285769648</v>
      </c>
      <c r="T24" s="126">
        <v>566.12086347641537</v>
      </c>
      <c r="U24" s="37">
        <v>226.44834539056609</v>
      </c>
      <c r="V24" s="38">
        <v>339.67251808584928</v>
      </c>
      <c r="W24" s="37">
        <v>303.09240075352704</v>
      </c>
      <c r="X24" s="37">
        <v>111.48226234612483</v>
      </c>
      <c r="Y24" s="37">
        <v>191.61013840740213</v>
      </c>
      <c r="Z24" s="40">
        <v>263.02846272288826</v>
      </c>
      <c r="AA24" s="37">
        <v>114.96608304444122</v>
      </c>
      <c r="AB24" s="39">
        <v>148.06237967844703</v>
      </c>
    </row>
    <row r="25" spans="1:80" ht="12" customHeight="1" thickBot="1" x14ac:dyDescent="0.25">
      <c r="A25" s="41" t="s">
        <v>30</v>
      </c>
      <c r="B25" s="42">
        <v>304.8551086589037</v>
      </c>
      <c r="C25" s="42">
        <v>105.96567948036777</v>
      </c>
      <c r="D25" s="43">
        <v>198.8894291785362</v>
      </c>
      <c r="E25" s="45">
        <v>161.39388105471426</v>
      </c>
      <c r="F25" s="42">
        <v>42.386271792147177</v>
      </c>
      <c r="G25" s="43">
        <v>119.00760926256709</v>
      </c>
      <c r="H25" s="45">
        <v>143.46122760419044</v>
      </c>
      <c r="I25" s="42">
        <v>63.579407688220755</v>
      </c>
      <c r="J25" s="44">
        <v>79.881819915969686</v>
      </c>
      <c r="K25" s="123">
        <v>315.13841228693207</v>
      </c>
      <c r="L25" s="42">
        <v>109.54008983235607</v>
      </c>
      <c r="M25" s="43">
        <v>205.59832245457599</v>
      </c>
      <c r="N25" s="42">
        <v>166.83798297543461</v>
      </c>
      <c r="O25" s="42">
        <v>43.816035932942448</v>
      </c>
      <c r="P25" s="43">
        <v>123.02194704249222</v>
      </c>
      <c r="Q25" s="42">
        <v>148.30042931149748</v>
      </c>
      <c r="R25" s="42">
        <v>65.724053899413676</v>
      </c>
      <c r="S25" s="44">
        <v>82.57637541208382</v>
      </c>
      <c r="T25" s="123">
        <v>325.7372352925837</v>
      </c>
      <c r="U25" s="42">
        <v>113.22417269528304</v>
      </c>
      <c r="V25" s="43">
        <v>212.51306259730057</v>
      </c>
      <c r="W25" s="42">
        <v>172.44912456666194</v>
      </c>
      <c r="X25" s="42">
        <v>45.289669078113207</v>
      </c>
      <c r="Y25" s="42">
        <v>127.15945548854866</v>
      </c>
      <c r="Z25" s="45">
        <v>153.28811072592165</v>
      </c>
      <c r="AA25" s="42">
        <v>67.934503617169824</v>
      </c>
      <c r="AB25" s="44">
        <v>85.353607108751817</v>
      </c>
    </row>
    <row r="26" spans="1:80" ht="12" customHeight="1" x14ac:dyDescent="0.2">
      <c r="A26" s="36" t="s">
        <v>97</v>
      </c>
      <c r="B26" s="37">
        <v>428934.08004157979</v>
      </c>
      <c r="C26" s="37">
        <v>214794.77961911267</v>
      </c>
      <c r="D26" s="38">
        <v>214139.30042151696</v>
      </c>
      <c r="E26" s="37">
        <v>321392.65307113348</v>
      </c>
      <c r="F26" s="37">
        <v>159823.95041526598</v>
      </c>
      <c r="G26" s="38">
        <v>161568.7026559666</v>
      </c>
      <c r="H26" s="37">
        <v>107541.426969869</v>
      </c>
      <c r="I26" s="37">
        <v>54970.829204079251</v>
      </c>
      <c r="J26" s="39">
        <v>52570.597765781728</v>
      </c>
      <c r="K26" s="126">
        <v>443402.7874902318</v>
      </c>
      <c r="L26" s="37">
        <v>222040.18858190542</v>
      </c>
      <c r="M26" s="38">
        <v>221362.59890815537</v>
      </c>
      <c r="N26" s="37">
        <v>332233.79741012567</v>
      </c>
      <c r="O26" s="37">
        <v>165215.09579051312</v>
      </c>
      <c r="P26" s="38">
        <v>167018.7016194856</v>
      </c>
      <c r="Q26" s="37">
        <v>111168.99008005098</v>
      </c>
      <c r="R26" s="37">
        <v>56825.092791385534</v>
      </c>
      <c r="S26" s="39">
        <v>54343.897288663429</v>
      </c>
      <c r="T26" s="126">
        <v>458315.43374828104</v>
      </c>
      <c r="U26" s="37">
        <v>229507.90615341233</v>
      </c>
      <c r="V26" s="38">
        <v>228807.52759470791</v>
      </c>
      <c r="W26" s="37">
        <v>343407.57717768598</v>
      </c>
      <c r="X26" s="37">
        <v>170771.65598708298</v>
      </c>
      <c r="Y26" s="37">
        <v>172635.92119050073</v>
      </c>
      <c r="Z26" s="40">
        <v>114907.85657058311</v>
      </c>
      <c r="AA26" s="37">
        <v>58736.250166350823</v>
      </c>
      <c r="AB26" s="39">
        <v>56171.606404227256</v>
      </c>
    </row>
    <row r="27" spans="1:80" ht="12" customHeight="1" x14ac:dyDescent="0.2">
      <c r="A27" s="46" t="s">
        <v>22</v>
      </c>
      <c r="B27" s="47">
        <v>21149.465041286614</v>
      </c>
      <c r="C27" s="47">
        <v>10469.651396028761</v>
      </c>
      <c r="D27" s="48">
        <v>10679.813645253771</v>
      </c>
      <c r="E27" s="47">
        <v>16649.520410818976</v>
      </c>
      <c r="F27" s="47">
        <v>8160.6138734990764</v>
      </c>
      <c r="G27" s="48">
        <v>8488.9065373210433</v>
      </c>
      <c r="H27" s="47">
        <v>4499.9446304633339</v>
      </c>
      <c r="I27" s="47">
        <v>2309.0375225301718</v>
      </c>
      <c r="J27" s="49">
        <v>2190.9071079331488</v>
      </c>
      <c r="K27" s="127">
        <v>21862.87401627635</v>
      </c>
      <c r="L27" s="47">
        <v>10822.811310779007</v>
      </c>
      <c r="M27" s="48">
        <v>11040.062705498152</v>
      </c>
      <c r="N27" s="47">
        <v>17211.138270525771</v>
      </c>
      <c r="O27" s="47">
        <v>8435.8858563812828</v>
      </c>
      <c r="P27" s="48">
        <v>8775.2524141451813</v>
      </c>
      <c r="Q27" s="47">
        <v>4651.7357457506532</v>
      </c>
      <c r="R27" s="47">
        <v>2386.9254543976849</v>
      </c>
      <c r="S27" s="49">
        <v>2264.8102913529488</v>
      </c>
      <c r="T27" s="127">
        <v>22598.172294935408</v>
      </c>
      <c r="U27" s="47">
        <v>11186.807120347145</v>
      </c>
      <c r="V27" s="48">
        <v>11411.365174586652</v>
      </c>
      <c r="W27" s="50">
        <v>17789.988074749126</v>
      </c>
      <c r="X27" s="47">
        <v>8719.6039231149734</v>
      </c>
      <c r="Y27" s="47">
        <v>9070.3841516328212</v>
      </c>
      <c r="Z27" s="50">
        <v>4808.1842201859708</v>
      </c>
      <c r="AA27" s="47">
        <v>2467.2031972321874</v>
      </c>
      <c r="AB27" s="49">
        <v>2340.9810229537989</v>
      </c>
    </row>
    <row r="28" spans="1:80" ht="12" customHeight="1" thickBot="1" x14ac:dyDescent="0.25">
      <c r="A28" s="51" t="s">
        <v>21</v>
      </c>
      <c r="B28" s="52">
        <v>487188.63151904295</v>
      </c>
      <c r="C28" s="52">
        <v>245283.28528825854</v>
      </c>
      <c r="D28" s="53">
        <v>241905.34623048789</v>
      </c>
      <c r="E28" s="52">
        <v>370460.5863637508</v>
      </c>
      <c r="F28" s="52">
        <v>185802.44648300976</v>
      </c>
      <c r="G28" s="53">
        <v>184658.13988067806</v>
      </c>
      <c r="H28" s="52">
        <v>116728.04515545844</v>
      </c>
      <c r="I28" s="52">
        <v>59480.838805448198</v>
      </c>
      <c r="J28" s="54">
        <v>57247.206350018401</v>
      </c>
      <c r="K28" s="128">
        <v>503622.36833302106</v>
      </c>
      <c r="L28" s="52">
        <v>253557.12563387488</v>
      </c>
      <c r="M28" s="53">
        <v>250065.2426992355</v>
      </c>
      <c r="N28" s="52">
        <v>382956.87913888169</v>
      </c>
      <c r="O28" s="52">
        <v>192069.89261646784</v>
      </c>
      <c r="P28" s="53">
        <v>190886.98652244391</v>
      </c>
      <c r="Q28" s="52">
        <v>120665.48919410516</v>
      </c>
      <c r="R28" s="52">
        <v>61487.233017365543</v>
      </c>
      <c r="S28" s="54">
        <v>59178.256176750358</v>
      </c>
      <c r="T28" s="128">
        <v>520560.3363351564</v>
      </c>
      <c r="U28" s="52">
        <v>262084.82962550761</v>
      </c>
      <c r="V28" s="53">
        <v>258475.50670977411</v>
      </c>
      <c r="W28" s="55">
        <v>395836.59174280491</v>
      </c>
      <c r="X28" s="52">
        <v>198529.64083236957</v>
      </c>
      <c r="Y28" s="52">
        <v>197306.9509105616</v>
      </c>
      <c r="Z28" s="55">
        <v>124723.7445923753</v>
      </c>
      <c r="AA28" s="52">
        <v>63555.18879314464</v>
      </c>
      <c r="AB28" s="54">
        <v>61168.55579922114</v>
      </c>
    </row>
    <row r="29" spans="1:80" customFormat="1" ht="15" x14ac:dyDescent="0.25">
      <c r="A29" s="60" t="s">
        <v>121</v>
      </c>
      <c r="B29" s="60"/>
      <c r="C29" s="5"/>
      <c r="D29" s="5"/>
      <c r="E29" s="5"/>
      <c r="F29" s="5"/>
      <c r="G29" s="5"/>
      <c r="H29" s="5"/>
      <c r="I29" s="5"/>
      <c r="J29" s="5"/>
      <c r="K29" s="56"/>
      <c r="L29" s="56"/>
      <c r="M29" s="56"/>
      <c r="N29" s="56"/>
      <c r="O29" s="56"/>
      <c r="P29" s="56"/>
      <c r="Q29" s="56"/>
      <c r="R29" s="56"/>
      <c r="S29" s="56"/>
      <c r="T29" s="56"/>
      <c r="U29" s="56"/>
      <c r="V29" s="56"/>
      <c r="W29" s="56"/>
      <c r="X29" s="56"/>
      <c r="Y29" s="56"/>
      <c r="Z29" s="56"/>
      <c r="AA29" s="56"/>
      <c r="AB29" s="56"/>
      <c r="AC29" s="234"/>
      <c r="AD29" s="234"/>
      <c r="AE29" s="234"/>
      <c r="AF29" s="234"/>
      <c r="AG29" s="234"/>
      <c r="AH29" s="234"/>
      <c r="AI29" s="234"/>
      <c r="AJ29" s="234"/>
      <c r="AK29" s="234"/>
      <c r="AL29" s="234"/>
      <c r="AM29" s="234"/>
      <c r="AN29" s="234"/>
      <c r="AO29" s="234"/>
      <c r="AP29" s="234"/>
      <c r="AQ29" s="234"/>
      <c r="AR29" s="234"/>
      <c r="AS29" s="234"/>
      <c r="AT29" s="234"/>
      <c r="AU29" s="234"/>
      <c r="AV29" s="234"/>
      <c r="AW29" s="234"/>
      <c r="AX29" s="234"/>
      <c r="AY29" s="234"/>
      <c r="AZ29" s="234"/>
      <c r="BA29" s="234"/>
      <c r="BB29" s="234"/>
      <c r="BC29" s="234"/>
      <c r="BD29" s="234"/>
      <c r="BE29" s="234"/>
      <c r="BF29" s="234"/>
      <c r="BG29" s="234"/>
      <c r="BH29" s="234"/>
      <c r="BI29" s="234"/>
      <c r="BJ29" s="234"/>
      <c r="BK29" s="234"/>
      <c r="BL29" s="234"/>
      <c r="BM29" s="234"/>
      <c r="BN29" s="234"/>
      <c r="BO29" s="234"/>
      <c r="BP29" s="234"/>
      <c r="BQ29" s="234"/>
      <c r="BR29" s="234"/>
      <c r="BS29" s="234"/>
      <c r="BT29" s="234"/>
      <c r="BU29" s="234"/>
      <c r="BV29" s="234"/>
      <c r="BW29" s="234"/>
      <c r="BX29" s="234"/>
      <c r="BY29" s="234"/>
      <c r="BZ29" s="234"/>
      <c r="CA29" s="234"/>
      <c r="CB29" s="234"/>
    </row>
    <row r="30" spans="1:80" ht="11.1" customHeight="1" x14ac:dyDescent="0.2">
      <c r="T30" s="197"/>
    </row>
    <row r="31" spans="1:80" ht="11.1" customHeight="1" x14ac:dyDescent="0.2"/>
    <row r="32" spans="1:80" ht="11.1" customHeight="1" x14ac:dyDescent="0.2"/>
    <row r="33" ht="11.1" customHeight="1" x14ac:dyDescent="0.2"/>
    <row r="34" ht="11.1" customHeight="1" x14ac:dyDescent="0.2"/>
    <row r="35" ht="11.1" customHeight="1" x14ac:dyDescent="0.2"/>
    <row r="36" ht="11.1" customHeight="1" x14ac:dyDescent="0.2"/>
    <row r="37" ht="11.1" customHeight="1" x14ac:dyDescent="0.2"/>
    <row r="38" ht="11.1" customHeight="1" x14ac:dyDescent="0.2"/>
    <row r="39" ht="11.1" customHeight="1" x14ac:dyDescent="0.2"/>
    <row r="40" ht="11.1" customHeight="1" x14ac:dyDescent="0.2"/>
    <row r="41" ht="11.1" customHeight="1" x14ac:dyDescent="0.2"/>
    <row r="42" ht="11.1" customHeight="1" x14ac:dyDescent="0.2"/>
    <row r="43" ht="11.1" customHeight="1" x14ac:dyDescent="0.2"/>
    <row r="44" ht="11.1" customHeight="1" x14ac:dyDescent="0.2"/>
    <row r="45" ht="11.1" customHeight="1" x14ac:dyDescent="0.2"/>
    <row r="46" ht="11.1" customHeight="1" x14ac:dyDescent="0.2"/>
    <row r="47" ht="11.1" customHeight="1" x14ac:dyDescent="0.2"/>
    <row r="48" ht="11.1" customHeight="1" x14ac:dyDescent="0.2"/>
    <row r="49" ht="11.1" customHeight="1" x14ac:dyDescent="0.2"/>
    <row r="50" ht="11.1" customHeight="1" x14ac:dyDescent="0.2"/>
    <row r="51" ht="11.1" customHeight="1" x14ac:dyDescent="0.2"/>
    <row r="52" ht="11.1" customHeight="1" x14ac:dyDescent="0.2"/>
    <row r="53" ht="11.1" customHeight="1" x14ac:dyDescent="0.2"/>
    <row r="54" ht="11.1" customHeight="1" x14ac:dyDescent="0.2"/>
    <row r="55" ht="11.1" customHeight="1" x14ac:dyDescent="0.2"/>
    <row r="56" ht="11.1" customHeight="1" x14ac:dyDescent="0.2"/>
    <row r="57" ht="11.1" customHeight="1" x14ac:dyDescent="0.2"/>
    <row r="58" ht="11.1" customHeight="1" x14ac:dyDescent="0.2"/>
    <row r="59" ht="11.1" customHeight="1" x14ac:dyDescent="0.2"/>
    <row r="60" ht="11.1" customHeight="1" x14ac:dyDescent="0.2"/>
    <row r="61" ht="11.1" customHeight="1" x14ac:dyDescent="0.2"/>
    <row r="62" ht="11.1" customHeight="1" x14ac:dyDescent="0.2"/>
    <row r="63" ht="11.1" customHeight="1" x14ac:dyDescent="0.2"/>
    <row r="64" ht="11.1" customHeight="1" x14ac:dyDescent="0.2"/>
    <row r="65" ht="11.1" customHeight="1" x14ac:dyDescent="0.2"/>
    <row r="66" ht="11.1" customHeight="1" x14ac:dyDescent="0.2"/>
    <row r="67" ht="11.1" customHeight="1" x14ac:dyDescent="0.2"/>
    <row r="68" ht="11.1" customHeight="1" x14ac:dyDescent="0.2"/>
    <row r="69" ht="11.1" customHeight="1" x14ac:dyDescent="0.2"/>
    <row r="70" ht="11.1" customHeight="1" x14ac:dyDescent="0.2"/>
    <row r="71" ht="11.1" customHeight="1" x14ac:dyDescent="0.2"/>
    <row r="72" ht="11.1" customHeight="1" x14ac:dyDescent="0.2"/>
    <row r="73" ht="11.1" customHeight="1" x14ac:dyDescent="0.2"/>
    <row r="74" ht="11.1" customHeight="1" x14ac:dyDescent="0.2"/>
    <row r="75" ht="11.1" customHeight="1" x14ac:dyDescent="0.2"/>
    <row r="76" ht="11.1" customHeight="1" x14ac:dyDescent="0.2"/>
    <row r="77" ht="11.1" customHeight="1" x14ac:dyDescent="0.2"/>
    <row r="78" ht="11.1" customHeight="1" x14ac:dyDescent="0.2"/>
    <row r="79" ht="11.1" customHeight="1" x14ac:dyDescent="0.2"/>
    <row r="80" ht="11.1" customHeight="1" x14ac:dyDescent="0.2"/>
    <row r="81" ht="11.1" customHeight="1" x14ac:dyDescent="0.2"/>
    <row r="82" ht="11.1" customHeight="1" x14ac:dyDescent="0.2"/>
    <row r="83" ht="11.1" customHeight="1" x14ac:dyDescent="0.2"/>
    <row r="84" ht="11.1" customHeight="1" x14ac:dyDescent="0.2"/>
    <row r="85" ht="11.1" customHeight="1" x14ac:dyDescent="0.2"/>
    <row r="86" ht="11.1" customHeight="1" x14ac:dyDescent="0.2"/>
    <row r="87" ht="11.1" customHeight="1" x14ac:dyDescent="0.2"/>
    <row r="88" ht="11.1" customHeight="1" x14ac:dyDescent="0.2"/>
    <row r="89" ht="11.1" customHeight="1" x14ac:dyDescent="0.2"/>
    <row r="90" ht="11.1" customHeight="1" x14ac:dyDescent="0.2"/>
    <row r="91" ht="11.1" customHeight="1" x14ac:dyDescent="0.2"/>
    <row r="92" ht="11.1" customHeight="1" x14ac:dyDescent="0.2"/>
    <row r="93" ht="11.1" customHeight="1" x14ac:dyDescent="0.2"/>
    <row r="94" ht="11.1" customHeight="1" x14ac:dyDescent="0.2"/>
    <row r="95" ht="11.1" customHeight="1" x14ac:dyDescent="0.2"/>
    <row r="96" ht="11.1" customHeight="1" x14ac:dyDescent="0.2"/>
    <row r="97" ht="11.1" customHeight="1" x14ac:dyDescent="0.2"/>
    <row r="98" ht="11.1" customHeight="1" x14ac:dyDescent="0.2"/>
    <row r="99" ht="11.1" customHeight="1" x14ac:dyDescent="0.2"/>
    <row r="100" ht="11.1" customHeight="1" x14ac:dyDescent="0.2"/>
    <row r="101" ht="11.1" customHeight="1" x14ac:dyDescent="0.2"/>
    <row r="102" ht="11.1" customHeight="1" x14ac:dyDescent="0.2"/>
    <row r="103" ht="11.1" customHeight="1" x14ac:dyDescent="0.2"/>
    <row r="104" ht="11.1" customHeight="1" x14ac:dyDescent="0.2"/>
    <row r="105" ht="11.1" customHeight="1" x14ac:dyDescent="0.2"/>
    <row r="106" ht="11.1" customHeight="1" x14ac:dyDescent="0.2"/>
    <row r="107" ht="11.1" customHeight="1" x14ac:dyDescent="0.2"/>
    <row r="108" ht="11.1" customHeight="1" x14ac:dyDescent="0.2"/>
    <row r="109" ht="11.1" customHeight="1" x14ac:dyDescent="0.2"/>
    <row r="110" ht="11.1" customHeight="1" x14ac:dyDescent="0.2"/>
    <row r="111" ht="11.1" customHeight="1" x14ac:dyDescent="0.2"/>
    <row r="112" ht="11.1" customHeight="1" x14ac:dyDescent="0.2"/>
    <row r="113" ht="11.1" customHeight="1" x14ac:dyDescent="0.2"/>
    <row r="114" ht="11.1" customHeight="1" x14ac:dyDescent="0.2"/>
    <row r="115" ht="11.1" customHeight="1" x14ac:dyDescent="0.2"/>
    <row r="116" ht="11.1" customHeight="1" x14ac:dyDescent="0.2"/>
    <row r="117" ht="11.1" customHeight="1" x14ac:dyDescent="0.2"/>
    <row r="118" ht="11.1" customHeight="1" x14ac:dyDescent="0.2"/>
    <row r="119" ht="11.1" customHeight="1" x14ac:dyDescent="0.2"/>
    <row r="120" ht="11.1" customHeight="1" x14ac:dyDescent="0.2"/>
    <row r="121" ht="11.1" customHeight="1" x14ac:dyDescent="0.2"/>
    <row r="122" ht="11.1" customHeight="1" x14ac:dyDescent="0.2"/>
    <row r="123" ht="11.1" customHeight="1" x14ac:dyDescent="0.2"/>
    <row r="124" ht="11.1" customHeight="1" x14ac:dyDescent="0.2"/>
    <row r="125" ht="11.1" customHeight="1" x14ac:dyDescent="0.2"/>
    <row r="126" ht="11.1" customHeight="1" x14ac:dyDescent="0.2"/>
    <row r="127" ht="11.1" customHeight="1" x14ac:dyDescent="0.2"/>
    <row r="128" ht="11.1" customHeight="1" x14ac:dyDescent="0.2"/>
    <row r="129" ht="11.1" customHeight="1" x14ac:dyDescent="0.2"/>
    <row r="130" ht="11.1" customHeight="1" x14ac:dyDescent="0.2"/>
    <row r="131" ht="11.1" customHeight="1" x14ac:dyDescent="0.2"/>
    <row r="132" ht="11.1" customHeight="1" x14ac:dyDescent="0.2"/>
    <row r="133" ht="11.1" customHeight="1" x14ac:dyDescent="0.2"/>
    <row r="134" ht="11.1" customHeight="1" x14ac:dyDescent="0.2"/>
    <row r="135" ht="11.1" customHeight="1" x14ac:dyDescent="0.2"/>
    <row r="136" ht="11.1" customHeight="1" x14ac:dyDescent="0.2"/>
    <row r="137" ht="11.1" customHeight="1" x14ac:dyDescent="0.2"/>
    <row r="138" ht="11.1" customHeight="1" x14ac:dyDescent="0.2"/>
    <row r="139" ht="11.1" customHeight="1" x14ac:dyDescent="0.2"/>
    <row r="140" ht="11.1" customHeight="1" x14ac:dyDescent="0.2"/>
    <row r="141" ht="11.1" customHeight="1" x14ac:dyDescent="0.2"/>
    <row r="142" ht="11.1" customHeight="1" x14ac:dyDescent="0.2"/>
    <row r="143" ht="11.1" customHeight="1" x14ac:dyDescent="0.2"/>
    <row r="144" ht="11.1" customHeight="1" x14ac:dyDescent="0.2"/>
    <row r="145" ht="11.1" customHeight="1" x14ac:dyDescent="0.2"/>
    <row r="146" ht="11.1" customHeight="1" x14ac:dyDescent="0.2"/>
    <row r="147" ht="11.1" customHeight="1" x14ac:dyDescent="0.2"/>
    <row r="148" ht="11.1" customHeight="1" x14ac:dyDescent="0.2"/>
    <row r="149" ht="11.1" customHeight="1" x14ac:dyDescent="0.2"/>
    <row r="150" ht="11.1" customHeight="1" x14ac:dyDescent="0.2"/>
    <row r="151" ht="11.1" customHeight="1" x14ac:dyDescent="0.2"/>
    <row r="152" ht="11.1" customHeight="1" x14ac:dyDescent="0.2"/>
    <row r="153" ht="11.1" customHeight="1" x14ac:dyDescent="0.2"/>
    <row r="154" ht="11.1" customHeight="1" x14ac:dyDescent="0.2"/>
    <row r="155" ht="11.1" customHeight="1" x14ac:dyDescent="0.2"/>
    <row r="156" ht="11.1" customHeight="1" x14ac:dyDescent="0.2"/>
    <row r="157" ht="11.1" customHeight="1" x14ac:dyDescent="0.2"/>
    <row r="158" ht="11.1" customHeight="1" x14ac:dyDescent="0.2"/>
    <row r="159" ht="11.1" customHeight="1" x14ac:dyDescent="0.2"/>
    <row r="160" ht="11.1" customHeight="1" x14ac:dyDescent="0.2"/>
    <row r="161" ht="11.1" customHeight="1" x14ac:dyDescent="0.2"/>
    <row r="162" ht="11.1" customHeight="1" x14ac:dyDescent="0.2"/>
    <row r="163" ht="11.1" customHeight="1" x14ac:dyDescent="0.2"/>
    <row r="164" ht="11.1" customHeight="1" x14ac:dyDescent="0.2"/>
    <row r="165" ht="11.1" customHeight="1" x14ac:dyDescent="0.2"/>
    <row r="166" ht="11.1" customHeight="1" x14ac:dyDescent="0.2"/>
    <row r="167" ht="11.1" customHeight="1" x14ac:dyDescent="0.2"/>
    <row r="168" ht="11.1" customHeight="1" x14ac:dyDescent="0.2"/>
    <row r="169" ht="11.1" customHeight="1" x14ac:dyDescent="0.2"/>
    <row r="170" ht="11.1" customHeight="1" x14ac:dyDescent="0.2"/>
    <row r="171" ht="11.1" customHeight="1" x14ac:dyDescent="0.2"/>
    <row r="172" ht="11.1" customHeight="1" x14ac:dyDescent="0.2"/>
    <row r="173" ht="11.1" customHeight="1" x14ac:dyDescent="0.2"/>
    <row r="174" ht="11.1" customHeight="1" x14ac:dyDescent="0.2"/>
    <row r="175" ht="11.1" customHeight="1" x14ac:dyDescent="0.2"/>
    <row r="176" ht="11.1" customHeight="1" x14ac:dyDescent="0.2"/>
    <row r="177" ht="11.1" customHeight="1" x14ac:dyDescent="0.2"/>
    <row r="178" ht="11.1" customHeight="1" x14ac:dyDescent="0.2"/>
    <row r="179" ht="11.1" customHeight="1" x14ac:dyDescent="0.2"/>
    <row r="180" ht="11.1" customHeight="1" x14ac:dyDescent="0.2"/>
    <row r="181" ht="11.1" customHeight="1" x14ac:dyDescent="0.2"/>
    <row r="182" ht="11.1" customHeight="1" x14ac:dyDescent="0.2"/>
    <row r="183" ht="11.1" customHeight="1" x14ac:dyDescent="0.2"/>
    <row r="184" ht="11.1" customHeight="1" x14ac:dyDescent="0.2"/>
    <row r="185" ht="11.1" customHeight="1" x14ac:dyDescent="0.2"/>
    <row r="186" ht="11.1" customHeight="1" x14ac:dyDescent="0.2"/>
    <row r="187" ht="11.1" customHeight="1" x14ac:dyDescent="0.2"/>
    <row r="188" ht="11.1" customHeight="1" x14ac:dyDescent="0.2"/>
    <row r="189" ht="11.1" customHeight="1" x14ac:dyDescent="0.2"/>
    <row r="190" ht="11.1" customHeight="1" x14ac:dyDescent="0.2"/>
    <row r="191" ht="11.1" customHeight="1" x14ac:dyDescent="0.2"/>
    <row r="192" ht="11.1" customHeight="1" x14ac:dyDescent="0.2"/>
    <row r="193" ht="11.1" customHeight="1" x14ac:dyDescent="0.2"/>
    <row r="194" ht="11.1" customHeight="1" x14ac:dyDescent="0.2"/>
    <row r="195" ht="11.1" customHeight="1" x14ac:dyDescent="0.2"/>
    <row r="196" ht="11.1" customHeight="1" x14ac:dyDescent="0.2"/>
    <row r="197" ht="11.1" customHeight="1" x14ac:dyDescent="0.2"/>
    <row r="198" ht="11.1" customHeight="1" x14ac:dyDescent="0.2"/>
    <row r="199" ht="11.1" customHeight="1" x14ac:dyDescent="0.2"/>
    <row r="200" ht="11.1" customHeight="1" x14ac:dyDescent="0.2"/>
    <row r="201" ht="11.1" customHeight="1" x14ac:dyDescent="0.2"/>
    <row r="202" ht="11.1" customHeight="1" x14ac:dyDescent="0.2"/>
    <row r="203" ht="11.1" customHeight="1" x14ac:dyDescent="0.2"/>
    <row r="204" ht="11.1" customHeight="1" x14ac:dyDescent="0.2"/>
    <row r="205" ht="11.1" customHeight="1" x14ac:dyDescent="0.2"/>
    <row r="206" ht="11.1" customHeight="1" x14ac:dyDescent="0.2"/>
    <row r="207" ht="11.1" customHeight="1" x14ac:dyDescent="0.2"/>
    <row r="208" ht="11.1" customHeight="1" x14ac:dyDescent="0.2"/>
    <row r="209" ht="11.1" customHeight="1" x14ac:dyDescent="0.2"/>
    <row r="210" ht="11.1" customHeight="1" x14ac:dyDescent="0.2"/>
    <row r="211" ht="11.1" customHeight="1" x14ac:dyDescent="0.2"/>
    <row r="212" ht="11.1" customHeight="1" x14ac:dyDescent="0.2"/>
    <row r="213" ht="11.1" customHeight="1" x14ac:dyDescent="0.2"/>
    <row r="214" ht="11.1" customHeight="1" x14ac:dyDescent="0.2"/>
    <row r="215" ht="11.1" customHeight="1" x14ac:dyDescent="0.2"/>
    <row r="216" ht="11.1" customHeight="1" x14ac:dyDescent="0.2"/>
    <row r="217" ht="11.1" customHeight="1" x14ac:dyDescent="0.2"/>
    <row r="218" ht="11.1" customHeight="1" x14ac:dyDescent="0.2"/>
    <row r="219" ht="11.1" customHeight="1" x14ac:dyDescent="0.2"/>
    <row r="220" ht="11.1" customHeight="1" x14ac:dyDescent="0.2"/>
    <row r="221" ht="11.1" customHeight="1" x14ac:dyDescent="0.2"/>
    <row r="222" ht="11.1" customHeight="1" x14ac:dyDescent="0.2"/>
    <row r="223" ht="11.1" customHeight="1" x14ac:dyDescent="0.2"/>
    <row r="224" ht="11.1" customHeight="1" x14ac:dyDescent="0.2"/>
    <row r="225" ht="11.1" customHeight="1" x14ac:dyDescent="0.2"/>
    <row r="226" ht="11.1" customHeight="1" x14ac:dyDescent="0.2"/>
    <row r="227" ht="11.1" customHeight="1" x14ac:dyDescent="0.2"/>
    <row r="228" ht="11.1" customHeight="1" x14ac:dyDescent="0.2"/>
    <row r="229" ht="11.1" customHeight="1" x14ac:dyDescent="0.2"/>
    <row r="230" ht="11.1" customHeight="1" x14ac:dyDescent="0.2"/>
    <row r="231" ht="11.1" customHeight="1" x14ac:dyDescent="0.2"/>
    <row r="232" ht="11.1" customHeight="1" x14ac:dyDescent="0.2"/>
    <row r="233" ht="11.1" customHeight="1" x14ac:dyDescent="0.2"/>
    <row r="234" ht="11.1" customHeight="1" x14ac:dyDescent="0.2"/>
    <row r="235" ht="11.1" customHeight="1" x14ac:dyDescent="0.2"/>
    <row r="236" ht="11.1" customHeight="1" x14ac:dyDescent="0.2"/>
    <row r="238" ht="11.1" customHeight="1" x14ac:dyDescent="0.2"/>
    <row r="239" ht="11.1" customHeight="1" x14ac:dyDescent="0.2"/>
    <row r="240" ht="11.1" customHeight="1" x14ac:dyDescent="0.2"/>
    <row r="241" ht="11.1" customHeight="1" x14ac:dyDescent="0.2"/>
    <row r="242" ht="11.1" customHeight="1" x14ac:dyDescent="0.2"/>
    <row r="243" ht="11.1" customHeight="1" x14ac:dyDescent="0.2"/>
    <row r="244" ht="11.1" customHeight="1" x14ac:dyDescent="0.2"/>
    <row r="245" ht="11.1" customHeight="1" x14ac:dyDescent="0.2"/>
    <row r="246" ht="11.1" customHeight="1" x14ac:dyDescent="0.2"/>
    <row r="247" ht="11.1" customHeight="1" x14ac:dyDescent="0.2"/>
    <row r="248" ht="11.1" customHeight="1" x14ac:dyDescent="0.2"/>
    <row r="249" ht="11.1" customHeight="1" x14ac:dyDescent="0.2"/>
    <row r="250" ht="11.1" customHeight="1" x14ac:dyDescent="0.2"/>
    <row r="251" ht="11.1" customHeight="1" x14ac:dyDescent="0.2"/>
    <row r="252" ht="11.1" customHeight="1" x14ac:dyDescent="0.2"/>
    <row r="253" ht="11.1" customHeight="1" x14ac:dyDescent="0.2"/>
    <row r="254" ht="11.1" customHeight="1" x14ac:dyDescent="0.2"/>
    <row r="255" ht="11.1" customHeight="1" x14ac:dyDescent="0.2"/>
    <row r="256" ht="11.1" customHeight="1" x14ac:dyDescent="0.2"/>
    <row r="257" ht="11.1" customHeight="1" x14ac:dyDescent="0.2"/>
    <row r="258" ht="11.1" customHeight="1" x14ac:dyDescent="0.2"/>
    <row r="259" ht="11.1" customHeight="1" x14ac:dyDescent="0.2"/>
    <row r="260" ht="11.1" customHeight="1" x14ac:dyDescent="0.2"/>
    <row r="261" ht="11.1" customHeight="1" x14ac:dyDescent="0.2"/>
    <row r="262" ht="11.1" customHeight="1" x14ac:dyDescent="0.2"/>
    <row r="263" ht="11.1" customHeight="1" x14ac:dyDescent="0.2"/>
    <row r="264" ht="11.1" customHeight="1" x14ac:dyDescent="0.2"/>
    <row r="265" ht="11.1" customHeight="1" x14ac:dyDescent="0.2"/>
    <row r="266" ht="11.1" customHeight="1" x14ac:dyDescent="0.2"/>
    <row r="267" ht="11.1" customHeight="1" x14ac:dyDescent="0.2"/>
    <row r="268" ht="11.1" customHeight="1" x14ac:dyDescent="0.2"/>
    <row r="269" ht="11.1" customHeight="1" x14ac:dyDescent="0.2"/>
    <row r="270" ht="11.1" customHeight="1" x14ac:dyDescent="0.2"/>
    <row r="271" ht="11.1" customHeight="1" x14ac:dyDescent="0.2"/>
    <row r="272" ht="11.1" customHeight="1" x14ac:dyDescent="0.2"/>
    <row r="273" ht="11.1" customHeight="1" x14ac:dyDescent="0.2"/>
    <row r="274" ht="11.1" customHeight="1" x14ac:dyDescent="0.2"/>
    <row r="275" ht="11.1" customHeight="1" x14ac:dyDescent="0.2"/>
    <row r="276" ht="11.1" customHeight="1" x14ac:dyDescent="0.2"/>
    <row r="277" ht="11.1" customHeight="1" x14ac:dyDescent="0.2"/>
    <row r="278" ht="11.1" customHeight="1" x14ac:dyDescent="0.2"/>
    <row r="279" ht="11.1" customHeight="1" x14ac:dyDescent="0.2"/>
    <row r="280" ht="11.1" customHeight="1" x14ac:dyDescent="0.2"/>
    <row r="281" ht="11.1" customHeight="1" x14ac:dyDescent="0.2"/>
    <row r="282" ht="11.1" customHeight="1" x14ac:dyDescent="0.2"/>
    <row r="283" ht="11.1" customHeight="1" x14ac:dyDescent="0.2"/>
    <row r="284" ht="11.1" customHeight="1" x14ac:dyDescent="0.2"/>
    <row r="285" ht="11.1" customHeight="1" x14ac:dyDescent="0.2"/>
    <row r="286" ht="11.1" customHeight="1" x14ac:dyDescent="0.2"/>
    <row r="287" ht="11.1" customHeight="1" x14ac:dyDescent="0.2"/>
    <row r="288" ht="11.1" customHeight="1" x14ac:dyDescent="0.2"/>
    <row r="289" ht="11.1" customHeight="1" x14ac:dyDescent="0.2"/>
    <row r="290" ht="11.1" customHeight="1" x14ac:dyDescent="0.2"/>
    <row r="291" ht="11.1" customHeight="1" x14ac:dyDescent="0.2"/>
    <row r="292" ht="11.1" customHeight="1" x14ac:dyDescent="0.2"/>
    <row r="293" ht="11.1" customHeight="1" x14ac:dyDescent="0.2"/>
    <row r="294" ht="11.1" customHeight="1" x14ac:dyDescent="0.2"/>
    <row r="295" ht="11.1" customHeight="1" x14ac:dyDescent="0.2"/>
    <row r="296" ht="11.1" customHeight="1" x14ac:dyDescent="0.2"/>
    <row r="297" ht="11.1" customHeight="1" x14ac:dyDescent="0.2"/>
    <row r="298" ht="11.1" customHeight="1" x14ac:dyDescent="0.2"/>
    <row r="299" ht="11.1" customHeight="1" x14ac:dyDescent="0.2"/>
    <row r="300" ht="11.1" customHeight="1" x14ac:dyDescent="0.2"/>
    <row r="301" ht="11.1" customHeight="1" x14ac:dyDescent="0.2"/>
    <row r="302" ht="11.1" customHeight="1" x14ac:dyDescent="0.2"/>
    <row r="303" ht="11.1" customHeight="1" x14ac:dyDescent="0.2"/>
    <row r="304" ht="11.1" customHeight="1" x14ac:dyDescent="0.2"/>
    <row r="305" ht="11.1" customHeight="1" x14ac:dyDescent="0.2"/>
    <row r="306" ht="11.1" customHeight="1" x14ac:dyDescent="0.2"/>
    <row r="307" ht="11.1" customHeight="1" x14ac:dyDescent="0.2"/>
    <row r="308" ht="11.1" customHeight="1" x14ac:dyDescent="0.2"/>
    <row r="309" ht="11.1" customHeight="1" x14ac:dyDescent="0.2"/>
    <row r="310" ht="11.1" customHeight="1" x14ac:dyDescent="0.2"/>
    <row r="311" ht="11.1" customHeight="1" x14ac:dyDescent="0.2"/>
    <row r="312" ht="11.1" customHeight="1" x14ac:dyDescent="0.2"/>
    <row r="313" ht="11.1" customHeight="1" x14ac:dyDescent="0.2"/>
    <row r="314" ht="11.1" customHeight="1" x14ac:dyDescent="0.2"/>
    <row r="315" ht="11.1" customHeight="1" x14ac:dyDescent="0.2"/>
    <row r="316" ht="11.1" customHeight="1" x14ac:dyDescent="0.2"/>
    <row r="317" ht="11.1" customHeight="1" x14ac:dyDescent="0.2"/>
    <row r="318" ht="11.1" customHeight="1" x14ac:dyDescent="0.2"/>
    <row r="319" ht="11.1" customHeight="1" x14ac:dyDescent="0.2"/>
    <row r="320" ht="11.1" customHeight="1" x14ac:dyDescent="0.2"/>
    <row r="321" ht="11.1" customHeight="1" x14ac:dyDescent="0.2"/>
    <row r="322" ht="11.1" customHeight="1" x14ac:dyDescent="0.2"/>
    <row r="323" ht="11.1" customHeight="1" x14ac:dyDescent="0.2"/>
    <row r="324" ht="11.1" customHeight="1" x14ac:dyDescent="0.2"/>
    <row r="325" ht="11.1" customHeight="1" x14ac:dyDescent="0.2"/>
    <row r="326" ht="11.1" customHeight="1" x14ac:dyDescent="0.2"/>
    <row r="327" ht="11.1" customHeight="1" x14ac:dyDescent="0.2"/>
    <row r="328" ht="11.1" customHeight="1" x14ac:dyDescent="0.2"/>
    <row r="329" ht="11.1" customHeight="1" x14ac:dyDescent="0.2"/>
    <row r="330" ht="11.1" customHeight="1" x14ac:dyDescent="0.2"/>
    <row r="331" ht="11.1" customHeight="1" x14ac:dyDescent="0.2"/>
    <row r="332" ht="11.1" customHeight="1" x14ac:dyDescent="0.2"/>
    <row r="333" ht="11.1" customHeight="1" x14ac:dyDescent="0.2"/>
    <row r="334" ht="11.1" customHeight="1" x14ac:dyDescent="0.2"/>
    <row r="335" ht="11.1" customHeight="1" x14ac:dyDescent="0.2"/>
    <row r="336" ht="11.1" customHeight="1" x14ac:dyDescent="0.2"/>
    <row r="337" ht="11.1" customHeight="1" x14ac:dyDescent="0.2"/>
    <row r="338" ht="11.1" customHeight="1" x14ac:dyDescent="0.2"/>
    <row r="339" ht="11.1" customHeight="1" x14ac:dyDescent="0.2"/>
    <row r="340" ht="11.1" customHeight="1" x14ac:dyDescent="0.2"/>
    <row r="341" ht="11.1" customHeight="1" x14ac:dyDescent="0.2"/>
    <row r="342" ht="11.1" customHeight="1" x14ac:dyDescent="0.2"/>
    <row r="343" ht="11.1" customHeight="1" x14ac:dyDescent="0.2"/>
    <row r="344" ht="11.1" customHeight="1" x14ac:dyDescent="0.2"/>
    <row r="345" ht="11.1" customHeight="1" x14ac:dyDescent="0.2"/>
    <row r="346" ht="11.1" customHeight="1" x14ac:dyDescent="0.2"/>
    <row r="347" ht="11.1" customHeight="1" x14ac:dyDescent="0.2"/>
    <row r="348" ht="11.1" customHeight="1" x14ac:dyDescent="0.2"/>
    <row r="349" ht="11.1" customHeight="1" x14ac:dyDescent="0.2"/>
    <row r="350" ht="11.1" customHeight="1" x14ac:dyDescent="0.2"/>
    <row r="351" ht="11.1" customHeight="1" x14ac:dyDescent="0.2"/>
    <row r="352" ht="11.1" customHeight="1" x14ac:dyDescent="0.2"/>
    <row r="353" ht="11.1" customHeight="1" x14ac:dyDescent="0.2"/>
    <row r="354" ht="11.1" customHeight="1" x14ac:dyDescent="0.2"/>
    <row r="355" ht="11.1" customHeight="1" x14ac:dyDescent="0.2"/>
    <row r="356" ht="11.1" customHeight="1" x14ac:dyDescent="0.2"/>
    <row r="357" ht="11.1" customHeight="1" x14ac:dyDescent="0.2"/>
    <row r="358" ht="11.1" customHeight="1" x14ac:dyDescent="0.2"/>
    <row r="359" ht="11.1" customHeight="1" x14ac:dyDescent="0.2"/>
    <row r="360" ht="11.1" customHeight="1" x14ac:dyDescent="0.2"/>
    <row r="361" ht="11.1" customHeight="1" x14ac:dyDescent="0.2"/>
    <row r="362" ht="11.1" customHeight="1" x14ac:dyDescent="0.2"/>
    <row r="363" ht="11.1" customHeight="1" x14ac:dyDescent="0.2"/>
    <row r="364" ht="11.1" customHeight="1" x14ac:dyDescent="0.2"/>
    <row r="365" ht="11.1" customHeight="1" x14ac:dyDescent="0.2"/>
    <row r="366" ht="11.1" customHeight="1" x14ac:dyDescent="0.2"/>
    <row r="367" ht="11.1" customHeight="1" x14ac:dyDescent="0.2"/>
    <row r="368" ht="11.1" customHeight="1" x14ac:dyDescent="0.2"/>
    <row r="369" ht="11.1" customHeight="1" x14ac:dyDescent="0.2"/>
    <row r="370" ht="11.1" customHeight="1" x14ac:dyDescent="0.2"/>
    <row r="371" ht="11.1" customHeight="1" x14ac:dyDescent="0.2"/>
    <row r="372" ht="11.1" customHeight="1" x14ac:dyDescent="0.2"/>
    <row r="373" ht="11.1" customHeight="1" x14ac:dyDescent="0.2"/>
    <row r="374" ht="11.1" customHeight="1" x14ac:dyDescent="0.2"/>
    <row r="375" ht="11.1" customHeight="1" x14ac:dyDescent="0.2"/>
    <row r="376" ht="11.1" customHeight="1" x14ac:dyDescent="0.2"/>
    <row r="377" ht="11.1" customHeight="1" x14ac:dyDescent="0.2"/>
    <row r="378" ht="11.1" customHeight="1" x14ac:dyDescent="0.2"/>
    <row r="379" ht="11.1" customHeight="1" x14ac:dyDescent="0.2"/>
    <row r="380" ht="11.1" customHeight="1" x14ac:dyDescent="0.2"/>
    <row r="381" ht="11.1" customHeight="1" x14ac:dyDescent="0.2"/>
    <row r="382" ht="11.1" customHeight="1" x14ac:dyDescent="0.2"/>
    <row r="383" ht="11.1" customHeight="1" x14ac:dyDescent="0.2"/>
    <row r="384" ht="11.1" customHeight="1" x14ac:dyDescent="0.2"/>
    <row r="385" ht="11.1" customHeight="1" x14ac:dyDescent="0.2"/>
    <row r="386" ht="11.1" customHeight="1" x14ac:dyDescent="0.2"/>
    <row r="387" ht="11.1" customHeight="1" x14ac:dyDescent="0.2"/>
    <row r="388" ht="11.1" customHeight="1" x14ac:dyDescent="0.2"/>
    <row r="389" ht="11.1" customHeight="1" x14ac:dyDescent="0.2"/>
    <row r="390" ht="11.1" customHeight="1" x14ac:dyDescent="0.2"/>
    <row r="391" ht="11.1" customHeight="1" x14ac:dyDescent="0.2"/>
    <row r="392" ht="11.1" customHeight="1" x14ac:dyDescent="0.2"/>
    <row r="393" ht="11.1" customHeight="1" x14ac:dyDescent="0.2"/>
    <row r="394" ht="11.1" customHeight="1" x14ac:dyDescent="0.2"/>
    <row r="395" ht="11.1" customHeight="1" x14ac:dyDescent="0.2"/>
    <row r="396" ht="11.1" customHeight="1" x14ac:dyDescent="0.2"/>
    <row r="397" ht="11.1" customHeight="1" x14ac:dyDescent="0.2"/>
    <row r="398" ht="11.1" customHeight="1" x14ac:dyDescent="0.2"/>
    <row r="399" ht="11.1" customHeight="1" x14ac:dyDescent="0.2"/>
    <row r="400" ht="11.1" customHeight="1" x14ac:dyDescent="0.2"/>
    <row r="401" ht="11.1" customHeight="1" x14ac:dyDescent="0.2"/>
    <row r="402" ht="11.1" customHeight="1" x14ac:dyDescent="0.2"/>
    <row r="403" ht="11.1" customHeight="1" x14ac:dyDescent="0.2"/>
    <row r="404" ht="11.1" customHeight="1" x14ac:dyDescent="0.2"/>
    <row r="405" ht="11.1" customHeight="1" x14ac:dyDescent="0.2"/>
    <row r="406" ht="11.1" customHeight="1" x14ac:dyDescent="0.2"/>
    <row r="407" ht="11.1" customHeight="1" x14ac:dyDescent="0.2"/>
    <row r="408" ht="11.1" customHeight="1" x14ac:dyDescent="0.2"/>
    <row r="409" ht="11.1" customHeight="1" x14ac:dyDescent="0.2"/>
    <row r="410" ht="11.1" customHeight="1" x14ac:dyDescent="0.2"/>
    <row r="411" ht="11.1" customHeight="1" x14ac:dyDescent="0.2"/>
    <row r="412" ht="11.1" customHeight="1" x14ac:dyDescent="0.2"/>
    <row r="413" ht="11.1" customHeight="1" x14ac:dyDescent="0.2"/>
    <row r="414" ht="11.1" customHeight="1" x14ac:dyDescent="0.2"/>
    <row r="415" ht="11.1" customHeight="1" x14ac:dyDescent="0.2"/>
    <row r="416" ht="11.1" customHeight="1" x14ac:dyDescent="0.2"/>
    <row r="417" ht="11.1" customHeight="1" x14ac:dyDescent="0.2"/>
    <row r="418" ht="11.1" customHeight="1" x14ac:dyDescent="0.2"/>
    <row r="419" ht="11.1" customHeight="1" x14ac:dyDescent="0.2"/>
    <row r="420" ht="11.1" customHeight="1" x14ac:dyDescent="0.2"/>
    <row r="421" ht="11.1" customHeight="1" x14ac:dyDescent="0.2"/>
    <row r="422" ht="11.1" customHeight="1" x14ac:dyDescent="0.2"/>
    <row r="423" ht="11.1" customHeight="1" x14ac:dyDescent="0.2"/>
    <row r="424" ht="11.1" customHeight="1" x14ac:dyDescent="0.2"/>
    <row r="425" ht="11.1" customHeight="1" x14ac:dyDescent="0.2"/>
    <row r="426" ht="11.1" customHeight="1" x14ac:dyDescent="0.2"/>
    <row r="427" ht="11.1" customHeight="1" x14ac:dyDescent="0.2"/>
    <row r="428" ht="11.1" customHeight="1" x14ac:dyDescent="0.2"/>
    <row r="429" ht="11.1" customHeight="1" x14ac:dyDescent="0.2"/>
    <row r="430" ht="11.1" customHeight="1" x14ac:dyDescent="0.2"/>
    <row r="431" ht="11.1" customHeight="1" x14ac:dyDescent="0.2"/>
    <row r="432" ht="11.1" customHeight="1" x14ac:dyDescent="0.2"/>
    <row r="433" ht="11.1" customHeight="1" x14ac:dyDescent="0.2"/>
    <row r="434" ht="11.1" customHeight="1" x14ac:dyDescent="0.2"/>
    <row r="435" ht="11.1" customHeight="1" x14ac:dyDescent="0.2"/>
    <row r="436" ht="11.1" customHeight="1" x14ac:dyDescent="0.2"/>
    <row r="437" ht="11.1" customHeight="1" x14ac:dyDescent="0.2"/>
    <row r="438" ht="11.1" customHeight="1" x14ac:dyDescent="0.2"/>
    <row r="439" ht="11.1" customHeight="1" x14ac:dyDescent="0.2"/>
    <row r="440" ht="11.1" customHeight="1" x14ac:dyDescent="0.2"/>
    <row r="441" ht="11.1" customHeight="1" x14ac:dyDescent="0.2"/>
    <row r="442" ht="11.1" customHeight="1" x14ac:dyDescent="0.2"/>
    <row r="443" ht="11.1" customHeight="1" x14ac:dyDescent="0.2"/>
    <row r="444" ht="11.1" customHeight="1" x14ac:dyDescent="0.2"/>
    <row r="445" ht="11.1" customHeight="1" x14ac:dyDescent="0.2"/>
    <row r="446" ht="11.1" customHeight="1" x14ac:dyDescent="0.2"/>
    <row r="447" ht="11.1" customHeight="1" x14ac:dyDescent="0.2"/>
    <row r="448" ht="11.1" customHeight="1" x14ac:dyDescent="0.2"/>
    <row r="449" ht="11.1" customHeight="1" x14ac:dyDescent="0.2"/>
    <row r="450" ht="11.1" customHeight="1" x14ac:dyDescent="0.2"/>
    <row r="451" ht="11.1" customHeight="1" x14ac:dyDescent="0.2"/>
    <row r="452" ht="11.1" customHeight="1" x14ac:dyDescent="0.2"/>
    <row r="453" ht="11.1" customHeight="1" x14ac:dyDescent="0.2"/>
    <row r="454" ht="11.1" customHeight="1" x14ac:dyDescent="0.2"/>
    <row r="455" ht="11.1" customHeight="1" x14ac:dyDescent="0.2"/>
    <row r="456" ht="11.1" customHeight="1" x14ac:dyDescent="0.2"/>
    <row r="457" ht="11.1" customHeight="1" x14ac:dyDescent="0.2"/>
    <row r="458" ht="11.1" customHeight="1" x14ac:dyDescent="0.2"/>
    <row r="459" ht="11.1" customHeight="1" x14ac:dyDescent="0.2"/>
    <row r="460" ht="11.1" customHeight="1" x14ac:dyDescent="0.2"/>
    <row r="461" ht="11.1" customHeight="1" x14ac:dyDescent="0.2"/>
    <row r="462" ht="11.1" customHeight="1" x14ac:dyDescent="0.2"/>
    <row r="463" ht="11.1" customHeight="1" x14ac:dyDescent="0.2"/>
    <row r="464" ht="11.1" customHeight="1" x14ac:dyDescent="0.2"/>
    <row r="465" ht="11.1" customHeight="1" x14ac:dyDescent="0.2"/>
    <row r="466" ht="11.1" customHeight="1" x14ac:dyDescent="0.2"/>
    <row r="467" ht="11.1" customHeight="1" x14ac:dyDescent="0.2"/>
    <row r="468" ht="11.1" customHeight="1" x14ac:dyDescent="0.2"/>
    <row r="469" ht="11.1" customHeight="1" x14ac:dyDescent="0.2"/>
    <row r="470" ht="11.1" customHeight="1" x14ac:dyDescent="0.2"/>
    <row r="471" ht="11.1" customHeight="1" x14ac:dyDescent="0.2"/>
    <row r="472" ht="11.1" customHeight="1" x14ac:dyDescent="0.2"/>
    <row r="473" ht="11.1" customHeight="1" x14ac:dyDescent="0.2"/>
    <row r="474" ht="11.1" customHeight="1" x14ac:dyDescent="0.2"/>
    <row r="475" ht="11.1" customHeight="1" x14ac:dyDescent="0.2"/>
    <row r="476" ht="11.1" customHeight="1" x14ac:dyDescent="0.2"/>
    <row r="477" ht="11.1" customHeight="1" x14ac:dyDescent="0.2"/>
    <row r="478" ht="11.1" customHeight="1" x14ac:dyDescent="0.2"/>
    <row r="479" ht="11.1" customHeight="1" x14ac:dyDescent="0.2"/>
    <row r="480" ht="11.1" customHeight="1" x14ac:dyDescent="0.2"/>
    <row r="481" ht="11.1" customHeight="1" x14ac:dyDescent="0.2"/>
    <row r="482" ht="11.1" customHeight="1" x14ac:dyDescent="0.2"/>
    <row r="483" ht="11.1" customHeight="1" x14ac:dyDescent="0.2"/>
    <row r="484" ht="11.1" customHeight="1" x14ac:dyDescent="0.2"/>
    <row r="485" ht="11.1" customHeight="1" x14ac:dyDescent="0.2"/>
    <row r="486" ht="11.1" customHeight="1" x14ac:dyDescent="0.2"/>
    <row r="487" ht="11.1" customHeight="1" x14ac:dyDescent="0.2"/>
    <row r="488" ht="11.1" customHeight="1" x14ac:dyDescent="0.2"/>
    <row r="489" ht="11.1" customHeight="1" x14ac:dyDescent="0.2"/>
    <row r="490" ht="11.1" customHeight="1" x14ac:dyDescent="0.2"/>
    <row r="491" ht="11.1" customHeight="1" x14ac:dyDescent="0.2"/>
    <row r="492" ht="11.1" customHeight="1" x14ac:dyDescent="0.2"/>
    <row r="493" ht="11.1" customHeight="1" x14ac:dyDescent="0.2"/>
    <row r="494" ht="11.1" customHeight="1" x14ac:dyDescent="0.2"/>
    <row r="495" ht="11.1" customHeight="1" x14ac:dyDescent="0.2"/>
    <row r="496" ht="11.1" customHeight="1" x14ac:dyDescent="0.2"/>
    <row r="497" ht="11.1" customHeight="1" x14ac:dyDescent="0.2"/>
    <row r="498" ht="11.1" customHeight="1" x14ac:dyDescent="0.2"/>
    <row r="499" ht="11.1" customHeight="1" x14ac:dyDescent="0.2"/>
    <row r="500" ht="11.1" customHeight="1" x14ac:dyDescent="0.2"/>
    <row r="501" ht="11.1" customHeight="1" x14ac:dyDescent="0.2"/>
    <row r="502" ht="11.1" customHeight="1" x14ac:dyDescent="0.2"/>
    <row r="503" ht="11.1" customHeight="1" x14ac:dyDescent="0.2"/>
    <row r="504" ht="11.1" customHeight="1" x14ac:dyDescent="0.2"/>
    <row r="505" ht="11.1" customHeight="1" x14ac:dyDescent="0.2"/>
    <row r="506" ht="11.1" customHeight="1" x14ac:dyDescent="0.2"/>
    <row r="507" ht="11.1" customHeight="1" x14ac:dyDescent="0.2"/>
    <row r="508" ht="11.1" customHeight="1" x14ac:dyDescent="0.2"/>
    <row r="509" ht="11.1" customHeight="1" x14ac:dyDescent="0.2"/>
    <row r="510" ht="11.1" customHeight="1" x14ac:dyDescent="0.2"/>
    <row r="511" ht="11.1" customHeight="1" x14ac:dyDescent="0.2"/>
    <row r="512" ht="11.1" customHeight="1" x14ac:dyDescent="0.2"/>
    <row r="513" ht="11.1" customHeight="1" x14ac:dyDescent="0.2"/>
    <row r="514" ht="11.1" customHeight="1" x14ac:dyDescent="0.2"/>
    <row r="515" ht="11.1" customHeight="1" x14ac:dyDescent="0.2"/>
    <row r="516" ht="11.1" customHeight="1" x14ac:dyDescent="0.2"/>
    <row r="517" ht="11.1" customHeight="1" x14ac:dyDescent="0.2"/>
    <row r="518" ht="11.1" customHeight="1" x14ac:dyDescent="0.2"/>
    <row r="519" ht="11.1" customHeight="1" x14ac:dyDescent="0.2"/>
    <row r="520" ht="11.1" customHeight="1" x14ac:dyDescent="0.2"/>
    <row r="521" ht="11.1" customHeight="1" x14ac:dyDescent="0.2"/>
    <row r="522" ht="11.1" customHeight="1" x14ac:dyDescent="0.2"/>
    <row r="523" ht="11.1" customHeight="1" x14ac:dyDescent="0.2"/>
    <row r="524" ht="11.1" customHeight="1" x14ac:dyDescent="0.2"/>
    <row r="525" ht="11.1" customHeight="1" x14ac:dyDescent="0.2"/>
    <row r="526" ht="11.1" customHeight="1" x14ac:dyDescent="0.2"/>
    <row r="527" ht="11.1" customHeight="1" x14ac:dyDescent="0.2"/>
    <row r="528" ht="11.1" customHeight="1" x14ac:dyDescent="0.2"/>
    <row r="529" ht="11.1" customHeight="1" x14ac:dyDescent="0.2"/>
    <row r="530" ht="11.1" customHeight="1" x14ac:dyDescent="0.2"/>
    <row r="531" ht="11.1" customHeight="1" x14ac:dyDescent="0.2"/>
    <row r="532" ht="11.1" customHeight="1" x14ac:dyDescent="0.2"/>
    <row r="533" ht="11.1" customHeight="1" x14ac:dyDescent="0.2"/>
    <row r="534" ht="11.1" customHeight="1" x14ac:dyDescent="0.2"/>
    <row r="535" ht="11.1" customHeight="1" x14ac:dyDescent="0.2"/>
    <row r="536" ht="11.1" customHeight="1" x14ac:dyDescent="0.2"/>
    <row r="537" ht="11.1" customHeight="1" x14ac:dyDescent="0.2"/>
    <row r="538" ht="11.1" customHeight="1" x14ac:dyDescent="0.2"/>
    <row r="539" ht="11.1" customHeight="1" x14ac:dyDescent="0.2"/>
    <row r="540" ht="11.1" customHeight="1" x14ac:dyDescent="0.2"/>
    <row r="541" ht="11.1" customHeight="1" x14ac:dyDescent="0.2"/>
    <row r="542" ht="11.1" customHeight="1" x14ac:dyDescent="0.2"/>
    <row r="543" ht="11.1" customHeight="1" x14ac:dyDescent="0.2"/>
    <row r="544" ht="11.1" customHeight="1" x14ac:dyDescent="0.2"/>
    <row r="545" ht="11.1" customHeight="1" x14ac:dyDescent="0.2"/>
    <row r="546" ht="11.1" customHeight="1" x14ac:dyDescent="0.2"/>
    <row r="547" ht="11.1" customHeight="1" x14ac:dyDescent="0.2"/>
    <row r="548" ht="11.1" customHeight="1" x14ac:dyDescent="0.2"/>
    <row r="549" ht="11.1" customHeight="1" x14ac:dyDescent="0.2"/>
    <row r="550" ht="11.1" customHeight="1" x14ac:dyDescent="0.2"/>
    <row r="551" ht="11.1" customHeight="1" x14ac:dyDescent="0.2"/>
    <row r="552" ht="11.1" customHeight="1" x14ac:dyDescent="0.2"/>
    <row r="553" ht="11.1" customHeight="1" x14ac:dyDescent="0.2"/>
    <row r="554" ht="11.1" customHeight="1" x14ac:dyDescent="0.2"/>
    <row r="555" ht="11.1" customHeight="1" x14ac:dyDescent="0.2"/>
    <row r="556" ht="11.1" customHeight="1" x14ac:dyDescent="0.2"/>
    <row r="557" ht="11.1" customHeight="1" x14ac:dyDescent="0.2"/>
    <row r="558" ht="11.1" customHeight="1" x14ac:dyDescent="0.2"/>
    <row r="559" ht="11.1" customHeight="1" x14ac:dyDescent="0.2"/>
    <row r="560" ht="11.1" customHeight="1" x14ac:dyDescent="0.2"/>
    <row r="561" ht="11.1" customHeight="1" x14ac:dyDescent="0.2"/>
    <row r="562" ht="11.1" customHeight="1" x14ac:dyDescent="0.2"/>
    <row r="563" ht="11.1" customHeight="1" x14ac:dyDescent="0.2"/>
    <row r="564" ht="11.1" customHeight="1" x14ac:dyDescent="0.2"/>
    <row r="565" ht="11.1" customHeight="1" x14ac:dyDescent="0.2"/>
    <row r="566" ht="11.1" customHeight="1" x14ac:dyDescent="0.2"/>
    <row r="567" ht="11.1" customHeight="1" x14ac:dyDescent="0.2"/>
    <row r="568" ht="11.1" customHeight="1" x14ac:dyDescent="0.2"/>
    <row r="569" ht="11.1" customHeight="1" x14ac:dyDescent="0.2"/>
    <row r="570" ht="11.1" customHeight="1" x14ac:dyDescent="0.2"/>
    <row r="571" ht="11.1" customHeight="1" x14ac:dyDescent="0.2"/>
    <row r="572" ht="11.1" customHeight="1" x14ac:dyDescent="0.2"/>
    <row r="573" ht="11.1" customHeight="1" x14ac:dyDescent="0.2"/>
    <row r="574" ht="11.1" customHeight="1" x14ac:dyDescent="0.2"/>
    <row r="575" ht="11.1" customHeight="1" x14ac:dyDescent="0.2"/>
    <row r="576" ht="11.1" customHeight="1" x14ac:dyDescent="0.2"/>
    <row r="577" ht="11.1" customHeight="1" x14ac:dyDescent="0.2"/>
    <row r="578" ht="11.1" customHeight="1" x14ac:dyDescent="0.2"/>
    <row r="579" ht="11.1" customHeight="1" x14ac:dyDescent="0.2"/>
    <row r="580" ht="11.1" customHeight="1" x14ac:dyDescent="0.2"/>
    <row r="581" ht="11.1" customHeight="1" x14ac:dyDescent="0.2"/>
    <row r="582" ht="11.1" customHeight="1" x14ac:dyDescent="0.2"/>
    <row r="583" ht="11.1" customHeight="1" x14ac:dyDescent="0.2"/>
    <row r="584" ht="11.1" customHeight="1" x14ac:dyDescent="0.2"/>
    <row r="585" ht="11.1" customHeight="1" x14ac:dyDescent="0.2"/>
    <row r="586" ht="11.1" customHeight="1" x14ac:dyDescent="0.2"/>
    <row r="587" ht="11.1" customHeight="1" x14ac:dyDescent="0.2"/>
    <row r="588" ht="11.1" customHeight="1" x14ac:dyDescent="0.2"/>
    <row r="589" ht="11.1" customHeight="1" x14ac:dyDescent="0.2"/>
    <row r="590" ht="11.1" customHeight="1" x14ac:dyDescent="0.2"/>
    <row r="591" ht="11.1" customHeight="1" x14ac:dyDescent="0.2"/>
    <row r="592" ht="11.1" customHeight="1" x14ac:dyDescent="0.2"/>
    <row r="593" ht="11.1" customHeight="1" x14ac:dyDescent="0.2"/>
    <row r="594" ht="11.1" customHeight="1" x14ac:dyDescent="0.2"/>
    <row r="595" ht="11.1" customHeight="1" x14ac:dyDescent="0.2"/>
    <row r="596" ht="11.1" customHeight="1" x14ac:dyDescent="0.2"/>
    <row r="597" ht="11.1" customHeight="1" x14ac:dyDescent="0.2"/>
    <row r="598" ht="11.1" customHeight="1" x14ac:dyDescent="0.2"/>
    <row r="599" ht="11.1" customHeight="1" x14ac:dyDescent="0.2"/>
    <row r="600" ht="11.1" customHeight="1" x14ac:dyDescent="0.2"/>
    <row r="601" ht="11.1" customHeight="1" x14ac:dyDescent="0.2"/>
    <row r="602" ht="11.1" customHeight="1" x14ac:dyDescent="0.2"/>
    <row r="603" ht="11.1" customHeight="1" x14ac:dyDescent="0.2"/>
    <row r="604" ht="11.1" customHeight="1" x14ac:dyDescent="0.2"/>
    <row r="605" ht="11.1" customHeight="1" x14ac:dyDescent="0.2"/>
    <row r="606" ht="11.1" customHeight="1" x14ac:dyDescent="0.2"/>
    <row r="607" ht="11.1" customHeight="1" x14ac:dyDescent="0.2"/>
    <row r="608" ht="11.1" customHeight="1" x14ac:dyDescent="0.2"/>
    <row r="609" ht="11.1" customHeight="1" x14ac:dyDescent="0.2"/>
    <row r="610" ht="11.1" customHeight="1" x14ac:dyDescent="0.2"/>
    <row r="611" ht="11.1" customHeight="1" x14ac:dyDescent="0.2"/>
    <row r="612" ht="11.1" customHeight="1" x14ac:dyDescent="0.2"/>
    <row r="613" ht="11.1" customHeight="1" x14ac:dyDescent="0.2"/>
    <row r="614" ht="11.1" customHeight="1" x14ac:dyDescent="0.2"/>
    <row r="615" ht="11.1" customHeight="1" x14ac:dyDescent="0.2"/>
    <row r="616" ht="11.1" customHeight="1" x14ac:dyDescent="0.2"/>
    <row r="617" ht="11.1" customHeight="1" x14ac:dyDescent="0.2"/>
    <row r="618" ht="11.1" customHeight="1" x14ac:dyDescent="0.2"/>
    <row r="619" ht="11.1" customHeight="1" x14ac:dyDescent="0.2"/>
    <row r="620" ht="11.1" customHeight="1" x14ac:dyDescent="0.2"/>
    <row r="621" ht="11.1" customHeight="1" x14ac:dyDescent="0.2"/>
    <row r="622" ht="11.1" customHeight="1" x14ac:dyDescent="0.2"/>
    <row r="623" ht="11.1" customHeight="1" x14ac:dyDescent="0.2"/>
    <row r="624" ht="11.1" customHeight="1" x14ac:dyDescent="0.2"/>
    <row r="625" ht="11.1" customHeight="1" x14ac:dyDescent="0.2"/>
    <row r="626" ht="11.1" customHeight="1" x14ac:dyDescent="0.2"/>
    <row r="627" ht="11.1" customHeight="1" x14ac:dyDescent="0.2"/>
    <row r="628" ht="11.1" customHeight="1" x14ac:dyDescent="0.2"/>
    <row r="629" ht="11.1" customHeight="1" x14ac:dyDescent="0.2"/>
    <row r="630" ht="11.1" customHeight="1" x14ac:dyDescent="0.2"/>
    <row r="631" ht="11.1" customHeight="1" x14ac:dyDescent="0.2"/>
    <row r="632" ht="11.1" customHeight="1" x14ac:dyDescent="0.2"/>
    <row r="633" ht="11.1" customHeight="1" x14ac:dyDescent="0.2"/>
    <row r="634" ht="11.1" customHeight="1" x14ac:dyDescent="0.2"/>
    <row r="635" ht="11.1" customHeight="1" x14ac:dyDescent="0.2"/>
    <row r="636" ht="11.1" customHeight="1" x14ac:dyDescent="0.2"/>
    <row r="637" ht="11.1" customHeight="1" x14ac:dyDescent="0.2"/>
    <row r="638" ht="11.1" customHeight="1" x14ac:dyDescent="0.2"/>
    <row r="639" ht="11.1" customHeight="1" x14ac:dyDescent="0.2"/>
    <row r="640" ht="11.1" customHeight="1" x14ac:dyDescent="0.2"/>
    <row r="641" ht="11.1" customHeight="1" x14ac:dyDescent="0.2"/>
    <row r="642" ht="11.1" customHeight="1" x14ac:dyDescent="0.2"/>
    <row r="643" ht="11.1" customHeight="1" x14ac:dyDescent="0.2"/>
    <row r="644" ht="11.1" customHeight="1" x14ac:dyDescent="0.2"/>
    <row r="645" ht="11.1" customHeight="1" x14ac:dyDescent="0.2"/>
    <row r="646" ht="11.1" customHeight="1" x14ac:dyDescent="0.2"/>
    <row r="647" ht="11.1" customHeight="1" x14ac:dyDescent="0.2"/>
    <row r="648" ht="11.1" customHeight="1" x14ac:dyDescent="0.2"/>
    <row r="649" ht="11.1" customHeight="1" x14ac:dyDescent="0.2"/>
    <row r="650" ht="11.1" customHeight="1" x14ac:dyDescent="0.2"/>
    <row r="651" ht="11.1" customHeight="1" x14ac:dyDescent="0.2"/>
    <row r="652" ht="11.1" customHeight="1" x14ac:dyDescent="0.2"/>
    <row r="653" ht="11.1" customHeight="1" x14ac:dyDescent="0.2"/>
    <row r="654" ht="11.1" customHeight="1" x14ac:dyDescent="0.2"/>
    <row r="655" ht="11.1" customHeight="1" x14ac:dyDescent="0.2"/>
    <row r="656" ht="11.1" customHeight="1" x14ac:dyDescent="0.2"/>
    <row r="657" ht="11.1" customHeight="1" x14ac:dyDescent="0.2"/>
    <row r="658" ht="11.1" customHeight="1" x14ac:dyDescent="0.2"/>
    <row r="659" ht="11.1" customHeight="1" x14ac:dyDescent="0.2"/>
    <row r="660" ht="11.1" customHeight="1" x14ac:dyDescent="0.2"/>
    <row r="661" ht="11.1" customHeight="1" x14ac:dyDescent="0.2"/>
    <row r="662" ht="11.1" customHeight="1" x14ac:dyDescent="0.2"/>
    <row r="663" ht="11.1" customHeight="1" x14ac:dyDescent="0.2"/>
    <row r="664" ht="11.1" customHeight="1" x14ac:dyDescent="0.2"/>
    <row r="665" ht="11.1" customHeight="1" x14ac:dyDescent="0.2"/>
    <row r="666" ht="11.1" customHeight="1" x14ac:dyDescent="0.2"/>
    <row r="667" ht="11.1" customHeight="1" x14ac:dyDescent="0.2"/>
    <row r="668" ht="11.1" customHeight="1" x14ac:dyDescent="0.2"/>
    <row r="669" ht="11.1" customHeight="1" x14ac:dyDescent="0.2"/>
    <row r="670" ht="11.1" customHeight="1" x14ac:dyDescent="0.2"/>
    <row r="671" ht="11.1" customHeight="1" x14ac:dyDescent="0.2"/>
    <row r="672" ht="11.1" customHeight="1" x14ac:dyDescent="0.2"/>
    <row r="673" ht="11.1" customHeight="1" x14ac:dyDescent="0.2"/>
    <row r="674" ht="11.1" customHeight="1" x14ac:dyDescent="0.2"/>
    <row r="675" ht="11.1" customHeight="1" x14ac:dyDescent="0.2"/>
    <row r="676" ht="11.1" customHeight="1" x14ac:dyDescent="0.2"/>
    <row r="677" ht="11.1" customHeight="1" x14ac:dyDescent="0.2"/>
    <row r="678" ht="11.1" customHeight="1" x14ac:dyDescent="0.2"/>
    <row r="679" ht="11.1" customHeight="1" x14ac:dyDescent="0.2"/>
    <row r="680" ht="11.1" customHeight="1" x14ac:dyDescent="0.2"/>
    <row r="681" ht="11.1" customHeight="1" x14ac:dyDescent="0.2"/>
    <row r="682" ht="11.1" customHeight="1" x14ac:dyDescent="0.2"/>
    <row r="683" ht="11.1" customHeight="1" x14ac:dyDescent="0.2"/>
    <row r="684" ht="11.1" customHeight="1" x14ac:dyDescent="0.2"/>
    <row r="685" ht="11.1" customHeight="1" x14ac:dyDescent="0.2"/>
    <row r="686" ht="11.1" customHeight="1" x14ac:dyDescent="0.2"/>
    <row r="687" ht="11.1" customHeight="1" x14ac:dyDescent="0.2"/>
    <row r="688" ht="11.1" customHeight="1" x14ac:dyDescent="0.2"/>
    <row r="689" ht="11.1" customHeight="1" x14ac:dyDescent="0.2"/>
    <row r="690" ht="11.1" customHeight="1" x14ac:dyDescent="0.2"/>
    <row r="691" ht="11.1" customHeight="1" x14ac:dyDescent="0.2"/>
    <row r="692" ht="11.1" customHeight="1" x14ac:dyDescent="0.2"/>
    <row r="693" ht="11.1" customHeight="1" x14ac:dyDescent="0.2"/>
    <row r="694" ht="11.1" customHeight="1" x14ac:dyDescent="0.2"/>
    <row r="695" ht="11.1" customHeight="1" x14ac:dyDescent="0.2"/>
    <row r="696" ht="11.1" customHeight="1" x14ac:dyDescent="0.2"/>
    <row r="697" ht="11.1" customHeight="1" x14ac:dyDescent="0.2"/>
    <row r="698" ht="11.1" customHeight="1" x14ac:dyDescent="0.2"/>
    <row r="699" ht="11.1" customHeight="1" x14ac:dyDescent="0.2"/>
    <row r="700" ht="11.1" customHeight="1" x14ac:dyDescent="0.2"/>
    <row r="701" ht="11.1" customHeight="1" x14ac:dyDescent="0.2"/>
    <row r="702" ht="11.1" customHeight="1" x14ac:dyDescent="0.2"/>
    <row r="703" ht="11.1" customHeight="1" x14ac:dyDescent="0.2"/>
    <row r="704" ht="11.1" customHeight="1" x14ac:dyDescent="0.2"/>
    <row r="705" ht="11.1" customHeight="1" x14ac:dyDescent="0.2"/>
    <row r="706" ht="11.1" customHeight="1" x14ac:dyDescent="0.2"/>
    <row r="707" ht="11.1" customHeight="1" x14ac:dyDescent="0.2"/>
    <row r="708" ht="11.1" customHeight="1" x14ac:dyDescent="0.2"/>
    <row r="709" ht="11.1" customHeight="1" x14ac:dyDescent="0.2"/>
    <row r="710" ht="11.1" customHeight="1" x14ac:dyDescent="0.2"/>
    <row r="711" ht="11.1" customHeight="1" x14ac:dyDescent="0.2"/>
    <row r="712" ht="11.1" customHeight="1" x14ac:dyDescent="0.2"/>
    <row r="713" ht="11.1" customHeight="1" x14ac:dyDescent="0.2"/>
    <row r="714" ht="11.1" customHeight="1" x14ac:dyDescent="0.2"/>
    <row r="715" ht="11.1" customHeight="1" x14ac:dyDescent="0.2"/>
    <row r="716" ht="11.1" customHeight="1" x14ac:dyDescent="0.2"/>
    <row r="717" ht="11.1" customHeight="1" x14ac:dyDescent="0.2"/>
    <row r="718" ht="11.1" customHeight="1" x14ac:dyDescent="0.2"/>
    <row r="719" ht="11.1" customHeight="1" x14ac:dyDescent="0.2"/>
    <row r="720" ht="11.1" customHeight="1" x14ac:dyDescent="0.2"/>
    <row r="721" ht="11.1" customHeight="1" x14ac:dyDescent="0.2"/>
    <row r="722" ht="11.1" customHeight="1" x14ac:dyDescent="0.2"/>
    <row r="723" ht="11.1" customHeight="1" x14ac:dyDescent="0.2"/>
    <row r="724" ht="11.1" customHeight="1" x14ac:dyDescent="0.2"/>
    <row r="725" ht="11.1" customHeight="1" x14ac:dyDescent="0.2"/>
    <row r="726" ht="11.1" customHeight="1" x14ac:dyDescent="0.2"/>
    <row r="727" ht="11.1" customHeight="1" x14ac:dyDescent="0.2"/>
    <row r="728" ht="11.1" customHeight="1" x14ac:dyDescent="0.2"/>
    <row r="729" ht="11.1" customHeight="1" x14ac:dyDescent="0.2"/>
    <row r="730" ht="11.1" customHeight="1" x14ac:dyDescent="0.2"/>
    <row r="731" ht="11.1" customHeight="1" x14ac:dyDescent="0.2"/>
    <row r="732" ht="11.1" customHeight="1" x14ac:dyDescent="0.2"/>
    <row r="733" ht="11.1" customHeight="1" x14ac:dyDescent="0.2"/>
    <row r="734" ht="11.1" customHeight="1" x14ac:dyDescent="0.2"/>
    <row r="735" ht="11.1" customHeight="1" x14ac:dyDescent="0.2"/>
    <row r="736" ht="11.1" customHeight="1" x14ac:dyDescent="0.2"/>
    <row r="737" ht="11.1" customHeight="1" x14ac:dyDescent="0.2"/>
    <row r="738" ht="11.1" customHeight="1" x14ac:dyDescent="0.2"/>
    <row r="739" ht="11.1" customHeight="1" x14ac:dyDescent="0.2"/>
    <row r="740" ht="11.1" customHeight="1" x14ac:dyDescent="0.2"/>
    <row r="741" ht="11.1" customHeight="1" x14ac:dyDescent="0.2"/>
    <row r="742" ht="11.1" customHeight="1" x14ac:dyDescent="0.2"/>
    <row r="743" ht="11.1" customHeight="1" x14ac:dyDescent="0.2"/>
    <row r="744" ht="11.1" customHeight="1" x14ac:dyDescent="0.2"/>
    <row r="745" ht="11.1" customHeight="1" x14ac:dyDescent="0.2"/>
    <row r="746" ht="11.1" customHeight="1" x14ac:dyDescent="0.2"/>
    <row r="747" ht="11.1" customHeight="1" x14ac:dyDescent="0.2"/>
    <row r="748" ht="11.1" customHeight="1" x14ac:dyDescent="0.2"/>
    <row r="749" ht="11.1" customHeight="1" x14ac:dyDescent="0.2"/>
    <row r="750" ht="11.1" customHeight="1" x14ac:dyDescent="0.2"/>
    <row r="751" ht="11.1" customHeight="1" x14ac:dyDescent="0.2"/>
    <row r="752" ht="11.1" customHeight="1" x14ac:dyDescent="0.2"/>
    <row r="753" ht="11.1" customHeight="1" x14ac:dyDescent="0.2"/>
    <row r="754" ht="11.1" customHeight="1" x14ac:dyDescent="0.2"/>
    <row r="755" ht="11.1" customHeight="1" x14ac:dyDescent="0.2"/>
    <row r="756" ht="11.1" customHeight="1" x14ac:dyDescent="0.2"/>
    <row r="757" ht="11.1" customHeight="1" x14ac:dyDescent="0.2"/>
    <row r="758" ht="11.1" customHeight="1" x14ac:dyDescent="0.2"/>
    <row r="759" ht="11.1" customHeight="1" x14ac:dyDescent="0.2"/>
    <row r="760" ht="11.1" customHeight="1" x14ac:dyDescent="0.2"/>
    <row r="761" ht="11.1" customHeight="1" x14ac:dyDescent="0.2"/>
    <row r="762" ht="11.1" customHeight="1" x14ac:dyDescent="0.2"/>
    <row r="763" ht="11.1" customHeight="1" x14ac:dyDescent="0.2"/>
    <row r="764" ht="11.1" customHeight="1" x14ac:dyDescent="0.2"/>
    <row r="765" ht="11.1" customHeight="1" x14ac:dyDescent="0.2"/>
    <row r="766" ht="11.1" customHeight="1" x14ac:dyDescent="0.2"/>
    <row r="767" ht="11.1" customHeight="1" x14ac:dyDescent="0.2"/>
    <row r="768" ht="11.1" customHeight="1" x14ac:dyDescent="0.2"/>
    <row r="769" ht="11.1" customHeight="1" x14ac:dyDescent="0.2"/>
    <row r="770" ht="11.1" customHeight="1" x14ac:dyDescent="0.2"/>
    <row r="771" ht="11.1" customHeight="1" x14ac:dyDescent="0.2"/>
    <row r="772" ht="11.1" customHeight="1" x14ac:dyDescent="0.2"/>
    <row r="773" ht="11.1" customHeight="1" x14ac:dyDescent="0.2"/>
    <row r="774" ht="11.1" customHeight="1" x14ac:dyDescent="0.2"/>
    <row r="775" ht="11.1" customHeight="1" x14ac:dyDescent="0.2"/>
    <row r="776" ht="11.1" customHeight="1" x14ac:dyDescent="0.2"/>
    <row r="777" ht="11.1" customHeight="1" x14ac:dyDescent="0.2"/>
    <row r="778" ht="11.1" customHeight="1" x14ac:dyDescent="0.2"/>
    <row r="779" ht="11.1" customHeight="1" x14ac:dyDescent="0.2"/>
    <row r="780" ht="11.1" customHeight="1" x14ac:dyDescent="0.2"/>
    <row r="781" ht="11.1" customHeight="1" x14ac:dyDescent="0.2"/>
    <row r="782" ht="11.1" customHeight="1" x14ac:dyDescent="0.2"/>
    <row r="783" ht="11.1" customHeight="1" x14ac:dyDescent="0.2"/>
    <row r="784" ht="11.1" customHeight="1" x14ac:dyDescent="0.2"/>
    <row r="785" ht="11.1" customHeight="1" x14ac:dyDescent="0.2"/>
    <row r="786" ht="11.1" customHeight="1" x14ac:dyDescent="0.2"/>
    <row r="787" ht="11.1" customHeight="1" x14ac:dyDescent="0.2"/>
    <row r="788" ht="11.1" customHeight="1" x14ac:dyDescent="0.2"/>
    <row r="789" ht="11.1" customHeight="1" x14ac:dyDescent="0.2"/>
    <row r="790" ht="11.1" customHeight="1" x14ac:dyDescent="0.2"/>
    <row r="791" ht="11.1" customHeight="1" x14ac:dyDescent="0.2"/>
    <row r="792" ht="11.1" customHeight="1" x14ac:dyDescent="0.2"/>
    <row r="793" ht="11.1" customHeight="1" x14ac:dyDescent="0.2"/>
    <row r="794" ht="11.1" customHeight="1" x14ac:dyDescent="0.2"/>
    <row r="795" ht="11.1" customHeight="1" x14ac:dyDescent="0.2"/>
    <row r="796" ht="11.1" customHeight="1" x14ac:dyDescent="0.2"/>
    <row r="797" ht="11.1" customHeight="1" x14ac:dyDescent="0.2"/>
    <row r="798" ht="11.1" customHeight="1" x14ac:dyDescent="0.2"/>
    <row r="799" ht="11.1" customHeight="1" x14ac:dyDescent="0.2"/>
    <row r="800" ht="11.1" customHeight="1" x14ac:dyDescent="0.2"/>
    <row r="801" ht="11.1" customHeight="1" x14ac:dyDescent="0.2"/>
    <row r="802" ht="11.1" customHeight="1" x14ac:dyDescent="0.2"/>
    <row r="803" ht="11.1" customHeight="1" x14ac:dyDescent="0.2"/>
    <row r="804" ht="11.1" customHeight="1" x14ac:dyDescent="0.2"/>
    <row r="805" ht="11.1" customHeight="1" x14ac:dyDescent="0.2"/>
    <row r="806" ht="11.1" customHeight="1" x14ac:dyDescent="0.2"/>
    <row r="807" ht="11.1" customHeight="1" x14ac:dyDescent="0.2"/>
    <row r="808" ht="11.1" customHeight="1" x14ac:dyDescent="0.2"/>
    <row r="809" ht="11.1" customHeight="1" x14ac:dyDescent="0.2"/>
    <row r="810" ht="11.1" customHeight="1" x14ac:dyDescent="0.2"/>
    <row r="811" ht="11.1" customHeight="1" x14ac:dyDescent="0.2"/>
    <row r="812" ht="11.1" customHeight="1" x14ac:dyDescent="0.2"/>
    <row r="813" ht="11.1" customHeight="1" x14ac:dyDescent="0.2"/>
    <row r="814" ht="11.1" customHeight="1" x14ac:dyDescent="0.2"/>
    <row r="815" ht="11.1" customHeight="1" x14ac:dyDescent="0.2"/>
    <row r="816" ht="11.1" customHeight="1" x14ac:dyDescent="0.2"/>
    <row r="817" ht="11.1" customHeight="1" x14ac:dyDescent="0.2"/>
    <row r="818" ht="11.1" customHeight="1" x14ac:dyDescent="0.2"/>
    <row r="819" ht="11.1" customHeight="1" x14ac:dyDescent="0.2"/>
    <row r="820" ht="11.1" customHeight="1" x14ac:dyDescent="0.2"/>
    <row r="821" ht="11.1" customHeight="1" x14ac:dyDescent="0.2"/>
    <row r="822" ht="11.1" customHeight="1" x14ac:dyDescent="0.2"/>
    <row r="823" ht="11.1" customHeight="1" x14ac:dyDescent="0.2"/>
    <row r="824" ht="11.1" customHeight="1" x14ac:dyDescent="0.2"/>
    <row r="825" ht="11.1" customHeight="1" x14ac:dyDescent="0.2"/>
    <row r="826" ht="11.1" customHeight="1" x14ac:dyDescent="0.2"/>
    <row r="827" ht="11.1" customHeight="1" x14ac:dyDescent="0.2"/>
    <row r="828" ht="11.1" customHeight="1" x14ac:dyDescent="0.2"/>
    <row r="829" ht="11.1" customHeight="1" x14ac:dyDescent="0.2"/>
    <row r="830" ht="11.1" customHeight="1" x14ac:dyDescent="0.2"/>
    <row r="831" ht="11.1" customHeight="1" x14ac:dyDescent="0.2"/>
    <row r="832" ht="11.1" customHeight="1" x14ac:dyDescent="0.2"/>
    <row r="833" ht="11.1" customHeight="1" x14ac:dyDescent="0.2"/>
    <row r="834" ht="11.1" customHeight="1" x14ac:dyDescent="0.2"/>
    <row r="835" ht="11.1" customHeight="1" x14ac:dyDescent="0.2"/>
    <row r="836" ht="11.1" customHeight="1" x14ac:dyDescent="0.2"/>
    <row r="837" ht="11.1" customHeight="1" x14ac:dyDescent="0.2"/>
    <row r="838" ht="11.1" customHeight="1" x14ac:dyDescent="0.2"/>
    <row r="839" ht="11.1" customHeight="1" x14ac:dyDescent="0.2"/>
    <row r="840" ht="11.1" customHeight="1" x14ac:dyDescent="0.2"/>
    <row r="841" ht="11.1" customHeight="1" x14ac:dyDescent="0.2"/>
    <row r="842" ht="11.1" customHeight="1" x14ac:dyDescent="0.2"/>
    <row r="843" ht="11.1" customHeight="1" x14ac:dyDescent="0.2"/>
    <row r="844" ht="11.1" customHeight="1" x14ac:dyDescent="0.2"/>
    <row r="845" ht="11.1" customHeight="1" x14ac:dyDescent="0.2"/>
    <row r="846" ht="11.1" customHeight="1" x14ac:dyDescent="0.2"/>
    <row r="847" ht="11.1" customHeight="1" x14ac:dyDescent="0.2"/>
    <row r="848" ht="11.1" customHeight="1" x14ac:dyDescent="0.2"/>
    <row r="849" ht="11.1" customHeight="1" x14ac:dyDescent="0.2"/>
    <row r="850" ht="11.1" customHeight="1" x14ac:dyDescent="0.2"/>
    <row r="851" ht="11.1" customHeight="1" x14ac:dyDescent="0.2"/>
    <row r="852" ht="11.1" customHeight="1" x14ac:dyDescent="0.2"/>
    <row r="853" ht="11.1" customHeight="1" x14ac:dyDescent="0.2"/>
    <row r="854" ht="11.1" customHeight="1" x14ac:dyDescent="0.2"/>
    <row r="855" ht="11.1" customHeight="1" x14ac:dyDescent="0.2"/>
    <row r="856" ht="11.1" customHeight="1" x14ac:dyDescent="0.2"/>
    <row r="857" ht="11.1" customHeight="1" x14ac:dyDescent="0.2"/>
    <row r="858" ht="11.1" customHeight="1" x14ac:dyDescent="0.2"/>
    <row r="859" ht="11.1" customHeight="1" x14ac:dyDescent="0.2"/>
    <row r="860" ht="11.1" customHeight="1" x14ac:dyDescent="0.2"/>
    <row r="861" ht="11.1" customHeight="1" x14ac:dyDescent="0.2"/>
    <row r="862" ht="11.1" customHeight="1" x14ac:dyDescent="0.2"/>
    <row r="863" ht="11.1" customHeight="1" x14ac:dyDescent="0.2"/>
    <row r="864" ht="11.1" customHeight="1" x14ac:dyDescent="0.2"/>
    <row r="865" ht="11.1" customHeight="1" x14ac:dyDescent="0.2"/>
    <row r="866" ht="11.1" customHeight="1" x14ac:dyDescent="0.2"/>
    <row r="867" ht="11.1" customHeight="1" x14ac:dyDescent="0.2"/>
    <row r="868" ht="11.1" customHeight="1" x14ac:dyDescent="0.2"/>
    <row r="869" ht="11.1" customHeight="1" x14ac:dyDescent="0.2"/>
    <row r="870" ht="11.1" customHeight="1" x14ac:dyDescent="0.2"/>
    <row r="871" ht="11.1" customHeight="1" x14ac:dyDescent="0.2"/>
    <row r="872" ht="11.1" customHeight="1" x14ac:dyDescent="0.2"/>
    <row r="873" ht="11.1" customHeight="1" x14ac:dyDescent="0.2"/>
    <row r="874" ht="11.1" customHeight="1" x14ac:dyDescent="0.2"/>
    <row r="875" ht="11.1" customHeight="1" x14ac:dyDescent="0.2"/>
    <row r="876" ht="11.1" customHeight="1" x14ac:dyDescent="0.2"/>
    <row r="877" ht="11.1" customHeight="1" x14ac:dyDescent="0.2"/>
    <row r="878" ht="11.1" customHeight="1" x14ac:dyDescent="0.2"/>
    <row r="879" ht="11.1" customHeight="1" x14ac:dyDescent="0.2"/>
    <row r="880" ht="11.1" customHeight="1" x14ac:dyDescent="0.2"/>
    <row r="881" ht="11.1" customHeight="1" x14ac:dyDescent="0.2"/>
    <row r="882" ht="11.1" customHeight="1" x14ac:dyDescent="0.2"/>
    <row r="883" ht="11.1" customHeight="1" x14ac:dyDescent="0.2"/>
    <row r="884" ht="11.1" customHeight="1" x14ac:dyDescent="0.2"/>
    <row r="885" ht="11.1" customHeight="1" x14ac:dyDescent="0.2"/>
    <row r="886" ht="11.1" customHeight="1" x14ac:dyDescent="0.2"/>
    <row r="887" ht="11.1" customHeight="1" x14ac:dyDescent="0.2"/>
    <row r="888" ht="11.1" customHeight="1" x14ac:dyDescent="0.2"/>
    <row r="889" ht="11.1" customHeight="1" x14ac:dyDescent="0.2"/>
    <row r="890" ht="11.1" customHeight="1" x14ac:dyDescent="0.2"/>
    <row r="891" ht="11.1" customHeight="1" x14ac:dyDescent="0.2"/>
    <row r="892" ht="11.1" customHeight="1" x14ac:dyDescent="0.2"/>
    <row r="893" ht="11.1" customHeight="1" x14ac:dyDescent="0.2"/>
    <row r="894" ht="11.1" customHeight="1" x14ac:dyDescent="0.2"/>
    <row r="895" ht="11.1" customHeight="1" x14ac:dyDescent="0.2"/>
    <row r="896" ht="11.1" customHeight="1" x14ac:dyDescent="0.2"/>
    <row r="897" ht="11.1" customHeight="1" x14ac:dyDescent="0.2"/>
    <row r="898" ht="11.1" customHeight="1" x14ac:dyDescent="0.2"/>
    <row r="899" ht="11.1" customHeight="1" x14ac:dyDescent="0.2"/>
    <row r="900" ht="11.1" customHeight="1" x14ac:dyDescent="0.2"/>
    <row r="901" ht="11.1" customHeight="1" x14ac:dyDescent="0.2"/>
    <row r="902" ht="11.1" customHeight="1" x14ac:dyDescent="0.2"/>
    <row r="903" ht="11.1" customHeight="1" x14ac:dyDescent="0.2"/>
    <row r="904" ht="11.1" customHeight="1" x14ac:dyDescent="0.2"/>
    <row r="905" ht="11.1" customHeight="1" x14ac:dyDescent="0.2"/>
    <row r="906" ht="11.1" customHeight="1" x14ac:dyDescent="0.2"/>
    <row r="907" ht="11.1" customHeight="1" x14ac:dyDescent="0.2"/>
    <row r="908" ht="11.1" customHeight="1" x14ac:dyDescent="0.2"/>
    <row r="909" ht="11.1" customHeight="1" x14ac:dyDescent="0.2"/>
    <row r="910" ht="11.1" customHeight="1" x14ac:dyDescent="0.2"/>
    <row r="911" ht="11.1" customHeight="1" x14ac:dyDescent="0.2"/>
    <row r="912" ht="11.1" customHeight="1" x14ac:dyDescent="0.2"/>
    <row r="913" ht="11.1" customHeight="1" x14ac:dyDescent="0.2"/>
    <row r="914" ht="11.1" customHeight="1" x14ac:dyDescent="0.2"/>
    <row r="915" ht="11.1" customHeight="1" x14ac:dyDescent="0.2"/>
    <row r="916" ht="11.1" customHeight="1" x14ac:dyDescent="0.2"/>
    <row r="917" ht="11.1" customHeight="1" x14ac:dyDescent="0.2"/>
    <row r="918" ht="11.1" customHeight="1" x14ac:dyDescent="0.2"/>
    <row r="919" ht="11.1" customHeight="1" x14ac:dyDescent="0.2"/>
    <row r="920" ht="11.1" customHeight="1" x14ac:dyDescent="0.2"/>
    <row r="921" ht="11.1" customHeight="1" x14ac:dyDescent="0.2"/>
    <row r="922" ht="11.1" customHeight="1" x14ac:dyDescent="0.2"/>
    <row r="923" ht="11.1" customHeight="1" x14ac:dyDescent="0.2"/>
    <row r="924" ht="11.1" customHeight="1" x14ac:dyDescent="0.2"/>
    <row r="925" ht="11.1" customHeight="1" x14ac:dyDescent="0.2"/>
    <row r="926" ht="11.1" customHeight="1" x14ac:dyDescent="0.2"/>
    <row r="927" ht="11.1" customHeight="1" x14ac:dyDescent="0.2"/>
    <row r="928" ht="11.1" customHeight="1" x14ac:dyDescent="0.2"/>
    <row r="929" ht="11.1" customHeight="1" x14ac:dyDescent="0.2"/>
    <row r="930" ht="11.1" customHeight="1" x14ac:dyDescent="0.2"/>
    <row r="931" ht="11.1" customHeight="1" x14ac:dyDescent="0.2"/>
    <row r="932" ht="11.1" customHeight="1" x14ac:dyDescent="0.2"/>
    <row r="933" ht="11.1" customHeight="1" x14ac:dyDescent="0.2"/>
    <row r="934" ht="11.1" customHeight="1" x14ac:dyDescent="0.2"/>
    <row r="935" ht="11.1" customHeight="1" x14ac:dyDescent="0.2"/>
    <row r="936" ht="11.1" customHeight="1" x14ac:dyDescent="0.2"/>
    <row r="937" ht="11.1" customHeight="1" x14ac:dyDescent="0.2"/>
    <row r="938" ht="11.1" customHeight="1" x14ac:dyDescent="0.2"/>
    <row r="939" ht="11.1" customHeight="1" x14ac:dyDescent="0.2"/>
    <row r="940" ht="11.1" customHeight="1" x14ac:dyDescent="0.2"/>
    <row r="941" ht="11.1" customHeight="1" x14ac:dyDescent="0.2"/>
    <row r="942" ht="11.1" customHeight="1" x14ac:dyDescent="0.2"/>
    <row r="943" ht="11.1" customHeight="1" x14ac:dyDescent="0.2"/>
    <row r="944" ht="11.1" customHeight="1" x14ac:dyDescent="0.2"/>
    <row r="945" ht="11.1" customHeight="1" x14ac:dyDescent="0.2"/>
    <row r="946" ht="11.1" customHeight="1" x14ac:dyDescent="0.2"/>
    <row r="947" ht="11.1" customHeight="1" x14ac:dyDescent="0.2"/>
    <row r="948" ht="11.1" customHeight="1" x14ac:dyDescent="0.2"/>
    <row r="949" ht="11.1" customHeight="1" x14ac:dyDescent="0.2"/>
    <row r="950" ht="11.1" customHeight="1" x14ac:dyDescent="0.2"/>
    <row r="951" ht="11.1" customHeight="1" x14ac:dyDescent="0.2"/>
    <row r="952" ht="11.1" customHeight="1" x14ac:dyDescent="0.2"/>
    <row r="953" ht="11.1" customHeight="1" x14ac:dyDescent="0.2"/>
    <row r="954" ht="11.1" customHeight="1" x14ac:dyDescent="0.2"/>
    <row r="955" ht="11.1" customHeight="1" x14ac:dyDescent="0.2"/>
    <row r="956" ht="11.1" customHeight="1" x14ac:dyDescent="0.2"/>
    <row r="957" ht="11.1" customHeight="1" x14ac:dyDescent="0.2"/>
    <row r="958" ht="11.1" customHeight="1" x14ac:dyDescent="0.2"/>
    <row r="959" ht="11.1" customHeight="1" x14ac:dyDescent="0.2"/>
    <row r="960" ht="11.1" customHeight="1" x14ac:dyDescent="0.2"/>
    <row r="961" ht="11.1" customHeight="1" x14ac:dyDescent="0.2"/>
    <row r="962" ht="11.1" customHeight="1" x14ac:dyDescent="0.2"/>
    <row r="963" ht="11.1" customHeight="1" x14ac:dyDescent="0.2"/>
    <row r="964" ht="11.1" customHeight="1" x14ac:dyDescent="0.2"/>
    <row r="965" ht="11.1" customHeight="1" x14ac:dyDescent="0.2"/>
    <row r="966" ht="11.1" customHeight="1" x14ac:dyDescent="0.2"/>
    <row r="967" ht="11.1" customHeight="1" x14ac:dyDescent="0.2"/>
    <row r="968" ht="11.1" customHeight="1" x14ac:dyDescent="0.2"/>
    <row r="969" ht="11.1" customHeight="1" x14ac:dyDescent="0.2"/>
    <row r="970" ht="11.1" customHeight="1" x14ac:dyDescent="0.2"/>
    <row r="971" ht="11.1" customHeight="1" x14ac:dyDescent="0.2"/>
    <row r="972" ht="11.1" customHeight="1" x14ac:dyDescent="0.2"/>
    <row r="973" ht="11.1" customHeight="1" x14ac:dyDescent="0.2"/>
    <row r="974" ht="11.1" customHeight="1" x14ac:dyDescent="0.2"/>
    <row r="975" ht="11.1" customHeight="1" x14ac:dyDescent="0.2"/>
    <row r="976" ht="11.1" customHeight="1" x14ac:dyDescent="0.2"/>
    <row r="977" ht="11.1" customHeight="1" x14ac:dyDescent="0.2"/>
    <row r="978" ht="11.1" customHeight="1" x14ac:dyDescent="0.2"/>
    <row r="979" ht="11.1" customHeight="1" x14ac:dyDescent="0.2"/>
    <row r="980" ht="11.1" customHeight="1" x14ac:dyDescent="0.2"/>
    <row r="981" ht="11.1" customHeight="1" x14ac:dyDescent="0.2"/>
    <row r="982" ht="11.1" customHeight="1" x14ac:dyDescent="0.2"/>
    <row r="983" ht="11.1" customHeight="1" x14ac:dyDescent="0.2"/>
    <row r="984" ht="11.1" customHeight="1" x14ac:dyDescent="0.2"/>
    <row r="985" ht="11.1" customHeight="1" x14ac:dyDescent="0.2"/>
    <row r="986" ht="11.1" customHeight="1" x14ac:dyDescent="0.2"/>
    <row r="987" ht="11.1" customHeight="1" x14ac:dyDescent="0.2"/>
    <row r="988" ht="11.1" customHeight="1" x14ac:dyDescent="0.2"/>
    <row r="989" ht="11.1" customHeight="1" x14ac:dyDescent="0.2"/>
    <row r="990" ht="11.1" customHeight="1" x14ac:dyDescent="0.2"/>
    <row r="991" ht="11.1" customHeight="1" x14ac:dyDescent="0.2"/>
    <row r="992" ht="11.1" customHeight="1" x14ac:dyDescent="0.2"/>
    <row r="993" ht="11.1" customHeight="1" x14ac:dyDescent="0.2"/>
    <row r="994" ht="11.1" customHeight="1" x14ac:dyDescent="0.2"/>
    <row r="995" ht="11.1" customHeight="1" x14ac:dyDescent="0.2"/>
    <row r="996" ht="11.1" customHeight="1" x14ac:dyDescent="0.2"/>
    <row r="997" ht="11.1" customHeight="1" x14ac:dyDescent="0.2"/>
    <row r="998" ht="11.1" customHeight="1" x14ac:dyDescent="0.2"/>
    <row r="999" ht="11.1" customHeight="1" x14ac:dyDescent="0.2"/>
    <row r="1000" ht="11.1" customHeight="1" x14ac:dyDescent="0.2"/>
    <row r="1001" ht="11.1" customHeight="1" x14ac:dyDescent="0.2"/>
    <row r="1002" ht="11.1" customHeight="1" x14ac:dyDescent="0.2"/>
    <row r="1003" ht="11.1" customHeight="1" x14ac:dyDescent="0.2"/>
    <row r="1004" ht="11.1" customHeight="1" x14ac:dyDescent="0.2"/>
    <row r="1005" ht="11.1" customHeight="1" x14ac:dyDescent="0.2"/>
    <row r="1006" ht="11.1" customHeight="1" x14ac:dyDescent="0.2"/>
    <row r="1007" ht="11.1" customHeight="1" x14ac:dyDescent="0.2"/>
    <row r="1008" ht="11.1" customHeight="1" x14ac:dyDescent="0.2"/>
    <row r="1009" ht="11.1" customHeight="1" x14ac:dyDescent="0.2"/>
    <row r="1010" ht="11.1" customHeight="1" x14ac:dyDescent="0.2"/>
    <row r="1011" ht="11.1" customHeight="1" x14ac:dyDescent="0.2"/>
    <row r="1012" ht="11.1" customHeight="1" x14ac:dyDescent="0.2"/>
    <row r="1013" ht="11.1" customHeight="1" x14ac:dyDescent="0.2"/>
    <row r="1014" ht="11.1" customHeight="1" x14ac:dyDescent="0.2"/>
    <row r="1015" ht="11.1" customHeight="1" x14ac:dyDescent="0.2"/>
    <row r="1016" ht="11.1" customHeight="1" x14ac:dyDescent="0.2"/>
    <row r="1017" ht="11.1" customHeight="1" x14ac:dyDescent="0.2"/>
    <row r="1018" ht="11.1" customHeight="1" x14ac:dyDescent="0.2"/>
    <row r="1019" ht="11.1" customHeight="1" x14ac:dyDescent="0.2"/>
    <row r="1020" ht="11.1" customHeight="1" x14ac:dyDescent="0.2"/>
    <row r="1021" ht="11.1" customHeight="1" x14ac:dyDescent="0.2"/>
    <row r="1022" ht="11.1" customHeight="1" x14ac:dyDescent="0.2"/>
    <row r="1023" ht="11.1" customHeight="1" x14ac:dyDescent="0.2"/>
    <row r="1024" ht="11.1" customHeight="1" x14ac:dyDescent="0.2"/>
    <row r="1025" ht="11.1" customHeight="1" x14ac:dyDescent="0.2"/>
    <row r="1026" ht="11.1" customHeight="1" x14ac:dyDescent="0.2"/>
    <row r="1027" ht="11.1" customHeight="1" x14ac:dyDescent="0.2"/>
    <row r="1028" ht="11.1" customHeight="1" x14ac:dyDescent="0.2"/>
    <row r="1029" ht="11.1" customHeight="1" x14ac:dyDescent="0.2"/>
    <row r="1030" ht="11.1" customHeight="1" x14ac:dyDescent="0.2"/>
    <row r="1031" ht="11.1" customHeight="1" x14ac:dyDescent="0.2"/>
    <row r="1032" ht="11.1" customHeight="1" x14ac:dyDescent="0.2"/>
    <row r="1033" ht="11.1" customHeight="1" x14ac:dyDescent="0.2"/>
    <row r="1034" ht="11.1" customHeight="1" x14ac:dyDescent="0.2"/>
    <row r="1035" ht="11.1" customHeight="1" x14ac:dyDescent="0.2"/>
    <row r="1036" ht="11.1" customHeight="1" x14ac:dyDescent="0.2"/>
    <row r="1037" ht="11.1" customHeight="1" x14ac:dyDescent="0.2"/>
    <row r="1038" ht="11.1" customHeight="1" x14ac:dyDescent="0.2"/>
    <row r="1039" ht="11.1" customHeight="1" x14ac:dyDescent="0.2"/>
    <row r="1040" ht="11.1" customHeight="1" x14ac:dyDescent="0.2"/>
    <row r="1041" ht="11.1" customHeight="1" x14ac:dyDescent="0.2"/>
    <row r="1042" ht="11.1" customHeight="1" x14ac:dyDescent="0.2"/>
    <row r="1043" ht="11.1" customHeight="1" x14ac:dyDescent="0.2"/>
    <row r="1044" ht="11.1" customHeight="1" x14ac:dyDescent="0.2"/>
    <row r="1045" ht="11.1" customHeight="1" x14ac:dyDescent="0.2"/>
    <row r="1046" ht="11.1" customHeight="1" x14ac:dyDescent="0.2"/>
    <row r="1047" ht="11.1" customHeight="1" x14ac:dyDescent="0.2"/>
    <row r="1048" ht="11.1" customHeight="1" x14ac:dyDescent="0.2"/>
    <row r="1049" ht="11.1" customHeight="1" x14ac:dyDescent="0.2"/>
    <row r="1050" ht="11.1" customHeight="1" x14ac:dyDescent="0.2"/>
    <row r="1051" ht="11.1" customHeight="1" x14ac:dyDescent="0.2"/>
    <row r="1052" ht="11.1" customHeight="1" x14ac:dyDescent="0.2"/>
    <row r="1053" ht="11.1" customHeight="1" x14ac:dyDescent="0.2"/>
    <row r="1054" ht="11.1" customHeight="1" x14ac:dyDescent="0.2"/>
    <row r="1055" ht="11.1" customHeight="1" x14ac:dyDescent="0.2"/>
    <row r="1056" ht="11.1" customHeight="1" x14ac:dyDescent="0.2"/>
    <row r="1057" ht="11.1" customHeight="1" x14ac:dyDescent="0.2"/>
    <row r="1058" ht="11.1" customHeight="1" x14ac:dyDescent="0.2"/>
    <row r="1059" ht="11.1" customHeight="1" x14ac:dyDescent="0.2"/>
    <row r="1060" ht="11.1" customHeight="1" x14ac:dyDescent="0.2"/>
    <row r="1061" ht="11.1" customHeight="1" x14ac:dyDescent="0.2"/>
    <row r="1062" ht="11.1" customHeight="1" x14ac:dyDescent="0.2"/>
    <row r="1063" ht="11.1" customHeight="1" x14ac:dyDescent="0.2"/>
    <row r="1064" ht="11.1" customHeight="1" x14ac:dyDescent="0.2"/>
    <row r="1065" ht="11.1" customHeight="1" x14ac:dyDescent="0.2"/>
    <row r="1066" ht="11.1" customHeight="1" x14ac:dyDescent="0.2"/>
    <row r="1067" ht="11.1" customHeight="1" x14ac:dyDescent="0.2"/>
    <row r="1068" ht="11.1" customHeight="1" x14ac:dyDescent="0.2"/>
    <row r="1069" ht="11.1" customHeight="1" x14ac:dyDescent="0.2"/>
    <row r="1070" ht="11.1" customHeight="1" x14ac:dyDescent="0.2"/>
    <row r="1071" ht="11.1" customHeight="1" x14ac:dyDescent="0.2"/>
    <row r="1072" ht="11.1" customHeight="1" x14ac:dyDescent="0.2"/>
    <row r="1073" ht="11.1" customHeight="1" x14ac:dyDescent="0.2"/>
    <row r="1074" ht="11.1" customHeight="1" x14ac:dyDescent="0.2"/>
    <row r="1075" ht="11.1" customHeight="1" x14ac:dyDescent="0.2"/>
    <row r="1076" ht="11.1" customHeight="1" x14ac:dyDescent="0.2"/>
    <row r="1077" ht="11.1" customHeight="1" x14ac:dyDescent="0.2"/>
    <row r="1078" ht="11.1" customHeight="1" x14ac:dyDescent="0.2"/>
    <row r="1079" ht="11.1" customHeight="1" x14ac:dyDescent="0.2"/>
    <row r="1080" ht="11.1" customHeight="1" x14ac:dyDescent="0.2"/>
    <row r="1081" ht="11.1" customHeight="1" x14ac:dyDescent="0.2"/>
    <row r="1082" ht="11.1" customHeight="1" x14ac:dyDescent="0.2"/>
    <row r="1083" ht="11.1" customHeight="1" x14ac:dyDescent="0.2"/>
    <row r="1084" ht="11.1" customHeight="1" x14ac:dyDescent="0.2"/>
    <row r="1085" ht="11.1" customHeight="1" x14ac:dyDescent="0.2"/>
    <row r="1086" ht="11.1" customHeight="1" x14ac:dyDescent="0.2"/>
    <row r="1087" ht="11.1" customHeight="1" x14ac:dyDescent="0.2"/>
    <row r="1088" ht="11.1" customHeight="1" x14ac:dyDescent="0.2"/>
    <row r="1089" ht="11.1" customHeight="1" x14ac:dyDescent="0.2"/>
    <row r="1090" ht="11.1" customHeight="1" x14ac:dyDescent="0.2"/>
    <row r="1091" ht="11.1" customHeight="1" x14ac:dyDescent="0.2"/>
    <row r="1092" ht="11.1" customHeight="1" x14ac:dyDescent="0.2"/>
    <row r="1093" ht="11.1" customHeight="1" x14ac:dyDescent="0.2"/>
    <row r="1094" ht="11.1" customHeight="1" x14ac:dyDescent="0.2"/>
    <row r="1095" ht="11.1" customHeight="1" x14ac:dyDescent="0.2"/>
    <row r="1096" ht="11.1" customHeight="1" x14ac:dyDescent="0.2"/>
    <row r="1097" ht="11.1" customHeight="1" x14ac:dyDescent="0.2"/>
    <row r="1098" ht="11.1" customHeight="1" x14ac:dyDescent="0.2"/>
    <row r="1099" ht="11.1" customHeight="1" x14ac:dyDescent="0.2"/>
    <row r="1100" ht="11.1" customHeight="1" x14ac:dyDescent="0.2"/>
    <row r="1101" ht="11.1" customHeight="1" x14ac:dyDescent="0.2"/>
    <row r="1102" ht="11.1" customHeight="1" x14ac:dyDescent="0.2"/>
    <row r="1103" ht="11.1" customHeight="1" x14ac:dyDescent="0.2"/>
    <row r="1104" ht="11.1" customHeight="1" x14ac:dyDescent="0.2"/>
    <row r="1105" ht="11.1" customHeight="1" x14ac:dyDescent="0.2"/>
    <row r="1106" ht="11.1" customHeight="1" x14ac:dyDescent="0.2"/>
    <row r="1107" ht="11.1" customHeight="1" x14ac:dyDescent="0.2"/>
    <row r="1108" ht="11.1" customHeight="1" x14ac:dyDescent="0.2"/>
    <row r="1109" ht="11.1" customHeight="1" x14ac:dyDescent="0.2"/>
    <row r="1110" ht="11.1" customHeight="1" x14ac:dyDescent="0.2"/>
    <row r="1111" ht="11.1" customHeight="1" x14ac:dyDescent="0.2"/>
    <row r="1112" ht="11.1" customHeight="1" x14ac:dyDescent="0.2"/>
    <row r="1113" ht="11.1" customHeight="1" x14ac:dyDescent="0.2"/>
    <row r="1114" ht="11.1" customHeight="1" x14ac:dyDescent="0.2"/>
    <row r="1115" ht="11.1" customHeight="1" x14ac:dyDescent="0.2"/>
    <row r="1116" ht="11.1" customHeight="1" x14ac:dyDescent="0.2"/>
    <row r="1117" ht="11.1" customHeight="1" x14ac:dyDescent="0.2"/>
    <row r="1118" ht="11.1" customHeight="1" x14ac:dyDescent="0.2"/>
    <row r="1119" ht="11.1" customHeight="1" x14ac:dyDescent="0.2"/>
    <row r="1120" ht="11.1" customHeight="1" x14ac:dyDescent="0.2"/>
    <row r="1121" ht="11.1" customHeight="1" x14ac:dyDescent="0.2"/>
    <row r="1122" ht="11.1" customHeight="1" x14ac:dyDescent="0.2"/>
    <row r="1123" ht="11.1" customHeight="1" x14ac:dyDescent="0.2"/>
    <row r="1124" ht="11.1" customHeight="1" x14ac:dyDescent="0.2"/>
    <row r="1125" ht="11.1" customHeight="1" x14ac:dyDescent="0.2"/>
    <row r="1126" ht="11.1" customHeight="1" x14ac:dyDescent="0.2"/>
    <row r="1127" ht="11.1" customHeight="1" x14ac:dyDescent="0.2"/>
    <row r="1128" ht="11.1" customHeight="1" x14ac:dyDescent="0.2"/>
    <row r="1129" ht="11.1" customHeight="1" x14ac:dyDescent="0.2"/>
    <row r="1130" ht="11.1" customHeight="1" x14ac:dyDescent="0.2"/>
    <row r="1131" ht="11.1" customHeight="1" x14ac:dyDescent="0.2"/>
    <row r="1132" ht="11.1" customHeight="1" x14ac:dyDescent="0.2"/>
    <row r="1133" ht="11.1" customHeight="1" x14ac:dyDescent="0.2"/>
    <row r="1134" ht="11.1" customHeight="1" x14ac:dyDescent="0.2"/>
    <row r="1135" ht="11.1" customHeight="1" x14ac:dyDescent="0.2"/>
    <row r="1136" ht="11.1" customHeight="1" x14ac:dyDescent="0.2"/>
    <row r="1137" ht="11.1" customHeight="1" x14ac:dyDescent="0.2"/>
    <row r="1138" ht="11.1" customHeight="1" x14ac:dyDescent="0.2"/>
    <row r="1139" ht="11.1" customHeight="1" x14ac:dyDescent="0.2"/>
    <row r="1140" ht="11.1" customHeight="1" x14ac:dyDescent="0.2"/>
    <row r="1141" ht="11.1" customHeight="1" x14ac:dyDescent="0.2"/>
    <row r="1142" ht="11.1" customHeight="1" x14ac:dyDescent="0.2"/>
    <row r="1143" ht="11.1" customHeight="1" x14ac:dyDescent="0.2"/>
    <row r="1144" ht="11.1" customHeight="1" x14ac:dyDescent="0.2"/>
    <row r="1145" ht="11.1" customHeight="1" x14ac:dyDescent="0.2"/>
    <row r="1146" ht="11.1" customHeight="1" x14ac:dyDescent="0.2"/>
    <row r="1147" ht="11.1" customHeight="1" x14ac:dyDescent="0.2"/>
    <row r="1148" ht="11.1" customHeight="1" x14ac:dyDescent="0.2"/>
    <row r="1149" ht="11.1" customHeight="1" x14ac:dyDescent="0.2"/>
    <row r="1150" ht="11.1" customHeight="1" x14ac:dyDescent="0.2"/>
    <row r="1151" ht="11.1" customHeight="1" x14ac:dyDescent="0.2"/>
    <row r="1152" ht="11.1" customHeight="1" x14ac:dyDescent="0.2"/>
    <row r="1153" ht="11.1" customHeight="1" x14ac:dyDescent="0.2"/>
    <row r="1154" ht="11.1" customHeight="1" x14ac:dyDescent="0.2"/>
    <row r="1155" ht="11.1" customHeight="1" x14ac:dyDescent="0.2"/>
    <row r="1156" ht="11.1" customHeight="1" x14ac:dyDescent="0.2"/>
    <row r="1157" ht="11.1" customHeight="1" x14ac:dyDescent="0.2"/>
    <row r="1158" ht="11.1" customHeight="1" x14ac:dyDescent="0.2"/>
    <row r="1159" ht="11.1" customHeight="1" x14ac:dyDescent="0.2"/>
    <row r="1160" ht="11.1" customHeight="1" x14ac:dyDescent="0.2"/>
    <row r="1161" ht="11.1" customHeight="1" x14ac:dyDescent="0.2"/>
    <row r="1162" ht="11.1" customHeight="1" x14ac:dyDescent="0.2"/>
    <row r="1163" ht="11.1" customHeight="1" x14ac:dyDescent="0.2"/>
    <row r="1164" ht="11.1" customHeight="1" x14ac:dyDescent="0.2"/>
    <row r="1165" ht="11.1" customHeight="1" x14ac:dyDescent="0.2"/>
    <row r="1166" ht="11.1" customHeight="1" x14ac:dyDescent="0.2"/>
    <row r="1167" ht="11.1" customHeight="1" x14ac:dyDescent="0.2"/>
    <row r="1168" ht="11.1" customHeight="1" x14ac:dyDescent="0.2"/>
    <row r="1169" ht="11.1" customHeight="1" x14ac:dyDescent="0.2"/>
    <row r="1170" ht="11.1" customHeight="1" x14ac:dyDescent="0.2"/>
    <row r="1171" ht="11.1" customHeight="1" x14ac:dyDescent="0.2"/>
    <row r="1172" ht="11.1" customHeight="1" x14ac:dyDescent="0.2"/>
    <row r="1173" ht="11.1" customHeight="1" x14ac:dyDescent="0.2"/>
  </sheetData>
  <mergeCells count="4">
    <mergeCell ref="A2:J2"/>
    <mergeCell ref="K2:S2"/>
    <mergeCell ref="A3:A4"/>
    <mergeCell ref="T2:AB2"/>
  </mergeCells>
  <pageMargins left="0.7" right="0.7" top="0.75" bottom="0.75" header="0.3" footer="0.3"/>
  <pageSetup paperSize="9" scale="95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B31"/>
  <sheetViews>
    <sheetView workbookViewId="0">
      <pane xSplit="1" topLeftCell="B1" activePane="topRight" state="frozen"/>
      <selection pane="topRight" activeCell="F17" sqref="F17"/>
    </sheetView>
  </sheetViews>
  <sheetFormatPr defaultColWidth="9.140625" defaultRowHeight="12" x14ac:dyDescent="0.2"/>
  <cols>
    <col min="1" max="1" width="16.85546875" style="1" customWidth="1"/>
    <col min="2" max="25" width="9.140625" style="1"/>
    <col min="26" max="26" width="10.42578125" style="1" customWidth="1"/>
    <col min="27" max="27" width="9.140625" style="1"/>
    <col min="28" max="28" width="10.28515625" style="1" customWidth="1"/>
    <col min="29" max="16384" width="9.140625" style="1"/>
  </cols>
  <sheetData>
    <row r="1" spans="1:28" s="5" customFormat="1" ht="30" customHeight="1" thickBot="1" x14ac:dyDescent="0.25">
      <c r="A1" s="57" t="s">
        <v>107</v>
      </c>
      <c r="B1" s="58"/>
      <c r="C1" s="58"/>
      <c r="D1" s="58"/>
      <c r="E1" s="58"/>
      <c r="F1" s="58"/>
      <c r="G1" s="58"/>
      <c r="H1" s="58"/>
      <c r="I1" s="58"/>
      <c r="J1" s="58"/>
    </row>
    <row r="2" spans="1:28" s="5" customFormat="1" ht="11.1" customHeight="1" thickBot="1" x14ac:dyDescent="0.25">
      <c r="A2" s="245" t="s">
        <v>33</v>
      </c>
      <c r="B2" s="246"/>
      <c r="C2" s="246"/>
      <c r="D2" s="246"/>
      <c r="E2" s="246"/>
      <c r="F2" s="246"/>
      <c r="G2" s="246"/>
      <c r="H2" s="246"/>
      <c r="I2" s="246"/>
      <c r="J2" s="246"/>
      <c r="K2" s="235" t="s">
        <v>34</v>
      </c>
      <c r="L2" s="236"/>
      <c r="M2" s="236"/>
      <c r="N2" s="236"/>
      <c r="O2" s="236"/>
      <c r="P2" s="236"/>
      <c r="Q2" s="236"/>
      <c r="R2" s="236"/>
      <c r="S2" s="237"/>
      <c r="T2" s="247" t="s">
        <v>35</v>
      </c>
      <c r="U2" s="247"/>
      <c r="V2" s="247"/>
      <c r="W2" s="247"/>
      <c r="X2" s="247"/>
      <c r="Y2" s="247"/>
      <c r="Z2" s="247"/>
      <c r="AA2" s="247"/>
      <c r="AB2" s="247"/>
    </row>
    <row r="3" spans="1:28" s="5" customFormat="1" ht="17.25" customHeight="1" thickBot="1" x14ac:dyDescent="0.25">
      <c r="A3" s="245" t="s">
        <v>36</v>
      </c>
      <c r="B3" s="129"/>
      <c r="C3" s="129" t="s">
        <v>0</v>
      </c>
      <c r="D3" s="130"/>
      <c r="E3" s="112"/>
      <c r="F3" s="112" t="s">
        <v>1</v>
      </c>
      <c r="G3" s="131"/>
      <c r="H3" s="129"/>
      <c r="I3" s="129" t="s">
        <v>2</v>
      </c>
      <c r="J3" s="129"/>
      <c r="K3" s="88"/>
      <c r="L3" s="11" t="s">
        <v>0</v>
      </c>
      <c r="M3" s="12"/>
      <c r="N3" s="13"/>
      <c r="O3" s="13" t="s">
        <v>1</v>
      </c>
      <c r="P3" s="14"/>
      <c r="Q3" s="11"/>
      <c r="R3" s="11" t="s">
        <v>2</v>
      </c>
      <c r="S3" s="15"/>
      <c r="T3" s="129"/>
      <c r="U3" s="129" t="s">
        <v>0</v>
      </c>
      <c r="V3" s="130"/>
      <c r="W3" s="112"/>
      <c r="X3" s="112" t="s">
        <v>1</v>
      </c>
      <c r="Y3" s="113"/>
      <c r="Z3" s="248" t="s">
        <v>2</v>
      </c>
      <c r="AA3" s="248"/>
      <c r="AB3" s="248"/>
    </row>
    <row r="4" spans="1:28" s="5" customFormat="1" ht="12.75" customHeight="1" thickBot="1" x14ac:dyDescent="0.25">
      <c r="A4" s="244"/>
      <c r="B4" s="9" t="s">
        <v>0</v>
      </c>
      <c r="C4" s="10" t="s">
        <v>3</v>
      </c>
      <c r="D4" s="16" t="s">
        <v>4</v>
      </c>
      <c r="E4" s="17" t="s">
        <v>0</v>
      </c>
      <c r="F4" s="10" t="s">
        <v>3</v>
      </c>
      <c r="G4" s="16" t="s">
        <v>4</v>
      </c>
      <c r="H4" s="17" t="s">
        <v>0</v>
      </c>
      <c r="I4" s="10" t="s">
        <v>3</v>
      </c>
      <c r="J4" s="10" t="s">
        <v>4</v>
      </c>
      <c r="K4" s="124" t="s">
        <v>0</v>
      </c>
      <c r="L4" s="10" t="s">
        <v>3</v>
      </c>
      <c r="M4" s="10" t="s">
        <v>4</v>
      </c>
      <c r="N4" s="19" t="s">
        <v>0</v>
      </c>
      <c r="O4" s="20" t="s">
        <v>3</v>
      </c>
      <c r="P4" s="21" t="s">
        <v>4</v>
      </c>
      <c r="Q4" s="17" t="s">
        <v>0</v>
      </c>
      <c r="R4" s="10" t="s">
        <v>3</v>
      </c>
      <c r="S4" s="18" t="s">
        <v>4</v>
      </c>
      <c r="T4" s="206" t="s">
        <v>0</v>
      </c>
      <c r="U4" s="20" t="s">
        <v>3</v>
      </c>
      <c r="V4" s="20" t="s">
        <v>4</v>
      </c>
      <c r="W4" s="19" t="s">
        <v>0</v>
      </c>
      <c r="X4" s="20" t="s">
        <v>3</v>
      </c>
      <c r="Y4" s="107" t="s">
        <v>4</v>
      </c>
      <c r="Z4" s="106" t="s">
        <v>0</v>
      </c>
      <c r="AA4" s="20" t="s">
        <v>3</v>
      </c>
      <c r="AB4" s="20" t="s">
        <v>4</v>
      </c>
    </row>
    <row r="5" spans="1:28" s="5" customFormat="1" ht="16.5" customHeight="1" thickBot="1" x14ac:dyDescent="0.25">
      <c r="A5" s="22" t="s">
        <v>69</v>
      </c>
      <c r="B5" s="30">
        <v>227035.83897328444</v>
      </c>
      <c r="C5" s="23">
        <v>114018.43083674666</v>
      </c>
      <c r="D5" s="24">
        <v>113017.40813682244</v>
      </c>
      <c r="E5" s="27">
        <v>185615.90558699137</v>
      </c>
      <c r="F5" s="28">
        <v>92519.274603258324</v>
      </c>
      <c r="G5" s="29">
        <v>93096.630983843701</v>
      </c>
      <c r="H5" s="27">
        <v>41419.933386415032</v>
      </c>
      <c r="I5" s="28">
        <v>21499.156233463058</v>
      </c>
      <c r="J5" s="28">
        <v>19920.777152952949</v>
      </c>
      <c r="K5" s="133">
        <v>234694.16058372264</v>
      </c>
      <c r="L5" s="28">
        <v>117864.47477759821</v>
      </c>
      <c r="M5" s="29">
        <v>116829.68580619544</v>
      </c>
      <c r="N5" s="27">
        <v>191877.05936524403</v>
      </c>
      <c r="O5" s="28">
        <v>95640.113864855652</v>
      </c>
      <c r="P5" s="29">
        <v>96236.945500392845</v>
      </c>
      <c r="Q5" s="28">
        <v>42817.101218510143</v>
      </c>
      <c r="R5" s="28">
        <v>22224.360912720978</v>
      </c>
      <c r="S5" s="132">
        <v>20592.740305781143</v>
      </c>
      <c r="T5" s="23">
        <v>242587.46007195776</v>
      </c>
      <c r="U5" s="23">
        <v>121828.52567744641</v>
      </c>
      <c r="V5" s="29">
        <v>120758.93439465111</v>
      </c>
      <c r="W5" s="151">
        <v>198330.32215935932</v>
      </c>
      <c r="X5" s="151">
        <v>98856.708857894104</v>
      </c>
      <c r="Y5" s="152">
        <v>99473.613301513018</v>
      </c>
      <c r="Z5" s="28">
        <v>44257.137912648664</v>
      </c>
      <c r="AA5" s="28">
        <v>22971.81681953834</v>
      </c>
      <c r="AB5" s="28">
        <v>21285.321093122704</v>
      </c>
    </row>
    <row r="6" spans="1:28" s="5" customFormat="1" ht="12" customHeight="1" x14ac:dyDescent="0.2">
      <c r="A6" s="31" t="s">
        <v>5</v>
      </c>
      <c r="B6" s="32">
        <v>31949.786903239277</v>
      </c>
      <c r="C6" s="32">
        <v>15959.97378545744</v>
      </c>
      <c r="D6" s="33">
        <v>15989.813117766435</v>
      </c>
      <c r="E6" s="35">
        <v>25878.839111637441</v>
      </c>
      <c r="F6" s="32">
        <v>12870.246558189692</v>
      </c>
      <c r="G6" s="33">
        <v>13008.592553440487</v>
      </c>
      <c r="H6" s="32">
        <v>6070.947791597745</v>
      </c>
      <c r="I6" s="32">
        <v>3089.7272272697987</v>
      </c>
      <c r="J6" s="32">
        <v>2981.2205643279262</v>
      </c>
      <c r="K6" s="125">
        <v>33027.509894408482</v>
      </c>
      <c r="L6" s="32">
        <v>16498.332014241183</v>
      </c>
      <c r="M6" s="32">
        <v>16529.177880163967</v>
      </c>
      <c r="N6" s="35">
        <v>26751.778263937373</v>
      </c>
      <c r="O6" s="32">
        <v>13304.382806418413</v>
      </c>
      <c r="P6" s="33">
        <v>13447.395457514955</v>
      </c>
      <c r="Q6" s="32">
        <v>6275.7316304690194</v>
      </c>
      <c r="R6" s="32">
        <v>3193.949207821714</v>
      </c>
      <c r="S6" s="34">
        <v>3081.782422647992</v>
      </c>
      <c r="T6" s="32">
        <v>34138.30032183756</v>
      </c>
      <c r="U6" s="32">
        <v>17053.208519574971</v>
      </c>
      <c r="V6" s="32">
        <v>17085.091802266445</v>
      </c>
      <c r="W6" s="35">
        <v>27651.501534245112</v>
      </c>
      <c r="X6" s="32">
        <v>13751.839520885162</v>
      </c>
      <c r="Y6" s="34">
        <v>13899.66201336381</v>
      </c>
      <c r="Z6" s="32">
        <v>6486.7987875952349</v>
      </c>
      <c r="AA6" s="32">
        <v>3301.3689986908507</v>
      </c>
      <c r="AB6" s="32">
        <v>3185.4297889036393</v>
      </c>
    </row>
    <row r="7" spans="1:28" s="5" customFormat="1" ht="12" customHeight="1" x14ac:dyDescent="0.2">
      <c r="A7" s="31" t="s">
        <v>6</v>
      </c>
      <c r="B7" s="32">
        <v>27938.36681715642</v>
      </c>
      <c r="C7" s="32">
        <v>14022.510831265932</v>
      </c>
      <c r="D7" s="33">
        <v>13915.855985874616</v>
      </c>
      <c r="E7" s="35">
        <v>22792.920861441322</v>
      </c>
      <c r="F7" s="32">
        <v>11399.061768408794</v>
      </c>
      <c r="G7" s="33">
        <v>11393.859093023852</v>
      </c>
      <c r="H7" s="32">
        <v>5145.4459557081882</v>
      </c>
      <c r="I7" s="32">
        <v>2623.4490628574235</v>
      </c>
      <c r="J7" s="32">
        <v>2521.9968928510493</v>
      </c>
      <c r="K7" s="125">
        <v>28880.777492551952</v>
      </c>
      <c r="L7" s="32">
        <v>14495.514997536284</v>
      </c>
      <c r="M7" s="32">
        <v>14385.262495004281</v>
      </c>
      <c r="N7" s="35">
        <v>23561.766516732521</v>
      </c>
      <c r="O7" s="32">
        <v>11783.572343791775</v>
      </c>
      <c r="P7" s="33">
        <v>11778.194172936555</v>
      </c>
      <c r="Q7" s="32">
        <v>5319.0109758158114</v>
      </c>
      <c r="R7" s="32">
        <v>2711.9426537463228</v>
      </c>
      <c r="S7" s="34">
        <v>2607.0683220694686</v>
      </c>
      <c r="T7" s="32">
        <v>29852.10385892275</v>
      </c>
      <c r="U7" s="32">
        <v>14983.032202189564</v>
      </c>
      <c r="V7" s="32">
        <v>14869.071656731847</v>
      </c>
      <c r="W7" s="35">
        <v>24354.202421962615</v>
      </c>
      <c r="X7" s="32">
        <v>12179.880736479607</v>
      </c>
      <c r="Y7" s="34">
        <v>12174.321685481669</v>
      </c>
      <c r="Z7" s="32">
        <v>5497.9014369587958</v>
      </c>
      <c r="AA7" s="32">
        <v>2803.1514657090411</v>
      </c>
      <c r="AB7" s="32">
        <v>2694.7499712492963</v>
      </c>
    </row>
    <row r="8" spans="1:28" s="5" customFormat="1" ht="12" customHeight="1" x14ac:dyDescent="0.2">
      <c r="A8" s="31" t="s">
        <v>7</v>
      </c>
      <c r="B8" s="32">
        <v>26646.802652842696</v>
      </c>
      <c r="C8" s="32">
        <v>13261.619556218126</v>
      </c>
      <c r="D8" s="33">
        <v>13385.183096610504</v>
      </c>
      <c r="E8" s="35">
        <v>22150.390451400053</v>
      </c>
      <c r="F8" s="32">
        <v>10838.473495681264</v>
      </c>
      <c r="G8" s="33">
        <v>11311.916955711011</v>
      </c>
      <c r="H8" s="32">
        <v>4496.4122014366403</v>
      </c>
      <c r="I8" s="32">
        <v>2423.1460605371462</v>
      </c>
      <c r="J8" s="32">
        <v>2073.2661408997787</v>
      </c>
      <c r="K8" s="125">
        <v>27545.646577741867</v>
      </c>
      <c r="L8" s="32">
        <v>13708.95750996041</v>
      </c>
      <c r="M8" s="32">
        <v>13836.689067771877</v>
      </c>
      <c r="N8" s="35">
        <v>22897.562416111996</v>
      </c>
      <c r="O8" s="32">
        <v>11204.074434141858</v>
      </c>
      <c r="P8" s="33">
        <v>11693.487981966846</v>
      </c>
      <c r="Q8" s="32">
        <v>4648.0841616267062</v>
      </c>
      <c r="R8" s="32">
        <v>2504.8830758202262</v>
      </c>
      <c r="S8" s="34">
        <v>2143.20108580646</v>
      </c>
      <c r="T8" s="32">
        <v>28472.069448684779</v>
      </c>
      <c r="U8" s="32">
        <v>14170.020993741213</v>
      </c>
      <c r="V8" s="32">
        <v>14302.048454942227</v>
      </c>
      <c r="W8" s="35">
        <v>23667.65962371734</v>
      </c>
      <c r="X8" s="32">
        <v>11580.892991451847</v>
      </c>
      <c r="Y8" s="34">
        <v>12086.766632264154</v>
      </c>
      <c r="Z8" s="32">
        <v>4804.4098249660992</v>
      </c>
      <c r="AA8" s="32">
        <v>2589.1280022885194</v>
      </c>
      <c r="AB8" s="32">
        <v>2215.2818226773484</v>
      </c>
    </row>
    <row r="9" spans="1:28" s="5" customFormat="1" ht="12" customHeight="1" x14ac:dyDescent="0.2">
      <c r="A9" s="31" t="s">
        <v>8</v>
      </c>
      <c r="B9" s="32">
        <v>25198.865764916216</v>
      </c>
      <c r="C9" s="32">
        <v>12593.251639831802</v>
      </c>
      <c r="D9" s="33">
        <v>12605.614125080332</v>
      </c>
      <c r="E9" s="35">
        <v>21186.552497032204</v>
      </c>
      <c r="F9" s="32">
        <v>10413.333407674347</v>
      </c>
      <c r="G9" s="33">
        <v>10773.219089353775</v>
      </c>
      <c r="H9" s="32">
        <v>4012.3132678826678</v>
      </c>
      <c r="I9" s="32">
        <v>2179.9182321567177</v>
      </c>
      <c r="J9" s="32">
        <v>1832.3950357259341</v>
      </c>
      <c r="K9" s="125">
        <v>26048.86820994459</v>
      </c>
      <c r="L9" s="32">
        <v>13018.044358072879</v>
      </c>
      <c r="M9" s="32">
        <v>13030.823851879892</v>
      </c>
      <c r="N9" s="35">
        <v>21901.212497696069</v>
      </c>
      <c r="O9" s="32">
        <v>10764.593616769615</v>
      </c>
      <c r="P9" s="33">
        <v>11136.618880929322</v>
      </c>
      <c r="Q9" s="32">
        <v>4147.6557122522227</v>
      </c>
      <c r="R9" s="32">
        <v>2253.4507413022761</v>
      </c>
      <c r="S9" s="34">
        <v>1894.2049709497217</v>
      </c>
      <c r="T9" s="32">
        <v>26924.951013227681</v>
      </c>
      <c r="U9" s="32">
        <v>13455.870857959106</v>
      </c>
      <c r="V9" s="32">
        <v>13469.080155267313</v>
      </c>
      <c r="W9" s="35">
        <v>22637.800186863999</v>
      </c>
      <c r="X9" s="32">
        <v>11126.631432611908</v>
      </c>
      <c r="Y9" s="34">
        <v>11511.168754250828</v>
      </c>
      <c r="Z9" s="32">
        <v>4287.1508263624182</v>
      </c>
      <c r="AA9" s="32">
        <v>2329.2394253464809</v>
      </c>
      <c r="AB9" s="32">
        <v>1957.911401015883</v>
      </c>
    </row>
    <row r="10" spans="1:28" s="5" customFormat="1" ht="12" customHeight="1" x14ac:dyDescent="0.2">
      <c r="A10" s="31" t="s">
        <v>9</v>
      </c>
      <c r="B10" s="32">
        <v>21458.436527804068</v>
      </c>
      <c r="C10" s="32">
        <v>10278.958414066556</v>
      </c>
      <c r="D10" s="33">
        <v>11179.478113742285</v>
      </c>
      <c r="E10" s="35">
        <v>18068.157592676198</v>
      </c>
      <c r="F10" s="32">
        <v>8446.8155382460336</v>
      </c>
      <c r="G10" s="33">
        <v>9621.3420544349374</v>
      </c>
      <c r="H10" s="32">
        <v>3390.2789351296974</v>
      </c>
      <c r="I10" s="32">
        <v>1832.1428758214258</v>
      </c>
      <c r="J10" s="32">
        <v>1558.1360593081254</v>
      </c>
      <c r="K10" s="125">
        <v>22182.267659157893</v>
      </c>
      <c r="L10" s="32">
        <v>10625.685916244998</v>
      </c>
      <c r="M10" s="32">
        <v>11556.581742913128</v>
      </c>
      <c r="N10" s="35">
        <v>18677.62860119186</v>
      </c>
      <c r="O10" s="32">
        <v>8731.7416110007944</v>
      </c>
      <c r="P10" s="33">
        <v>9945.8869901912985</v>
      </c>
      <c r="Q10" s="32">
        <v>3504.6390579662648</v>
      </c>
      <c r="R10" s="32">
        <v>1893.9443052444128</v>
      </c>
      <c r="S10" s="34">
        <v>1610.6947527219959</v>
      </c>
      <c r="T10" s="32">
        <v>22928.307873930302</v>
      </c>
      <c r="U10" s="32">
        <v>10983.051949549104</v>
      </c>
      <c r="V10" s="32">
        <v>11945.255924380022</v>
      </c>
      <c r="W10" s="35">
        <v>19305.799817371138</v>
      </c>
      <c r="X10" s="32">
        <v>9025.4099810197531</v>
      </c>
      <c r="Y10" s="34">
        <v>10280.38983635021</v>
      </c>
      <c r="Z10" s="32">
        <v>3622.5080565581238</v>
      </c>
      <c r="AA10" s="32">
        <v>1957.6419685287899</v>
      </c>
      <c r="AB10" s="32">
        <v>1664.8660880293348</v>
      </c>
    </row>
    <row r="11" spans="1:28" s="5" customFormat="1" ht="12" customHeight="1" x14ac:dyDescent="0.2">
      <c r="A11" s="36" t="s">
        <v>10</v>
      </c>
      <c r="B11" s="32">
        <v>18245.891743927987</v>
      </c>
      <c r="C11" s="32">
        <v>9159.2332611802867</v>
      </c>
      <c r="D11" s="33">
        <v>9086.658482752473</v>
      </c>
      <c r="E11" s="40">
        <v>15742.80244713196</v>
      </c>
      <c r="F11" s="37">
        <v>7771.4257634889791</v>
      </c>
      <c r="G11" s="38">
        <v>7971.3766836473642</v>
      </c>
      <c r="H11" s="37">
        <v>2503.0892967973073</v>
      </c>
      <c r="I11" s="37">
        <v>1387.8074976917494</v>
      </c>
      <c r="J11" s="37">
        <v>1115.2817991055479</v>
      </c>
      <c r="K11" s="125">
        <v>18861.358040665833</v>
      </c>
      <c r="L11" s="32">
        <v>9468.190447558969</v>
      </c>
      <c r="M11" s="32">
        <v>9393.1675931070968</v>
      </c>
      <c r="N11" s="40">
        <v>16273.835101407381</v>
      </c>
      <c r="O11" s="37">
        <v>8033.5697409996965</v>
      </c>
      <c r="P11" s="38">
        <v>8240.2653604079169</v>
      </c>
      <c r="Q11" s="37">
        <v>2587.5229392586834</v>
      </c>
      <c r="R11" s="37">
        <v>1434.6207065594124</v>
      </c>
      <c r="S11" s="39">
        <v>1152.9022326992788</v>
      </c>
      <c r="T11" s="32">
        <v>19495.708496614083</v>
      </c>
      <c r="U11" s="32">
        <v>9786.627270318555</v>
      </c>
      <c r="V11" s="32">
        <v>9709.0812262943527</v>
      </c>
      <c r="W11" s="40">
        <v>16821.161263942617</v>
      </c>
      <c r="X11" s="37">
        <v>8303.7569998965646</v>
      </c>
      <c r="Y11" s="39">
        <v>8517.404264044877</v>
      </c>
      <c r="Z11" s="32">
        <v>2674.547232670699</v>
      </c>
      <c r="AA11" s="32">
        <v>1482.8702704215655</v>
      </c>
      <c r="AB11" s="32">
        <v>1191.6769622491345</v>
      </c>
    </row>
    <row r="12" spans="1:28" s="5" customFormat="1" ht="12" customHeight="1" x14ac:dyDescent="0.2">
      <c r="A12" s="36" t="s">
        <v>11</v>
      </c>
      <c r="B12" s="37">
        <v>14256.268215425329</v>
      </c>
      <c r="C12" s="37">
        <v>7385.8136088740484</v>
      </c>
      <c r="D12" s="38">
        <v>6870.4546065509694</v>
      </c>
      <c r="E12" s="35">
        <v>12259.252081423398</v>
      </c>
      <c r="F12" s="32">
        <v>6305.6570952841066</v>
      </c>
      <c r="G12" s="33">
        <v>5953.5949861389799</v>
      </c>
      <c r="H12" s="32">
        <v>1997.0161340016284</v>
      </c>
      <c r="I12" s="32">
        <v>1080.1565135897781</v>
      </c>
      <c r="J12" s="32">
        <v>916.85962041185041</v>
      </c>
      <c r="K12" s="126">
        <v>14737.157432951994</v>
      </c>
      <c r="L12" s="37">
        <v>7634.9502043346038</v>
      </c>
      <c r="M12" s="37">
        <v>7102.2072286162474</v>
      </c>
      <c r="N12" s="35">
        <v>12672.778402043363</v>
      </c>
      <c r="O12" s="32">
        <v>6518.3580953435139</v>
      </c>
      <c r="P12" s="33">
        <v>6154.4203066987066</v>
      </c>
      <c r="Q12" s="32">
        <v>2064.379030908085</v>
      </c>
      <c r="R12" s="32">
        <v>1116.5921089908222</v>
      </c>
      <c r="S12" s="34">
        <v>947.78692191731716</v>
      </c>
      <c r="T12" s="37">
        <v>15232.801623400104</v>
      </c>
      <c r="U12" s="37">
        <v>7891.7309797568851</v>
      </c>
      <c r="V12" s="37">
        <v>7341.0706436440923</v>
      </c>
      <c r="W12" s="35">
        <v>13098.992820963033</v>
      </c>
      <c r="X12" s="32">
        <v>6737.5853334274561</v>
      </c>
      <c r="Y12" s="34">
        <v>6361.4074875364495</v>
      </c>
      <c r="Z12" s="32">
        <v>2133.8088024373874</v>
      </c>
      <c r="AA12" s="32">
        <v>1154.1456463295931</v>
      </c>
      <c r="AB12" s="32">
        <v>979.66315610778213</v>
      </c>
    </row>
    <row r="13" spans="1:28" s="5" customFormat="1" ht="12" customHeight="1" x14ac:dyDescent="0.2">
      <c r="A13" s="36" t="s">
        <v>12</v>
      </c>
      <c r="B13" s="37">
        <v>11520.670720535962</v>
      </c>
      <c r="C13" s="37">
        <v>5821.75896228889</v>
      </c>
      <c r="D13" s="38">
        <v>5698.9117582467607</v>
      </c>
      <c r="E13" s="40">
        <v>9559.6098657658731</v>
      </c>
      <c r="F13" s="37">
        <v>4853.9626962984566</v>
      </c>
      <c r="G13" s="38">
        <v>4705.6471694671054</v>
      </c>
      <c r="H13" s="37">
        <v>1961.0608547697911</v>
      </c>
      <c r="I13" s="37">
        <v>967.79626599028654</v>
      </c>
      <c r="J13" s="37">
        <v>993.26458877950461</v>
      </c>
      <c r="K13" s="126">
        <v>11909.283381609788</v>
      </c>
      <c r="L13" s="37">
        <v>6018.137219887034</v>
      </c>
      <c r="M13" s="37">
        <v>5891.1461617216119</v>
      </c>
      <c r="N13" s="40">
        <v>9882.0724652861591</v>
      </c>
      <c r="O13" s="37">
        <v>5017.6954689740742</v>
      </c>
      <c r="P13" s="38">
        <v>4864.3769963109426</v>
      </c>
      <c r="Q13" s="37">
        <v>2027.2109163230941</v>
      </c>
      <c r="R13" s="37">
        <v>1000.4417509127245</v>
      </c>
      <c r="S13" s="39">
        <v>1026.7691654104281</v>
      </c>
      <c r="T13" s="37">
        <v>12309.819722987431</v>
      </c>
      <c r="U13" s="37">
        <v>6220.5408899262002</v>
      </c>
      <c r="V13" s="37">
        <v>6089.2788330621042</v>
      </c>
      <c r="W13" s="40">
        <v>10214.429083534973</v>
      </c>
      <c r="X13" s="37">
        <v>5186.4520029236883</v>
      </c>
      <c r="Y13" s="39">
        <v>5027.9770806121578</v>
      </c>
      <c r="Z13" s="32">
        <v>2095.390639452763</v>
      </c>
      <c r="AA13" s="32">
        <v>1034.088887002659</v>
      </c>
      <c r="AB13" s="32">
        <v>1061.3017524500974</v>
      </c>
    </row>
    <row r="14" spans="1:28" s="5" customFormat="1" ht="12" customHeight="1" x14ac:dyDescent="0.2">
      <c r="A14" s="36" t="s">
        <v>13</v>
      </c>
      <c r="B14" s="37">
        <v>9892.1961986604183</v>
      </c>
      <c r="C14" s="37">
        <v>5071.1925083241731</v>
      </c>
      <c r="D14" s="38">
        <v>4821.0036903359342</v>
      </c>
      <c r="E14" s="40">
        <v>7902.6707478317876</v>
      </c>
      <c r="F14" s="37">
        <v>4052.4595967552964</v>
      </c>
      <c r="G14" s="38">
        <v>3850.2111510761811</v>
      </c>
      <c r="H14" s="37">
        <v>1989.525450828329</v>
      </c>
      <c r="I14" s="37">
        <v>1018.7329115687227</v>
      </c>
      <c r="J14" s="37">
        <v>970.79253925960631</v>
      </c>
      <c r="K14" s="126">
        <v>10225.877525197424</v>
      </c>
      <c r="L14" s="37">
        <v>5242.2528279251255</v>
      </c>
      <c r="M14" s="37">
        <v>4983.624697271156</v>
      </c>
      <c r="N14" s="40">
        <v>8169.2418514940018</v>
      </c>
      <c r="O14" s="37">
        <v>4189.1562480167468</v>
      </c>
      <c r="P14" s="38">
        <v>3980.0856034761468</v>
      </c>
      <c r="Q14" s="37">
        <v>2056.6356737028786</v>
      </c>
      <c r="R14" s="37">
        <v>1053.0965799081298</v>
      </c>
      <c r="S14" s="39">
        <v>1003.5390937948073</v>
      </c>
      <c r="T14" s="37">
        <v>10569.797091142647</v>
      </c>
      <c r="U14" s="37">
        <v>5418.5617376223945</v>
      </c>
      <c r="V14" s="37">
        <v>5151.2353535211259</v>
      </c>
      <c r="W14" s="40">
        <v>8443.9920726607033</v>
      </c>
      <c r="X14" s="37">
        <v>4330.0471197250135</v>
      </c>
      <c r="Y14" s="39">
        <v>4113.9449529365629</v>
      </c>
      <c r="Z14" s="32">
        <v>2125.8050184822573</v>
      </c>
      <c r="AA14" s="32">
        <v>1088.5146178975358</v>
      </c>
      <c r="AB14" s="32">
        <v>1037.2904005847106</v>
      </c>
    </row>
    <row r="15" spans="1:28" s="5" customFormat="1" ht="12" customHeight="1" x14ac:dyDescent="0.2">
      <c r="A15" s="36" t="s">
        <v>14</v>
      </c>
      <c r="B15" s="37">
        <v>8437.7705889547105</v>
      </c>
      <c r="C15" s="37">
        <v>4438.9442106810848</v>
      </c>
      <c r="D15" s="38">
        <v>3998.8263782739255</v>
      </c>
      <c r="E15" s="40">
        <v>6484.1122239790375</v>
      </c>
      <c r="F15" s="37">
        <v>3483.1767726483763</v>
      </c>
      <c r="G15" s="38">
        <v>3000.9354513309613</v>
      </c>
      <c r="H15" s="37">
        <v>1953.658364975958</v>
      </c>
      <c r="I15" s="37">
        <v>955.76743803283762</v>
      </c>
      <c r="J15" s="37">
        <v>997.89092694310034</v>
      </c>
      <c r="K15" s="126">
        <v>8722.3915595268772</v>
      </c>
      <c r="L15" s="37">
        <v>4588.6776735945768</v>
      </c>
      <c r="M15" s="37">
        <v>4133.7138859311235</v>
      </c>
      <c r="N15" s="40">
        <v>6702.8328321098979</v>
      </c>
      <c r="O15" s="37">
        <v>3600.670504345379</v>
      </c>
      <c r="P15" s="38">
        <v>3102.1623277637923</v>
      </c>
      <c r="Q15" s="37">
        <v>2019.5587274164307</v>
      </c>
      <c r="R15" s="37">
        <v>988.00716924910853</v>
      </c>
      <c r="S15" s="39">
        <v>1031.5515581673824</v>
      </c>
      <c r="T15" s="37">
        <v>9015.7454660035219</v>
      </c>
      <c r="U15" s="37">
        <v>4743.0053613542086</v>
      </c>
      <c r="V15" s="37">
        <v>4272.7401046492532</v>
      </c>
      <c r="W15" s="40">
        <v>6928.2643760095789</v>
      </c>
      <c r="X15" s="37">
        <v>3721.7692593348665</v>
      </c>
      <c r="Y15" s="39">
        <v>3206.4951166746514</v>
      </c>
      <c r="Z15" s="32">
        <v>2087.481089993883</v>
      </c>
      <c r="AA15" s="32">
        <v>1021.2361020192816</v>
      </c>
      <c r="AB15" s="32">
        <v>1066.2449879745411</v>
      </c>
    </row>
    <row r="16" spans="1:28" s="5" customFormat="1" ht="12" customHeight="1" x14ac:dyDescent="0.2">
      <c r="A16" s="36" t="s">
        <v>15</v>
      </c>
      <c r="B16" s="37">
        <v>7268.4806381700137</v>
      </c>
      <c r="C16" s="37">
        <v>3827.4273544321936</v>
      </c>
      <c r="D16" s="38">
        <v>3441.0532837381202</v>
      </c>
      <c r="E16" s="40">
        <v>5477.5060924339514</v>
      </c>
      <c r="F16" s="37">
        <v>2983.5050421267174</v>
      </c>
      <c r="G16" s="38">
        <v>2494.0010503075341</v>
      </c>
      <c r="H16" s="37">
        <v>1790.9745457363226</v>
      </c>
      <c r="I16" s="37">
        <v>843.92231230558832</v>
      </c>
      <c r="J16" s="37">
        <v>947.0522334307143</v>
      </c>
      <c r="K16" s="126">
        <v>7513.6593843813989</v>
      </c>
      <c r="L16" s="37">
        <v>3956.5332689533188</v>
      </c>
      <c r="M16" s="37">
        <v>3557.1261154271078</v>
      </c>
      <c r="N16" s="40">
        <v>5662.2720900281383</v>
      </c>
      <c r="O16" s="37">
        <v>3084.1439599355422</v>
      </c>
      <c r="P16" s="38">
        <v>2578.1281300921846</v>
      </c>
      <c r="Q16" s="37">
        <v>1851.3872943527629</v>
      </c>
      <c r="R16" s="37">
        <v>872.38930901782817</v>
      </c>
      <c r="S16" s="39">
        <v>978.99798533498279</v>
      </c>
      <c r="T16" s="37">
        <v>7766.3608731075192</v>
      </c>
      <c r="U16" s="37">
        <v>4089.6004997278515</v>
      </c>
      <c r="V16" s="37">
        <v>3676.7603733796068</v>
      </c>
      <c r="W16" s="40">
        <v>5852.7072047338888</v>
      </c>
      <c r="X16" s="37">
        <v>3187.8707500724749</v>
      </c>
      <c r="Y16" s="39">
        <v>2664.8364546613529</v>
      </c>
      <c r="Z16" s="32">
        <v>1913.6536683735696</v>
      </c>
      <c r="AA16" s="32">
        <v>901.72974965532478</v>
      </c>
      <c r="AB16" s="32">
        <v>1011.923918718194</v>
      </c>
    </row>
    <row r="17" spans="1:80" s="5" customFormat="1" ht="12" customHeight="1" x14ac:dyDescent="0.2">
      <c r="A17" s="36" t="s">
        <v>16</v>
      </c>
      <c r="B17" s="37">
        <v>5584.9936158601222</v>
      </c>
      <c r="C17" s="37">
        <v>2855.6820412955954</v>
      </c>
      <c r="D17" s="38">
        <v>2729.311574564827</v>
      </c>
      <c r="E17" s="40">
        <v>4061.2853445891328</v>
      </c>
      <c r="F17" s="37">
        <v>2125.0573888177046</v>
      </c>
      <c r="G17" s="38">
        <v>1936.2279557717113</v>
      </c>
      <c r="H17" s="37">
        <v>1523.7082712712074</v>
      </c>
      <c r="I17" s="37">
        <v>730.62465247798514</v>
      </c>
      <c r="J17" s="37">
        <v>793.08361879320228</v>
      </c>
      <c r="K17" s="126">
        <v>5773.3853583023811</v>
      </c>
      <c r="L17" s="37">
        <v>2952.0092625283746</v>
      </c>
      <c r="M17" s="37">
        <v>2821.3760957735612</v>
      </c>
      <c r="N17" s="40">
        <v>4198.2797039823727</v>
      </c>
      <c r="O17" s="37">
        <v>2196.7393443942237</v>
      </c>
      <c r="P17" s="38">
        <v>2001.5403595881805</v>
      </c>
      <c r="Q17" s="37">
        <v>1575.1056543195944</v>
      </c>
      <c r="R17" s="37">
        <v>755.26991813419352</v>
      </c>
      <c r="S17" s="39">
        <v>819.835736185428</v>
      </c>
      <c r="T17" s="37">
        <v>5967.5574654473103</v>
      </c>
      <c r="U17" s="37">
        <v>3051.2920616565143</v>
      </c>
      <c r="V17" s="37">
        <v>2916.265403790735</v>
      </c>
      <c r="W17" s="40">
        <v>4339.4774183070522</v>
      </c>
      <c r="X17" s="37">
        <v>2270.6206949152847</v>
      </c>
      <c r="Y17" s="39">
        <v>2068.8567233917065</v>
      </c>
      <c r="Z17" s="32">
        <v>1628.0800471401974</v>
      </c>
      <c r="AA17" s="32">
        <v>780.67136674118672</v>
      </c>
      <c r="AB17" s="32">
        <v>847.40868039898078</v>
      </c>
    </row>
    <row r="18" spans="1:80" s="5" customFormat="1" ht="12" customHeight="1" x14ac:dyDescent="0.2">
      <c r="A18" s="36" t="s">
        <v>17</v>
      </c>
      <c r="B18" s="37">
        <v>5073.701612535634</v>
      </c>
      <c r="C18" s="37">
        <v>2631.9917898411318</v>
      </c>
      <c r="D18" s="38">
        <v>2441.7098226948024</v>
      </c>
      <c r="E18" s="40">
        <v>3618.2624439812666</v>
      </c>
      <c r="F18" s="37">
        <v>1889.7468645603869</v>
      </c>
      <c r="G18" s="38">
        <v>1728.5155794211055</v>
      </c>
      <c r="H18" s="37">
        <v>1455.4391685545747</v>
      </c>
      <c r="I18" s="37">
        <v>742.24492528081623</v>
      </c>
      <c r="J18" s="37">
        <v>713.19424327373849</v>
      </c>
      <c r="K18" s="126">
        <v>5244.8465686735508</v>
      </c>
      <c r="L18" s="37">
        <v>2720.7735420658314</v>
      </c>
      <c r="M18" s="37">
        <v>2524.0730266074343</v>
      </c>
      <c r="N18" s="40">
        <v>3740.3128550143174</v>
      </c>
      <c r="O18" s="37">
        <v>1953.4913787128469</v>
      </c>
      <c r="P18" s="38">
        <v>1786.8214763015333</v>
      </c>
      <c r="Q18" s="37">
        <v>1504.533713658948</v>
      </c>
      <c r="R18" s="37">
        <v>767.28216335302784</v>
      </c>
      <c r="S18" s="39">
        <v>737.25155030594203</v>
      </c>
      <c r="T18" s="37">
        <v>5421.2427117834677</v>
      </c>
      <c r="U18" s="37">
        <v>2812.2793569285832</v>
      </c>
      <c r="V18" s="37">
        <v>2608.9633548548236</v>
      </c>
      <c r="W18" s="40">
        <v>3866.108100501734</v>
      </c>
      <c r="X18" s="37">
        <v>2019.1917457859029</v>
      </c>
      <c r="Y18" s="39">
        <v>1846.9163547157707</v>
      </c>
      <c r="Z18" s="32">
        <v>1555.134611281673</v>
      </c>
      <c r="AA18" s="32">
        <v>793.08761114263677</v>
      </c>
      <c r="AB18" s="32">
        <v>762.04700013901163</v>
      </c>
    </row>
    <row r="19" spans="1:80" s="5" customFormat="1" ht="12" customHeight="1" x14ac:dyDescent="0.2">
      <c r="A19" s="36" t="s">
        <v>18</v>
      </c>
      <c r="B19" s="37">
        <v>4210.9130784278286</v>
      </c>
      <c r="C19" s="37">
        <v>2117.6833483845853</v>
      </c>
      <c r="D19" s="38">
        <v>2093.2297300429586</v>
      </c>
      <c r="E19" s="40">
        <v>3183.8611080795085</v>
      </c>
      <c r="F19" s="37">
        <v>1576.4432624233139</v>
      </c>
      <c r="G19" s="38">
        <v>1607.4178456560367</v>
      </c>
      <c r="H19" s="37">
        <v>1027.0519703481777</v>
      </c>
      <c r="I19" s="37">
        <v>541.24008596126203</v>
      </c>
      <c r="J19" s="37">
        <v>485.81188438691589</v>
      </c>
      <c r="K19" s="126">
        <v>4352.9546467226082</v>
      </c>
      <c r="L19" s="37">
        <v>2189.1165644958146</v>
      </c>
      <c r="M19" s="37">
        <v>2163.83808222681</v>
      </c>
      <c r="N19" s="40">
        <v>3291.2583914244151</v>
      </c>
      <c r="O19" s="37">
        <v>1629.6194902751793</v>
      </c>
      <c r="P19" s="38">
        <v>1661.6389011492518</v>
      </c>
      <c r="Q19" s="37">
        <v>1061.6962552982093</v>
      </c>
      <c r="R19" s="37">
        <v>559.49707422065126</v>
      </c>
      <c r="S19" s="39">
        <v>502.19918107757388</v>
      </c>
      <c r="T19" s="37">
        <v>4499.3544318758632</v>
      </c>
      <c r="U19" s="37">
        <v>2262.7415435564926</v>
      </c>
      <c r="V19" s="37">
        <v>2236.6128883191168</v>
      </c>
      <c r="W19" s="40">
        <v>3401.9509119060785</v>
      </c>
      <c r="X19" s="37">
        <v>1684.4273076359552</v>
      </c>
      <c r="Y19" s="39">
        <v>1717.5236042699603</v>
      </c>
      <c r="Z19" s="32">
        <v>1097.403519969655</v>
      </c>
      <c r="AA19" s="32">
        <v>578.31423592052295</v>
      </c>
      <c r="AB19" s="32">
        <v>519.08928404914548</v>
      </c>
    </row>
    <row r="20" spans="1:80" s="5" customFormat="1" ht="12" customHeight="1" x14ac:dyDescent="0.2">
      <c r="A20" s="36" t="s">
        <v>19</v>
      </c>
      <c r="B20" s="37">
        <v>3744.6640887141471</v>
      </c>
      <c r="C20" s="37">
        <v>1864.9959588544684</v>
      </c>
      <c r="D20" s="38">
        <v>1879.6681298594424</v>
      </c>
      <c r="E20" s="40">
        <v>2769.7798374946301</v>
      </c>
      <c r="F20" s="37">
        <v>1361.2514210170291</v>
      </c>
      <c r="G20" s="38">
        <v>1408.5284164775007</v>
      </c>
      <c r="H20" s="37">
        <v>974.88425121938133</v>
      </c>
      <c r="I20" s="37">
        <v>503.74453783743962</v>
      </c>
      <c r="J20" s="37">
        <v>471.13971338194193</v>
      </c>
      <c r="K20" s="126">
        <v>3870.9782514602539</v>
      </c>
      <c r="L20" s="37">
        <v>1927.9055810494335</v>
      </c>
      <c r="M20" s="37">
        <v>1943.0726704108363</v>
      </c>
      <c r="N20" s="40">
        <v>2863.2094250026039</v>
      </c>
      <c r="O20" s="37">
        <v>1407.1688463079388</v>
      </c>
      <c r="P20" s="38">
        <v>1456.040578694681</v>
      </c>
      <c r="Q20" s="37">
        <v>1007.7688264576661</v>
      </c>
      <c r="R20" s="37">
        <v>520.73673474151087</v>
      </c>
      <c r="S20" s="39">
        <v>487.03209171617061</v>
      </c>
      <c r="T20" s="37">
        <v>4001.1680720165641</v>
      </c>
      <c r="U20" s="37">
        <v>1992.7454394369497</v>
      </c>
      <c r="V20" s="37">
        <v>2008.4226325793732</v>
      </c>
      <c r="W20" s="40">
        <v>2959.5056832198479</v>
      </c>
      <c r="X20" s="37">
        <v>1454.495141547078</v>
      </c>
      <c r="Y20" s="39">
        <v>1505.0105416726647</v>
      </c>
      <c r="Z20" s="32">
        <v>1041.6623887965939</v>
      </c>
      <c r="AA20" s="32">
        <v>538.25029788988525</v>
      </c>
      <c r="AB20" s="32">
        <v>503.41209090672174</v>
      </c>
    </row>
    <row r="21" spans="1:80" s="5" customFormat="1" ht="12" customHeight="1" x14ac:dyDescent="0.2">
      <c r="A21" s="36" t="s">
        <v>20</v>
      </c>
      <c r="B21" s="37">
        <v>2720.8726008113767</v>
      </c>
      <c r="C21" s="37">
        <v>1397.1167279180765</v>
      </c>
      <c r="D21" s="38">
        <v>1323.7558728932067</v>
      </c>
      <c r="E21" s="40">
        <v>2226.9095103105178</v>
      </c>
      <c r="F21" s="37">
        <v>1133.0176498285452</v>
      </c>
      <c r="G21" s="38">
        <v>1093.891860481948</v>
      </c>
      <c r="H21" s="37">
        <v>493.96309050079032</v>
      </c>
      <c r="I21" s="37">
        <v>264.09907808953159</v>
      </c>
      <c r="J21" s="37">
        <v>229.86401241125901</v>
      </c>
      <c r="K21" s="126">
        <v>2812.6524604645947</v>
      </c>
      <c r="L21" s="37">
        <v>1444.2439536358122</v>
      </c>
      <c r="M21" s="37">
        <v>1368.4085068287984</v>
      </c>
      <c r="N21" s="40">
        <v>2302.0271186307018</v>
      </c>
      <c r="O21" s="37">
        <v>1171.2363451305625</v>
      </c>
      <c r="P21" s="38">
        <v>1130.7907735001552</v>
      </c>
      <c r="Q21" s="37">
        <v>510.62534183390903</v>
      </c>
      <c r="R21" s="37">
        <v>273.00760850525779</v>
      </c>
      <c r="S21" s="39">
        <v>237.61773332865019</v>
      </c>
      <c r="T21" s="37">
        <v>2907.2483727450963</v>
      </c>
      <c r="U21" s="37">
        <v>1492.8171692285575</v>
      </c>
      <c r="V21" s="37">
        <v>1414.4312035164403</v>
      </c>
      <c r="W21" s="40">
        <v>2379.4495369501046</v>
      </c>
      <c r="X21" s="37">
        <v>1210.6276926649355</v>
      </c>
      <c r="Y21" s="39">
        <v>1168.8218442851396</v>
      </c>
      <c r="Z21" s="32">
        <v>527.79883579493628</v>
      </c>
      <c r="AA21" s="32">
        <v>282.18947656362809</v>
      </c>
      <c r="AB21" s="32">
        <v>245.60935923130566</v>
      </c>
    </row>
    <row r="22" spans="1:80" s="5" customFormat="1" ht="12" customHeight="1" x14ac:dyDescent="0.2">
      <c r="A22" s="36" t="s">
        <v>27</v>
      </c>
      <c r="B22" s="37">
        <v>2456.7735227218086</v>
      </c>
      <c r="C22" s="37">
        <v>1167.2527155068178</v>
      </c>
      <c r="D22" s="38">
        <v>1289.5208072149342</v>
      </c>
      <c r="E22" s="40">
        <v>2000.3059803447838</v>
      </c>
      <c r="F22" s="37">
        <v>927.60725575890967</v>
      </c>
      <c r="G22" s="38">
        <v>1072.6987245858745</v>
      </c>
      <c r="H22" s="37">
        <v>456.46754237696797</v>
      </c>
      <c r="I22" s="37">
        <v>239.64545974790832</v>
      </c>
      <c r="J22" s="37">
        <v>216.82208262905993</v>
      </c>
      <c r="K22" s="126">
        <v>2539.644851959345</v>
      </c>
      <c r="L22" s="37">
        <v>1206.626220307169</v>
      </c>
      <c r="M22" s="37">
        <v>1333.018631652192</v>
      </c>
      <c r="N22" s="40">
        <v>2067.7798496045925</v>
      </c>
      <c r="O22" s="37">
        <v>958.89709407092391</v>
      </c>
      <c r="P22" s="38">
        <v>1108.8827555336845</v>
      </c>
      <c r="Q22" s="37">
        <v>471.86500235476734</v>
      </c>
      <c r="R22" s="37">
        <v>247.72912623625237</v>
      </c>
      <c r="S22" s="39">
        <v>224.13587611851395</v>
      </c>
      <c r="T22" s="37">
        <v>2625.0588961814374</v>
      </c>
      <c r="U22" s="37">
        <v>1247.2078099972568</v>
      </c>
      <c r="V22" s="37">
        <v>1377.8510861841189</v>
      </c>
      <c r="W22" s="40">
        <v>2137.3239984170887</v>
      </c>
      <c r="X22" s="37">
        <v>991.14698867100708</v>
      </c>
      <c r="Y22" s="39">
        <v>1146.1770097460835</v>
      </c>
      <c r="Z22" s="32">
        <v>487.73489776429778</v>
      </c>
      <c r="AA22" s="32">
        <v>256.06082132625482</v>
      </c>
      <c r="AB22" s="32">
        <v>231.67407643804015</v>
      </c>
    </row>
    <row r="23" spans="1:80" s="5" customFormat="1" ht="12" customHeight="1" x14ac:dyDescent="0.2">
      <c r="A23" s="36" t="s">
        <v>31</v>
      </c>
      <c r="B23" s="37">
        <v>210.3011177379604</v>
      </c>
      <c r="C23" s="37">
        <v>83.142302361519384</v>
      </c>
      <c r="D23" s="38">
        <v>127.15881537644127</v>
      </c>
      <c r="E23" s="40">
        <v>115.74712681701708</v>
      </c>
      <c r="F23" s="37">
        <v>45.64675423769696</v>
      </c>
      <c r="G23" s="38">
        <v>70.100372579320307</v>
      </c>
      <c r="H23" s="37">
        <v>94.553990920943576</v>
      </c>
      <c r="I23" s="37">
        <v>37.495548123822502</v>
      </c>
      <c r="J23" s="37">
        <v>57.058442797121202</v>
      </c>
      <c r="K23" s="126">
        <v>217.39494751344583</v>
      </c>
      <c r="L23" s="37">
        <v>85.946839714617823</v>
      </c>
      <c r="M23" s="37">
        <v>131.44810779882729</v>
      </c>
      <c r="N23" s="40">
        <v>119.65148273995814</v>
      </c>
      <c r="O23" s="37">
        <v>47.186500235476458</v>
      </c>
      <c r="P23" s="38">
        <v>72.464982504481696</v>
      </c>
      <c r="Q23" s="37">
        <v>97.743464773486934</v>
      </c>
      <c r="R23" s="37">
        <v>38.760339479141379</v>
      </c>
      <c r="S23" s="39">
        <v>58.98312529434557</v>
      </c>
      <c r="T23" s="37">
        <v>224.70643504140739</v>
      </c>
      <c r="U23" s="37">
        <v>88.837427807068309</v>
      </c>
      <c r="V23" s="37">
        <v>135.86900723433973</v>
      </c>
      <c r="W23" s="40">
        <v>123.67563479023238</v>
      </c>
      <c r="X23" s="37">
        <v>48.773489776429635</v>
      </c>
      <c r="Y23" s="39">
        <v>74.902145013802681</v>
      </c>
      <c r="Z23" s="32">
        <v>101.03080025117573</v>
      </c>
      <c r="AA23" s="32">
        <v>40.063938030638617</v>
      </c>
      <c r="AB23" s="32">
        <v>60.96686222053706</v>
      </c>
    </row>
    <row r="24" spans="1:80" s="5" customFormat="1" ht="12" customHeight="1" x14ac:dyDescent="0.2">
      <c r="A24" s="36" t="s">
        <v>32</v>
      </c>
      <c r="B24" s="37">
        <v>125.52857415366638</v>
      </c>
      <c r="C24" s="37">
        <v>42.386271792147177</v>
      </c>
      <c r="D24" s="38">
        <v>83.142302361519384</v>
      </c>
      <c r="E24" s="40">
        <v>79.881819915969615</v>
      </c>
      <c r="F24" s="37">
        <v>24.453618341623372</v>
      </c>
      <c r="G24" s="38">
        <v>55.428201574346311</v>
      </c>
      <c r="H24" s="37">
        <v>45.64675423769696</v>
      </c>
      <c r="I24" s="37">
        <v>17.932653450523805</v>
      </c>
      <c r="J24" s="37">
        <v>27.714100787173155</v>
      </c>
      <c r="K24" s="126">
        <v>129.76287564756026</v>
      </c>
      <c r="L24" s="37">
        <v>43.816035932942427</v>
      </c>
      <c r="M24" s="37">
        <v>85.946839714617823</v>
      </c>
      <c r="N24" s="40">
        <v>82.576375412083792</v>
      </c>
      <c r="O24" s="37">
        <v>25.278482269005252</v>
      </c>
      <c r="P24" s="38">
        <v>57.297893143078554</v>
      </c>
      <c r="Q24" s="37">
        <v>47.186500235476458</v>
      </c>
      <c r="R24" s="37">
        <v>18.537553663937189</v>
      </c>
      <c r="S24" s="39">
        <v>28.648946571539284</v>
      </c>
      <c r="T24" s="37">
        <v>134.12709688518154</v>
      </c>
      <c r="U24" s="37">
        <v>45.289669078113228</v>
      </c>
      <c r="V24" s="37">
        <v>88.837427807068309</v>
      </c>
      <c r="W24" s="40">
        <v>85.353607108751902</v>
      </c>
      <c r="X24" s="37">
        <v>26.128655237373003</v>
      </c>
      <c r="Y24" s="39">
        <v>59.224951871378856</v>
      </c>
      <c r="Z24" s="32">
        <v>48.773489776429635</v>
      </c>
      <c r="AA24" s="32">
        <v>19.161013840740203</v>
      </c>
      <c r="AB24" s="32">
        <v>29.612475935689403</v>
      </c>
    </row>
    <row r="25" spans="1:80" s="5" customFormat="1" ht="12" customHeight="1" thickBot="1" x14ac:dyDescent="0.25">
      <c r="A25" s="41" t="s">
        <v>30</v>
      </c>
      <c r="B25" s="42">
        <v>94.553990920943576</v>
      </c>
      <c r="C25" s="42">
        <v>37.495548123822502</v>
      </c>
      <c r="D25" s="43">
        <v>57.058442797121202</v>
      </c>
      <c r="E25" s="45">
        <v>57.058442797121202</v>
      </c>
      <c r="F25" s="42">
        <v>17.932653450523805</v>
      </c>
      <c r="G25" s="43">
        <v>39.125789346597394</v>
      </c>
      <c r="H25" s="42">
        <v>37.495548123822502</v>
      </c>
      <c r="I25" s="42">
        <v>19.562894673298697</v>
      </c>
      <c r="J25" s="42">
        <v>17.932653450523805</v>
      </c>
      <c r="K25" s="123">
        <v>97.743464773486934</v>
      </c>
      <c r="L25" s="42">
        <v>38.760339479141379</v>
      </c>
      <c r="M25" s="42">
        <v>58.98312529434557</v>
      </c>
      <c r="N25" s="45">
        <v>58.98312529434557</v>
      </c>
      <c r="O25" s="42">
        <v>18.537553663937189</v>
      </c>
      <c r="P25" s="43">
        <v>40.445571630408395</v>
      </c>
      <c r="Q25" s="42">
        <v>38.760339479141379</v>
      </c>
      <c r="R25" s="42">
        <v>20.222785815204205</v>
      </c>
      <c r="S25" s="44">
        <v>18.537553663937189</v>
      </c>
      <c r="T25" s="42">
        <v>101.03080025117573</v>
      </c>
      <c r="U25" s="42">
        <v>40.063938030638617</v>
      </c>
      <c r="V25" s="42">
        <v>60.96686222053706</v>
      </c>
      <c r="W25" s="45">
        <v>60.96686222053706</v>
      </c>
      <c r="X25" s="42">
        <v>19.161013840740203</v>
      </c>
      <c r="Y25" s="44">
        <v>41.805848379796821</v>
      </c>
      <c r="Z25" s="150">
        <v>40.063938030638617</v>
      </c>
      <c r="AA25" s="150">
        <v>20.902924189898403</v>
      </c>
      <c r="AB25" s="150">
        <v>19.161013840740203</v>
      </c>
    </row>
    <row r="26" spans="1:80" s="5" customFormat="1" ht="12" customHeight="1" x14ac:dyDescent="0.2">
      <c r="A26" s="200" t="s">
        <v>97</v>
      </c>
      <c r="B26" s="201">
        <v>102213.33488723486</v>
      </c>
      <c r="C26" s="201">
        <v>51165.709998297847</v>
      </c>
      <c r="D26" s="202">
        <v>51047.624888960789</v>
      </c>
      <c r="E26" s="201">
        <v>83946.988929942221</v>
      </c>
      <c r="F26" s="201">
        <v>41615.943500898728</v>
      </c>
      <c r="G26" s="202">
        <v>42331.045429085993</v>
      </c>
      <c r="H26" s="201">
        <v>18266.345957298996</v>
      </c>
      <c r="I26" s="201">
        <v>9549.7664974116669</v>
      </c>
      <c r="J26" s="201">
        <v>8716.5794598865596</v>
      </c>
      <c r="K26" s="205">
        <v>105661.17199955072</v>
      </c>
      <c r="L26" s="201">
        <v>52891.620164525142</v>
      </c>
      <c r="M26" s="202">
        <v>52769.551834967009</v>
      </c>
      <c r="N26" s="201">
        <v>86778.669788586354</v>
      </c>
      <c r="O26" s="201">
        <v>43019.723101869822</v>
      </c>
      <c r="P26" s="202">
        <v>43758.946686686722</v>
      </c>
      <c r="Q26" s="201">
        <v>18882.502210936469</v>
      </c>
      <c r="R26" s="201">
        <v>9871.8970626553037</v>
      </c>
      <c r="S26" s="204">
        <v>9010.6051482805888</v>
      </c>
      <c r="T26" s="201">
        <v>109214.79801563884</v>
      </c>
      <c r="U26" s="201">
        <v>54670.485890625299</v>
      </c>
      <c r="V26" s="201">
        <v>54544.312124950993</v>
      </c>
      <c r="W26" s="203">
        <v>89697.234222102896</v>
      </c>
      <c r="X26" s="201">
        <v>44466.574431715693</v>
      </c>
      <c r="Y26" s="204">
        <v>45230.659790379235</v>
      </c>
      <c r="Z26" s="143">
        <v>19517.56379351555</v>
      </c>
      <c r="AA26" s="143">
        <v>10203.911458927838</v>
      </c>
      <c r="AB26" s="143">
        <v>9313.6523345882106</v>
      </c>
    </row>
    <row r="27" spans="1:80" s="5" customFormat="1" ht="12" customHeight="1" x14ac:dyDescent="0.2">
      <c r="A27" s="180" t="s">
        <v>22</v>
      </c>
      <c r="B27" s="47">
        <v>5005.4329161806136</v>
      </c>
      <c r="C27" s="47">
        <v>2425.7943276551773</v>
      </c>
      <c r="D27" s="48">
        <v>2579.6385885257218</v>
      </c>
      <c r="E27" s="47">
        <v>4258.1893633810732</v>
      </c>
      <c r="F27" s="47">
        <v>2053.5461607273419</v>
      </c>
      <c r="G27" s="48">
        <v>2204.6432026537695</v>
      </c>
      <c r="H27" s="47">
        <v>747.24355279977181</v>
      </c>
      <c r="I27" s="47">
        <v>372.24816692782531</v>
      </c>
      <c r="J27" s="47">
        <v>374.99538587194206</v>
      </c>
      <c r="K27" s="127">
        <v>5174.2750480815967</v>
      </c>
      <c r="L27" s="47">
        <v>2507.6206736861168</v>
      </c>
      <c r="M27" s="48">
        <v>2666.654374395559</v>
      </c>
      <c r="N27" s="47">
        <v>4401.8256446359819</v>
      </c>
      <c r="O27" s="47">
        <v>2122.81591571952</v>
      </c>
      <c r="P27" s="48">
        <v>2279.0097289162936</v>
      </c>
      <c r="Q27" s="47">
        <v>772.44940344577992</v>
      </c>
      <c r="R27" s="47">
        <v>384.80475796655065</v>
      </c>
      <c r="S27" s="49">
        <v>387.64464547921892</v>
      </c>
      <c r="T27" s="47">
        <v>5348.2977101217275</v>
      </c>
      <c r="U27" s="47">
        <v>2591.9576718096309</v>
      </c>
      <c r="V27" s="47">
        <v>2756.3400383117137</v>
      </c>
      <c r="W27" s="47">
        <v>4549.8690728256497</v>
      </c>
      <c r="X27" s="47">
        <v>2194.2110528626272</v>
      </c>
      <c r="Y27" s="47">
        <v>2355.658019962887</v>
      </c>
      <c r="Z27" s="32">
        <v>798.42863729583507</v>
      </c>
      <c r="AA27" s="32">
        <v>397.74661894700841</v>
      </c>
      <c r="AB27" s="32">
        <v>400.68201834883132</v>
      </c>
    </row>
    <row r="28" spans="1:80" s="5" customFormat="1" ht="12" customHeight="1" thickBot="1" x14ac:dyDescent="0.25">
      <c r="A28" s="181" t="s">
        <v>21</v>
      </c>
      <c r="B28" s="52">
        <v>124822.50408637304</v>
      </c>
      <c r="C28" s="52">
        <v>62852.72083839072</v>
      </c>
      <c r="D28" s="53">
        <v>61969.783247806627</v>
      </c>
      <c r="E28" s="55">
        <v>101668.91665718344</v>
      </c>
      <c r="F28" s="52">
        <v>50903.331102337426</v>
      </c>
      <c r="G28" s="53">
        <v>50765.585554737947</v>
      </c>
      <c r="H28" s="52">
        <v>23153.587429114235</v>
      </c>
      <c r="I28" s="52">
        <v>11949.389736051182</v>
      </c>
      <c r="J28" s="52">
        <v>11204.197693066533</v>
      </c>
      <c r="K28" s="128">
        <v>129032.98858423838</v>
      </c>
      <c r="L28" s="52">
        <v>64972.854613050658</v>
      </c>
      <c r="M28" s="53">
        <v>64060.133971204479</v>
      </c>
      <c r="N28" s="52">
        <v>105098.38957666034</v>
      </c>
      <c r="O28" s="52">
        <v>52620.390762962736</v>
      </c>
      <c r="P28" s="53">
        <v>52477.998813683182</v>
      </c>
      <c r="Q28" s="52">
        <v>23934.599007563538</v>
      </c>
      <c r="R28" s="52">
        <v>12352.463850066762</v>
      </c>
      <c r="S28" s="54">
        <v>11582.135157501405</v>
      </c>
      <c r="T28" s="52">
        <v>133372.66205644896</v>
      </c>
      <c r="U28" s="52">
        <v>67158.039786766763</v>
      </c>
      <c r="V28" s="52">
        <v>66214.62226964545</v>
      </c>
      <c r="W28" s="55">
        <v>108633.08793730005</v>
      </c>
      <c r="X28" s="52">
        <v>54390.134426163146</v>
      </c>
      <c r="Y28" s="54">
        <v>54242.953511118365</v>
      </c>
      <c r="Z28" s="150">
        <v>24739.574119146324</v>
      </c>
      <c r="AA28" s="150">
        <v>12767.905360609338</v>
      </c>
      <c r="AB28" s="150">
        <v>11971.668758533902</v>
      </c>
    </row>
    <row r="29" spans="1:80" customFormat="1" ht="15" x14ac:dyDescent="0.25">
      <c r="A29" s="60" t="s">
        <v>121</v>
      </c>
      <c r="B29" s="60"/>
      <c r="C29" s="5"/>
      <c r="D29" s="5"/>
      <c r="E29" s="5"/>
      <c r="F29" s="5"/>
      <c r="G29" s="5"/>
      <c r="H29" s="5"/>
      <c r="I29" s="5"/>
      <c r="J29" s="5"/>
      <c r="K29" s="56"/>
      <c r="L29" s="56"/>
      <c r="M29" s="56"/>
      <c r="N29" s="56"/>
      <c r="O29" s="56"/>
      <c r="P29" s="56"/>
      <c r="Q29" s="56"/>
      <c r="R29" s="56"/>
      <c r="S29" s="56"/>
      <c r="T29" s="56"/>
      <c r="U29" s="56"/>
      <c r="V29" s="56"/>
      <c r="W29" s="56"/>
      <c r="X29" s="56"/>
      <c r="Y29" s="56"/>
      <c r="Z29" s="56"/>
      <c r="AA29" s="56"/>
      <c r="AB29" s="56"/>
      <c r="AC29" s="234"/>
      <c r="AD29" s="234"/>
      <c r="AE29" s="234"/>
      <c r="AF29" s="234"/>
      <c r="AG29" s="234"/>
      <c r="AH29" s="234"/>
      <c r="AI29" s="234"/>
      <c r="AJ29" s="234"/>
      <c r="AK29" s="234"/>
      <c r="AL29" s="234"/>
      <c r="AM29" s="234"/>
      <c r="AN29" s="234"/>
      <c r="AO29" s="234"/>
      <c r="AP29" s="234"/>
      <c r="AQ29" s="234"/>
      <c r="AR29" s="234"/>
      <c r="AS29" s="234"/>
      <c r="AT29" s="234"/>
      <c r="AU29" s="234"/>
      <c r="AV29" s="234"/>
      <c r="AW29" s="234"/>
      <c r="AX29" s="234"/>
      <c r="AY29" s="234"/>
      <c r="AZ29" s="234"/>
      <c r="BA29" s="234"/>
      <c r="BB29" s="234"/>
      <c r="BC29" s="234"/>
      <c r="BD29" s="234"/>
      <c r="BE29" s="234"/>
      <c r="BF29" s="234"/>
      <c r="BG29" s="234"/>
      <c r="BH29" s="234"/>
      <c r="BI29" s="234"/>
      <c r="BJ29" s="234"/>
      <c r="BK29" s="234"/>
      <c r="BL29" s="234"/>
      <c r="BM29" s="234"/>
      <c r="BN29" s="234"/>
      <c r="BO29" s="234"/>
      <c r="BP29" s="234"/>
      <c r="BQ29" s="234"/>
      <c r="BR29" s="234"/>
      <c r="BS29" s="234"/>
      <c r="BT29" s="234"/>
      <c r="BU29" s="234"/>
      <c r="BV29" s="234"/>
      <c r="BW29" s="234"/>
      <c r="BX29" s="234"/>
      <c r="BY29" s="234"/>
      <c r="BZ29" s="234"/>
      <c r="CA29" s="234"/>
      <c r="CB29" s="234"/>
    </row>
    <row r="30" spans="1:80" x14ac:dyDescent="0.2">
      <c r="A30" s="60"/>
    </row>
    <row r="31" spans="1:80" x14ac:dyDescent="0.2">
      <c r="B31" s="194"/>
    </row>
  </sheetData>
  <mergeCells count="5">
    <mergeCell ref="A2:J2"/>
    <mergeCell ref="K2:S2"/>
    <mergeCell ref="A3:A4"/>
    <mergeCell ref="T2:AB2"/>
    <mergeCell ref="Z3:AB3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B35"/>
  <sheetViews>
    <sheetView zoomScaleNormal="100" workbookViewId="0">
      <pane xSplit="1" topLeftCell="B1" activePane="topRight" state="frozen"/>
      <selection pane="topRight" activeCell="J20" sqref="J20"/>
    </sheetView>
  </sheetViews>
  <sheetFormatPr defaultColWidth="9.140625" defaultRowHeight="12" x14ac:dyDescent="0.2"/>
  <cols>
    <col min="1" max="1" width="14.7109375" style="1" customWidth="1"/>
    <col min="2" max="16384" width="9.140625" style="1"/>
  </cols>
  <sheetData>
    <row r="1" spans="1:28" s="5" customFormat="1" ht="30" customHeight="1" thickBot="1" x14ac:dyDescent="0.25">
      <c r="A1" s="57" t="s">
        <v>108</v>
      </c>
      <c r="B1" s="59"/>
      <c r="C1" s="59"/>
      <c r="D1" s="59"/>
      <c r="E1" s="59"/>
      <c r="F1" s="59"/>
      <c r="G1" s="59"/>
      <c r="H1" s="59"/>
      <c r="I1" s="59"/>
      <c r="J1" s="59"/>
    </row>
    <row r="2" spans="1:28" s="5" customFormat="1" ht="11.1" customHeight="1" x14ac:dyDescent="0.2">
      <c r="A2" s="235" t="s">
        <v>37</v>
      </c>
      <c r="B2" s="236"/>
      <c r="C2" s="236"/>
      <c r="D2" s="236"/>
      <c r="E2" s="236"/>
      <c r="F2" s="236"/>
      <c r="G2" s="236"/>
      <c r="H2" s="236"/>
      <c r="I2" s="236"/>
      <c r="J2" s="236"/>
      <c r="K2" s="235" t="s">
        <v>38</v>
      </c>
      <c r="L2" s="236"/>
      <c r="M2" s="236"/>
      <c r="N2" s="236"/>
      <c r="O2" s="236"/>
      <c r="P2" s="236"/>
      <c r="Q2" s="236"/>
      <c r="R2" s="236"/>
      <c r="S2" s="237"/>
      <c r="T2" s="236" t="s">
        <v>39</v>
      </c>
      <c r="U2" s="236"/>
      <c r="V2" s="236"/>
      <c r="W2" s="236"/>
      <c r="X2" s="236"/>
      <c r="Y2" s="236"/>
      <c r="Z2" s="236"/>
      <c r="AA2" s="236"/>
      <c r="AB2" s="237"/>
    </row>
    <row r="3" spans="1:28" s="5" customFormat="1" ht="17.25" customHeight="1" thickBot="1" x14ac:dyDescent="0.25">
      <c r="A3" s="243" t="s">
        <v>36</v>
      </c>
      <c r="B3" s="11"/>
      <c r="C3" s="11" t="s">
        <v>0</v>
      </c>
      <c r="D3" s="12"/>
      <c r="E3" s="13"/>
      <c r="F3" s="13" t="s">
        <v>1</v>
      </c>
      <c r="G3" s="14"/>
      <c r="H3" s="11"/>
      <c r="I3" s="11" t="s">
        <v>2</v>
      </c>
      <c r="J3" s="11"/>
      <c r="K3" s="88"/>
      <c r="L3" s="11" t="s">
        <v>0</v>
      </c>
      <c r="M3" s="12"/>
      <c r="N3" s="13"/>
      <c r="O3" s="13" t="s">
        <v>1</v>
      </c>
      <c r="P3" s="14"/>
      <c r="Q3" s="11"/>
      <c r="R3" s="11" t="s">
        <v>2</v>
      </c>
      <c r="S3" s="15"/>
      <c r="T3" s="11"/>
      <c r="U3" s="11" t="s">
        <v>0</v>
      </c>
      <c r="V3" s="12"/>
      <c r="W3" s="13"/>
      <c r="X3" s="13" t="s">
        <v>1</v>
      </c>
      <c r="Y3" s="14"/>
      <c r="Z3" s="11"/>
      <c r="AA3" s="11" t="s">
        <v>2</v>
      </c>
      <c r="AB3" s="11"/>
    </row>
    <row r="4" spans="1:28" s="5" customFormat="1" ht="12.75" customHeight="1" thickBot="1" x14ac:dyDescent="0.25">
      <c r="A4" s="244"/>
      <c r="B4" s="9" t="s">
        <v>0</v>
      </c>
      <c r="C4" s="10" t="s">
        <v>3</v>
      </c>
      <c r="D4" s="16" t="s">
        <v>4</v>
      </c>
      <c r="E4" s="19" t="s">
        <v>0</v>
      </c>
      <c r="F4" s="20" t="s">
        <v>3</v>
      </c>
      <c r="G4" s="21" t="s">
        <v>4</v>
      </c>
      <c r="H4" s="106" t="s">
        <v>0</v>
      </c>
      <c r="I4" s="20" t="s">
        <v>3</v>
      </c>
      <c r="J4" s="20" t="s">
        <v>4</v>
      </c>
      <c r="K4" s="124" t="s">
        <v>0</v>
      </c>
      <c r="L4" s="10" t="s">
        <v>3</v>
      </c>
      <c r="M4" s="10" t="s">
        <v>4</v>
      </c>
      <c r="N4" s="19" t="s">
        <v>0</v>
      </c>
      <c r="O4" s="20" t="s">
        <v>3</v>
      </c>
      <c r="P4" s="21" t="s">
        <v>4</v>
      </c>
      <c r="Q4" s="17" t="s">
        <v>0</v>
      </c>
      <c r="R4" s="10" t="s">
        <v>3</v>
      </c>
      <c r="S4" s="18" t="s">
        <v>4</v>
      </c>
      <c r="T4" s="206" t="s">
        <v>0</v>
      </c>
      <c r="U4" s="20" t="s">
        <v>3</v>
      </c>
      <c r="V4" s="20" t="s">
        <v>4</v>
      </c>
      <c r="W4" s="19" t="s">
        <v>0</v>
      </c>
      <c r="X4" s="20" t="s">
        <v>3</v>
      </c>
      <c r="Y4" s="21" t="s">
        <v>4</v>
      </c>
      <c r="Z4" s="106" t="s">
        <v>0</v>
      </c>
      <c r="AA4" s="20" t="s">
        <v>3</v>
      </c>
      <c r="AB4" s="20" t="s">
        <v>4</v>
      </c>
    </row>
    <row r="5" spans="1:28" s="5" customFormat="1" ht="16.5" customHeight="1" thickBot="1" x14ac:dyDescent="0.25">
      <c r="A5" s="22" t="s">
        <v>68</v>
      </c>
      <c r="B5" s="30">
        <v>29609.316936449442</v>
      </c>
      <c r="C5" s="23">
        <v>15372.163088677085</v>
      </c>
      <c r="D5" s="24">
        <v>14237.15384776537</v>
      </c>
      <c r="E5" s="27">
        <v>26141.057775362315</v>
      </c>
      <c r="F5" s="28">
        <v>13639.410716859311</v>
      </c>
      <c r="G5" s="29">
        <v>12501.647058498798</v>
      </c>
      <c r="H5" s="23">
        <v>3468.2591610851559</v>
      </c>
      <c r="I5" s="23">
        <v>1732.7523718181126</v>
      </c>
      <c r="J5" s="23">
        <v>1735.5067892670154</v>
      </c>
      <c r="K5" s="30">
        <v>30608.091723640769</v>
      </c>
      <c r="L5" s="23">
        <v>15890.693419876965</v>
      </c>
      <c r="M5" s="24">
        <v>14717.398303762624</v>
      </c>
      <c r="N5" s="27">
        <v>27022.842028360017</v>
      </c>
      <c r="O5" s="28">
        <v>14099.492236654894</v>
      </c>
      <c r="P5" s="29">
        <v>12923.349791704783</v>
      </c>
      <c r="Q5" s="23">
        <v>3585.2496952802744</v>
      </c>
      <c r="R5" s="23">
        <v>1791.2011832222497</v>
      </c>
      <c r="S5" s="25">
        <v>1794.0485120580429</v>
      </c>
      <c r="T5" s="28">
        <v>31637.511604151736</v>
      </c>
      <c r="U5" s="28">
        <v>16425.133654479312</v>
      </c>
      <c r="V5" s="132">
        <v>15212.377949670468</v>
      </c>
      <c r="W5" s="28">
        <v>27931.681790834315</v>
      </c>
      <c r="X5" s="28">
        <v>14573.690293317622</v>
      </c>
      <c r="Y5" s="132">
        <v>13357.991497515195</v>
      </c>
      <c r="Z5" s="28">
        <v>3705.8298133165899</v>
      </c>
      <c r="AA5" s="28">
        <v>1851.4433611614793</v>
      </c>
      <c r="AB5" s="28">
        <v>1854.3864521550797</v>
      </c>
    </row>
    <row r="6" spans="1:28" s="5" customFormat="1" ht="12" customHeight="1" x14ac:dyDescent="0.2">
      <c r="A6" s="31" t="s">
        <v>5</v>
      </c>
      <c r="B6" s="32">
        <v>5447.0344796819782</v>
      </c>
      <c r="C6" s="32">
        <v>2859.1505685183197</v>
      </c>
      <c r="D6" s="33">
        <v>2587.8839111636385</v>
      </c>
      <c r="E6" s="32">
        <v>4819.0521679058911</v>
      </c>
      <c r="F6" s="32">
        <v>2560.7572454281703</v>
      </c>
      <c r="G6" s="33">
        <v>2258.2949224777008</v>
      </c>
      <c r="H6" s="32">
        <v>627.98231177606658</v>
      </c>
      <c r="I6" s="32">
        <v>298.39332309013787</v>
      </c>
      <c r="J6" s="32">
        <v>329.5889886859249</v>
      </c>
      <c r="K6" s="125">
        <v>5630.7726157203269</v>
      </c>
      <c r="L6" s="32">
        <v>2955.5947893275547</v>
      </c>
      <c r="M6" s="32">
        <v>2675.1778263932497</v>
      </c>
      <c r="N6" s="35">
        <v>4981.6073465276213</v>
      </c>
      <c r="O6" s="32">
        <v>2647.1361300998192</v>
      </c>
      <c r="P6" s="33">
        <v>2334.4712164280691</v>
      </c>
      <c r="Q6" s="32">
        <v>649.16526919289572</v>
      </c>
      <c r="R6" s="32">
        <v>308.45865922772339</v>
      </c>
      <c r="S6" s="34">
        <v>340.70660996516716</v>
      </c>
      <c r="T6" s="32">
        <v>5820.1483313185599</v>
      </c>
      <c r="U6" s="32">
        <v>3054.9981778930264</v>
      </c>
      <c r="V6" s="32">
        <v>2765.1501534249978</v>
      </c>
      <c r="W6" s="35">
        <v>5149.1501546748632</v>
      </c>
      <c r="X6" s="32">
        <v>2736.165350978195</v>
      </c>
      <c r="Y6" s="33">
        <v>2412.9848036963431</v>
      </c>
      <c r="Z6" s="32">
        <v>670.99817664349121</v>
      </c>
      <c r="AA6" s="32">
        <v>318.8328269148364</v>
      </c>
      <c r="AB6" s="32">
        <v>352.16534972865969</v>
      </c>
    </row>
    <row r="7" spans="1:28" s="5" customFormat="1" ht="12" customHeight="1" x14ac:dyDescent="0.2">
      <c r="A7" s="31" t="s">
        <v>6</v>
      </c>
      <c r="B7" s="32">
        <v>3980.0466694811198</v>
      </c>
      <c r="C7" s="32">
        <v>2065.4621278223653</v>
      </c>
      <c r="D7" s="33">
        <v>1914.5845416590164</v>
      </c>
      <c r="E7" s="32">
        <v>3438.968429447124</v>
      </c>
      <c r="F7" s="32">
        <v>1794.9230078053233</v>
      </c>
      <c r="G7" s="33">
        <v>1644.0454216419712</v>
      </c>
      <c r="H7" s="32">
        <v>541.07824003405995</v>
      </c>
      <c r="I7" s="32">
        <v>270.53912001702787</v>
      </c>
      <c r="J7" s="32">
        <v>270.53912001702787</v>
      </c>
      <c r="K7" s="125">
        <v>4114.3007042457948</v>
      </c>
      <c r="L7" s="32">
        <v>2135.1338295236251</v>
      </c>
      <c r="M7" s="32">
        <v>1979.1668747221497</v>
      </c>
      <c r="N7" s="35">
        <v>3554.9709353025733</v>
      </c>
      <c r="O7" s="32">
        <v>1855.4689450520141</v>
      </c>
      <c r="P7" s="33">
        <v>1699.5019902505387</v>
      </c>
      <c r="Q7" s="32">
        <v>559.32976894320154</v>
      </c>
      <c r="R7" s="32">
        <v>279.66488447160032</v>
      </c>
      <c r="S7" s="34">
        <v>279.66488447160032</v>
      </c>
      <c r="T7" s="32">
        <v>4252.6740134208076</v>
      </c>
      <c r="U7" s="32">
        <v>2206.9432461804449</v>
      </c>
      <c r="V7" s="32">
        <v>2045.7307672403115</v>
      </c>
      <c r="W7" s="35">
        <v>3674.5327096354508</v>
      </c>
      <c r="X7" s="32">
        <v>1917.872594287792</v>
      </c>
      <c r="Y7" s="33">
        <v>1756.6601153476588</v>
      </c>
      <c r="Z7" s="32">
        <v>578.14130378530547</v>
      </c>
      <c r="AA7" s="32">
        <v>289.07065189265273</v>
      </c>
      <c r="AB7" s="32">
        <v>289.07065189265273</v>
      </c>
    </row>
    <row r="8" spans="1:28" s="5" customFormat="1" ht="12" customHeight="1" x14ac:dyDescent="0.2">
      <c r="A8" s="31" t="s">
        <v>7</v>
      </c>
      <c r="B8" s="32">
        <v>3791.4496867769626</v>
      </c>
      <c r="C8" s="32">
        <v>1914.5845416590164</v>
      </c>
      <c r="D8" s="33">
        <v>1876.8651451181784</v>
      </c>
      <c r="E8" s="32">
        <v>3354.4249544418121</v>
      </c>
      <c r="F8" s="32">
        <v>1698.6735131838745</v>
      </c>
      <c r="G8" s="33">
        <v>1655.7514412580933</v>
      </c>
      <c r="H8" s="32">
        <v>437.02473233520226</v>
      </c>
      <c r="I8" s="32">
        <v>215.91102847512778</v>
      </c>
      <c r="J8" s="32">
        <v>221.11370386007061</v>
      </c>
      <c r="K8" s="125">
        <v>3919.3420107439511</v>
      </c>
      <c r="L8" s="32">
        <v>1979.1668747221497</v>
      </c>
      <c r="M8" s="32">
        <v>1940.1751360217809</v>
      </c>
      <c r="N8" s="35">
        <v>3467.5756589051948</v>
      </c>
      <c r="O8" s="32">
        <v>1755.9727842303832</v>
      </c>
      <c r="P8" s="33">
        <v>1711.6028746747911</v>
      </c>
      <c r="Q8" s="32">
        <v>451.76635183873827</v>
      </c>
      <c r="R8" s="32">
        <v>223.19409049175815</v>
      </c>
      <c r="S8" s="34">
        <v>228.57226134698121</v>
      </c>
      <c r="T8" s="32">
        <v>4051.1584147455897</v>
      </c>
      <c r="U8" s="32">
        <v>2045.7307672403115</v>
      </c>
      <c r="V8" s="32">
        <v>2005.4276475052782</v>
      </c>
      <c r="W8" s="35">
        <v>3584.1981309189969</v>
      </c>
      <c r="X8" s="32">
        <v>1815.0301508259829</v>
      </c>
      <c r="Y8" s="33">
        <v>1769.167980093014</v>
      </c>
      <c r="Z8" s="32">
        <v>466.96028382659284</v>
      </c>
      <c r="AA8" s="32">
        <v>230.70061641432861</v>
      </c>
      <c r="AB8" s="32">
        <v>236.25966741226424</v>
      </c>
    </row>
    <row r="9" spans="1:28" s="5" customFormat="1" ht="12" customHeight="1" x14ac:dyDescent="0.2">
      <c r="A9" s="31" t="s">
        <v>8</v>
      </c>
      <c r="B9" s="32">
        <v>3689.515041948936</v>
      </c>
      <c r="C9" s="32">
        <v>1887.3394146082715</v>
      </c>
      <c r="D9" s="33">
        <v>1802.1756273406486</v>
      </c>
      <c r="E9" s="32">
        <v>3339.2446265740355</v>
      </c>
      <c r="F9" s="32">
        <v>1719.7590590171426</v>
      </c>
      <c r="G9" s="33">
        <v>1619.485567556877</v>
      </c>
      <c r="H9" s="32">
        <v>350.27041537489129</v>
      </c>
      <c r="I9" s="32">
        <v>167.58035559112537</v>
      </c>
      <c r="J9" s="32">
        <v>182.69005978376782</v>
      </c>
      <c r="K9" s="125">
        <v>3813.9689295136777</v>
      </c>
      <c r="L9" s="32">
        <v>1951.0027212030848</v>
      </c>
      <c r="M9" s="32">
        <v>1862.9662083103719</v>
      </c>
      <c r="N9" s="35">
        <v>3451.8832716484299</v>
      </c>
      <c r="O9" s="32">
        <v>1777.7695829303273</v>
      </c>
      <c r="P9" s="33">
        <v>1674.1136887179396</v>
      </c>
      <c r="Q9" s="32">
        <v>362.0856578652045</v>
      </c>
      <c r="R9" s="32">
        <v>173.23313827276453</v>
      </c>
      <c r="S9" s="34">
        <v>188.85251959244002</v>
      </c>
      <c r="T9" s="32">
        <v>3942.2413966481677</v>
      </c>
      <c r="U9" s="32">
        <v>2016.6193890523411</v>
      </c>
      <c r="V9" s="32">
        <v>1925.6220075958311</v>
      </c>
      <c r="W9" s="35">
        <v>3567.9779729157472</v>
      </c>
      <c r="X9" s="32">
        <v>1837.5600255411439</v>
      </c>
      <c r="Y9" s="33">
        <v>1730.4179473746078</v>
      </c>
      <c r="Z9" s="32">
        <v>374.26342373242517</v>
      </c>
      <c r="AA9" s="32">
        <v>179.05936351120042</v>
      </c>
      <c r="AB9" s="32">
        <v>195.20406022122671</v>
      </c>
    </row>
    <row r="10" spans="1:28" s="5" customFormat="1" ht="12" customHeight="1" x14ac:dyDescent="0.2">
      <c r="A10" s="31" t="s">
        <v>9</v>
      </c>
      <c r="B10" s="32">
        <v>2814.1240614881285</v>
      </c>
      <c r="C10" s="32">
        <v>1442.6088609944095</v>
      </c>
      <c r="D10" s="33">
        <v>1371.5152004936613</v>
      </c>
      <c r="E10" s="32">
        <v>2509.0137685057039</v>
      </c>
      <c r="F10" s="32">
        <v>1290.0537145032206</v>
      </c>
      <c r="G10" s="33">
        <v>1218.9600540024724</v>
      </c>
      <c r="H10" s="32">
        <v>305.11029298239049</v>
      </c>
      <c r="I10" s="32">
        <v>152.5551464911957</v>
      </c>
      <c r="J10" s="32">
        <v>152.5551464911957</v>
      </c>
      <c r="K10" s="125">
        <v>2909.049458338136</v>
      </c>
      <c r="L10" s="32">
        <v>1491.2706170638958</v>
      </c>
      <c r="M10" s="32">
        <v>1417.7788412742957</v>
      </c>
      <c r="N10" s="35">
        <v>2593.6472539078159</v>
      </c>
      <c r="O10" s="32">
        <v>1333.5695148487123</v>
      </c>
      <c r="P10" s="33">
        <v>1260.0777390591122</v>
      </c>
      <c r="Q10" s="32">
        <v>315.40220443034713</v>
      </c>
      <c r="R10" s="32">
        <v>157.70110221517353</v>
      </c>
      <c r="S10" s="34">
        <v>157.70110221517353</v>
      </c>
      <c r="T10" s="32">
        <v>3006.8874213457561</v>
      </c>
      <c r="U10" s="32">
        <v>1541.4254465214565</v>
      </c>
      <c r="V10" s="32">
        <v>1465.4619748243006</v>
      </c>
      <c r="W10" s="35">
        <v>2680.8775219787954</v>
      </c>
      <c r="X10" s="32">
        <v>1378.4204968379761</v>
      </c>
      <c r="Y10" s="33">
        <v>1302.4570251408202</v>
      </c>
      <c r="Z10" s="32">
        <v>326.00989936696192</v>
      </c>
      <c r="AA10" s="32">
        <v>163.0049496834815</v>
      </c>
      <c r="AB10" s="32">
        <v>163.0049496834815</v>
      </c>
    </row>
    <row r="11" spans="1:28" s="5" customFormat="1" ht="12" customHeight="1" x14ac:dyDescent="0.2">
      <c r="A11" s="36" t="s">
        <v>10</v>
      </c>
      <c r="B11" s="32">
        <v>2048.3860931778686</v>
      </c>
      <c r="C11" s="32">
        <v>1051.5937282402942</v>
      </c>
      <c r="D11" s="33">
        <v>996.79236493763199</v>
      </c>
      <c r="E11" s="37">
        <v>1772.898158737469</v>
      </c>
      <c r="F11" s="37">
        <v>903.48193553039278</v>
      </c>
      <c r="G11" s="38">
        <v>869.41622320711497</v>
      </c>
      <c r="H11" s="37">
        <v>275.48793444041092</v>
      </c>
      <c r="I11" s="37">
        <v>148.11179270989876</v>
      </c>
      <c r="J11" s="37">
        <v>127.37614173051305</v>
      </c>
      <c r="K11" s="125">
        <v>2117.4817899377695</v>
      </c>
      <c r="L11" s="32">
        <v>1087.0658502210954</v>
      </c>
      <c r="M11" s="32">
        <v>1030.415939716612</v>
      </c>
      <c r="N11" s="40">
        <v>1832.7011587530794</v>
      </c>
      <c r="O11" s="37">
        <v>933.9579839927685</v>
      </c>
      <c r="P11" s="38">
        <v>898.74317476025442</v>
      </c>
      <c r="Q11" s="37">
        <v>284.7806311846827</v>
      </c>
      <c r="R11" s="37">
        <v>153.10786622832379</v>
      </c>
      <c r="S11" s="39">
        <v>131.67276495635829</v>
      </c>
      <c r="T11" s="32">
        <v>2188.697528274306</v>
      </c>
      <c r="U11" s="32">
        <v>1123.626352187099</v>
      </c>
      <c r="V11" s="32">
        <v>1065.071176087208</v>
      </c>
      <c r="W11" s="40">
        <v>1894.3390754478266</v>
      </c>
      <c r="X11" s="37">
        <v>965.36911948469083</v>
      </c>
      <c r="Y11" s="38">
        <v>928.96995596313695</v>
      </c>
      <c r="Z11" s="37">
        <v>294.35845282648029</v>
      </c>
      <c r="AA11" s="37">
        <v>158.25723270240925</v>
      </c>
      <c r="AB11" s="37">
        <v>136.10122012407211</v>
      </c>
    </row>
    <row r="12" spans="1:28" s="5" customFormat="1" ht="12" customHeight="1" x14ac:dyDescent="0.2">
      <c r="A12" s="36" t="s">
        <v>11</v>
      </c>
      <c r="B12" s="37">
        <v>1956.5664448658115</v>
      </c>
      <c r="C12" s="37">
        <v>984.27576897154529</v>
      </c>
      <c r="D12" s="38">
        <v>972.2906758942662</v>
      </c>
      <c r="E12" s="32">
        <v>1767.8012288986658</v>
      </c>
      <c r="F12" s="32">
        <v>889.89316098797246</v>
      </c>
      <c r="G12" s="33">
        <v>877.90806791069338</v>
      </c>
      <c r="H12" s="32">
        <v>188.76521596714571</v>
      </c>
      <c r="I12" s="32">
        <v>94.382607983572882</v>
      </c>
      <c r="J12" s="32">
        <v>94.382607983572882</v>
      </c>
      <c r="K12" s="126">
        <v>2022.5649019999703</v>
      </c>
      <c r="L12" s="37">
        <v>1017.4771367641798</v>
      </c>
      <c r="M12" s="37">
        <v>1005.0877652358487</v>
      </c>
      <c r="N12" s="35">
        <v>1827.4323004287692</v>
      </c>
      <c r="O12" s="32">
        <v>919.91083597857209</v>
      </c>
      <c r="P12" s="33">
        <v>907.52146445024096</v>
      </c>
      <c r="Q12" s="32">
        <v>195.13260157121098</v>
      </c>
      <c r="R12" s="32">
        <v>97.566300785605321</v>
      </c>
      <c r="S12" s="34">
        <v>97.566300785605321</v>
      </c>
      <c r="T12" s="37">
        <v>2090.588369079685</v>
      </c>
      <c r="U12" s="37">
        <v>1051.6972117039427</v>
      </c>
      <c r="V12" s="37">
        <v>1038.8911573757364</v>
      </c>
      <c r="W12" s="35">
        <v>1888.8930134104296</v>
      </c>
      <c r="X12" s="32">
        <v>950.84953386931795</v>
      </c>
      <c r="Y12" s="33">
        <v>938.04347954111165</v>
      </c>
      <c r="Z12" s="32">
        <v>201.69535566924932</v>
      </c>
      <c r="AA12" s="32">
        <v>100.84767783462469</v>
      </c>
      <c r="AB12" s="32">
        <v>100.84767783462469</v>
      </c>
    </row>
    <row r="13" spans="1:28" s="5" customFormat="1" ht="12" customHeight="1" x14ac:dyDescent="0.2">
      <c r="A13" s="36" t="s">
        <v>12</v>
      </c>
      <c r="B13" s="37">
        <v>1447.1999890814502</v>
      </c>
      <c r="C13" s="37">
        <v>798.50682627371941</v>
      </c>
      <c r="D13" s="38">
        <v>648.6931628077308</v>
      </c>
      <c r="E13" s="37">
        <v>1280.9068226342029</v>
      </c>
      <c r="F13" s="37">
        <v>701.12794502082681</v>
      </c>
      <c r="G13" s="38">
        <v>579.77887761337604</v>
      </c>
      <c r="H13" s="37">
        <v>166.29316644724742</v>
      </c>
      <c r="I13" s="37">
        <v>97.378881252892654</v>
      </c>
      <c r="J13" s="37">
        <v>68.914285194354818</v>
      </c>
      <c r="K13" s="126">
        <v>1496.0166120459355</v>
      </c>
      <c r="L13" s="37">
        <v>825.44187807504716</v>
      </c>
      <c r="M13" s="37">
        <v>670.57473397090791</v>
      </c>
      <c r="N13" s="40">
        <v>1324.1140820903536</v>
      </c>
      <c r="O13" s="37">
        <v>724.77823440735665</v>
      </c>
      <c r="P13" s="38">
        <v>599.33584768300386</v>
      </c>
      <c r="Q13" s="37">
        <v>171.90252995559052</v>
      </c>
      <c r="R13" s="37">
        <v>100.66364366768802</v>
      </c>
      <c r="S13" s="39">
        <v>71.238886287902375</v>
      </c>
      <c r="T13" s="37">
        <v>1546.3310601309111</v>
      </c>
      <c r="U13" s="37">
        <v>853.20336961674491</v>
      </c>
      <c r="V13" s="37">
        <v>693.12769051416615</v>
      </c>
      <c r="W13" s="40">
        <v>1368.6470563270486</v>
      </c>
      <c r="X13" s="37">
        <v>749.15417820006871</v>
      </c>
      <c r="Y13" s="38">
        <v>619.49287812697992</v>
      </c>
      <c r="Z13" s="37">
        <v>177.68400380386251</v>
      </c>
      <c r="AA13" s="37">
        <v>104.04919141667627</v>
      </c>
      <c r="AB13" s="37">
        <v>73.634812387186301</v>
      </c>
    </row>
    <row r="14" spans="1:28" s="5" customFormat="1" ht="12" customHeight="1" x14ac:dyDescent="0.2">
      <c r="A14" s="36" t="s">
        <v>13</v>
      </c>
      <c r="B14" s="37">
        <v>1065.1751472431793</v>
      </c>
      <c r="C14" s="37">
        <v>572.28819444007661</v>
      </c>
      <c r="D14" s="38">
        <v>492.88695280310259</v>
      </c>
      <c r="E14" s="37">
        <v>927.34657685446962</v>
      </c>
      <c r="F14" s="37">
        <v>504.87204588038168</v>
      </c>
      <c r="G14" s="38">
        <v>422.47453097408794</v>
      </c>
      <c r="H14" s="37">
        <v>137.82857038870958</v>
      </c>
      <c r="I14" s="37">
        <v>67.416148559694932</v>
      </c>
      <c r="J14" s="37">
        <v>70.412421829014704</v>
      </c>
      <c r="K14" s="126">
        <v>1101.1053945804094</v>
      </c>
      <c r="L14" s="37">
        <v>591.5924904777969</v>
      </c>
      <c r="M14" s="37">
        <v>509.51290410260322</v>
      </c>
      <c r="N14" s="40">
        <v>958.62762200460691</v>
      </c>
      <c r="O14" s="37">
        <v>521.90227563093424</v>
      </c>
      <c r="P14" s="38">
        <v>436.72534637366044</v>
      </c>
      <c r="Q14" s="37">
        <v>142.47777257580461</v>
      </c>
      <c r="R14" s="37">
        <v>69.690214846861025</v>
      </c>
      <c r="S14" s="39">
        <v>72.787557728943725</v>
      </c>
      <c r="T14" s="37">
        <v>1138.1380784193352</v>
      </c>
      <c r="U14" s="37">
        <v>611.48909417185098</v>
      </c>
      <c r="V14" s="37">
        <v>526.64898424748424</v>
      </c>
      <c r="W14" s="40">
        <v>990.86845364496264</v>
      </c>
      <c r="X14" s="37">
        <v>539.45503857569054</v>
      </c>
      <c r="Y14" s="38">
        <v>451.41341506927222</v>
      </c>
      <c r="Z14" s="37">
        <v>147.26962477437255</v>
      </c>
      <c r="AA14" s="37">
        <v>72.034055596160513</v>
      </c>
      <c r="AB14" s="37">
        <v>75.235569178212089</v>
      </c>
    </row>
    <row r="15" spans="1:28" s="5" customFormat="1" ht="12" customHeight="1" x14ac:dyDescent="0.2">
      <c r="A15" s="36" t="s">
        <v>14</v>
      </c>
      <c r="B15" s="37">
        <v>811.96656209780281</v>
      </c>
      <c r="C15" s="37">
        <v>441.57036650756442</v>
      </c>
      <c r="D15" s="38">
        <v>370.39619559022674</v>
      </c>
      <c r="E15" s="37">
        <v>700.12143637055351</v>
      </c>
      <c r="F15" s="37">
        <v>383.46900249341121</v>
      </c>
      <c r="G15" s="38">
        <v>316.65243387713502</v>
      </c>
      <c r="H15" s="37">
        <v>111.84512572724495</v>
      </c>
      <c r="I15" s="37">
        <v>58.101364014153226</v>
      </c>
      <c r="J15" s="37">
        <v>53.743761713091736</v>
      </c>
      <c r="K15" s="126">
        <v>839.35563466603378</v>
      </c>
      <c r="L15" s="37">
        <v>456.46531831569183</v>
      </c>
      <c r="M15" s="37">
        <v>382.89031635033439</v>
      </c>
      <c r="N15" s="40">
        <v>723.73777443475342</v>
      </c>
      <c r="O15" s="37">
        <v>396.40409222152249</v>
      </c>
      <c r="P15" s="38">
        <v>327.33368221322775</v>
      </c>
      <c r="Q15" s="37">
        <v>115.61786023127814</v>
      </c>
      <c r="R15" s="37">
        <v>60.061226094170458</v>
      </c>
      <c r="S15" s="39">
        <v>55.556634137107672</v>
      </c>
      <c r="T15" s="37">
        <v>867.58507755133712</v>
      </c>
      <c r="U15" s="37">
        <v>471.8172872551151</v>
      </c>
      <c r="V15" s="37">
        <v>395.76779029623071</v>
      </c>
      <c r="W15" s="40">
        <v>748.07872518738031</v>
      </c>
      <c r="X15" s="37">
        <v>409.73606524786254</v>
      </c>
      <c r="Y15" s="38">
        <v>338.34265993952209</v>
      </c>
      <c r="Z15" s="37">
        <v>119.50635236395927</v>
      </c>
      <c r="AA15" s="37">
        <v>62.081222007251689</v>
      </c>
      <c r="AB15" s="37">
        <v>57.425130356707811</v>
      </c>
    </row>
    <row r="16" spans="1:28" s="5" customFormat="1" ht="12" customHeight="1" x14ac:dyDescent="0.2">
      <c r="A16" s="36" t="s">
        <v>15</v>
      </c>
      <c r="B16" s="37">
        <v>666.71315206241411</v>
      </c>
      <c r="C16" s="37">
        <v>347.15564998456546</v>
      </c>
      <c r="D16" s="38">
        <v>319.55750207784268</v>
      </c>
      <c r="E16" s="37">
        <v>576.65603784047312</v>
      </c>
      <c r="F16" s="37">
        <v>307.93722927501204</v>
      </c>
      <c r="G16" s="38">
        <v>268.71880856545863</v>
      </c>
      <c r="H16" s="37">
        <v>90.057114221937496</v>
      </c>
      <c r="I16" s="37">
        <v>39.218420709553435</v>
      </c>
      <c r="J16" s="37">
        <v>50.838693512384076</v>
      </c>
      <c r="K16" s="126">
        <v>689.20256943060474</v>
      </c>
      <c r="L16" s="37">
        <v>358.86582591266665</v>
      </c>
      <c r="M16" s="37">
        <v>330.33674351793621</v>
      </c>
      <c r="N16" s="40">
        <v>596.10766898463874</v>
      </c>
      <c r="O16" s="37">
        <v>318.32449829910234</v>
      </c>
      <c r="P16" s="38">
        <v>277.78317068553804</v>
      </c>
      <c r="Q16" s="37">
        <v>93.094900445964214</v>
      </c>
      <c r="R16" s="37">
        <v>40.541327613565052</v>
      </c>
      <c r="S16" s="39">
        <v>52.553572832399148</v>
      </c>
      <c r="T16" s="37">
        <v>712.3820225332114</v>
      </c>
      <c r="U16" s="37">
        <v>370.93530149332969</v>
      </c>
      <c r="V16" s="37">
        <v>341.44672103988472</v>
      </c>
      <c r="W16" s="40">
        <v>616.15612842197345</v>
      </c>
      <c r="X16" s="37">
        <v>329.03047663843421</v>
      </c>
      <c r="Y16" s="38">
        <v>287.12565178353873</v>
      </c>
      <c r="Z16" s="37">
        <v>96.225894111239981</v>
      </c>
      <c r="AA16" s="37">
        <v>41.904824854894883</v>
      </c>
      <c r="AB16" s="37">
        <v>54.321069256345226</v>
      </c>
    </row>
    <row r="17" spans="1:80" s="5" customFormat="1" ht="12" customHeight="1" x14ac:dyDescent="0.2">
      <c r="A17" s="36" t="s">
        <v>16</v>
      </c>
      <c r="B17" s="37">
        <v>504.02933282277911</v>
      </c>
      <c r="C17" s="37">
        <v>262.90867216404331</v>
      </c>
      <c r="D17" s="38">
        <v>241.12066065873583</v>
      </c>
      <c r="E17" s="37">
        <v>427.04502550402611</v>
      </c>
      <c r="F17" s="37">
        <v>228.04785375555136</v>
      </c>
      <c r="G17" s="38">
        <v>198.99717174847476</v>
      </c>
      <c r="H17" s="37">
        <v>76.984307318753025</v>
      </c>
      <c r="I17" s="37">
        <v>34.860818408491944</v>
      </c>
      <c r="J17" s="37">
        <v>42.123488910261095</v>
      </c>
      <c r="K17" s="126">
        <v>521.03113636692422</v>
      </c>
      <c r="L17" s="37">
        <v>271.7770480761211</v>
      </c>
      <c r="M17" s="37">
        <v>249.25408829080746</v>
      </c>
      <c r="N17" s="40">
        <v>441.4500117921495</v>
      </c>
      <c r="O17" s="37">
        <v>235.7403124196191</v>
      </c>
      <c r="P17" s="38">
        <v>205.70969937253386</v>
      </c>
      <c r="Q17" s="37">
        <v>79.581124574775856</v>
      </c>
      <c r="R17" s="37">
        <v>36.036735656502266</v>
      </c>
      <c r="S17" s="39">
        <v>43.544388918273576</v>
      </c>
      <c r="T17" s="37">
        <v>538.55460091291059</v>
      </c>
      <c r="U17" s="37">
        <v>280.91752958281347</v>
      </c>
      <c r="V17" s="37">
        <v>257.63707133009376</v>
      </c>
      <c r="W17" s="40">
        <v>456.29698175330196</v>
      </c>
      <c r="X17" s="37">
        <v>243.66879637846213</v>
      </c>
      <c r="Y17" s="38">
        <v>212.62818537483642</v>
      </c>
      <c r="Z17" s="37">
        <v>82.25761915960841</v>
      </c>
      <c r="AA17" s="37">
        <v>37.248733204351005</v>
      </c>
      <c r="AB17" s="37">
        <v>45.008885955257469</v>
      </c>
    </row>
    <row r="18" spans="1:80" s="5" customFormat="1" ht="12" customHeight="1" x14ac:dyDescent="0.2">
      <c r="A18" s="36" t="s">
        <v>17</v>
      </c>
      <c r="B18" s="37">
        <v>441.57036650756442</v>
      </c>
      <c r="C18" s="37">
        <v>255.64600166227413</v>
      </c>
      <c r="D18" s="38">
        <v>185.92436484529028</v>
      </c>
      <c r="E18" s="37">
        <v>386.37407069411887</v>
      </c>
      <c r="F18" s="37">
        <v>217.88011505307455</v>
      </c>
      <c r="G18" s="38">
        <v>168.49395564104432</v>
      </c>
      <c r="H18" s="37">
        <v>55.196295813445566</v>
      </c>
      <c r="I18" s="37">
        <v>37.765886609199605</v>
      </c>
      <c r="J18" s="37">
        <v>17.430409204245979</v>
      </c>
      <c r="K18" s="126">
        <v>456.46531831569183</v>
      </c>
      <c r="L18" s="37">
        <v>264.26939481434994</v>
      </c>
      <c r="M18" s="37">
        <v>192.1959235013455</v>
      </c>
      <c r="N18" s="40">
        <v>399.40715352623096</v>
      </c>
      <c r="O18" s="37">
        <v>225.22959785313927</v>
      </c>
      <c r="P18" s="38">
        <v>174.17755567309436</v>
      </c>
      <c r="Q18" s="37">
        <v>57.058164789461934</v>
      </c>
      <c r="R18" s="37">
        <v>39.03979696121079</v>
      </c>
      <c r="S18" s="39">
        <v>18.018367828251126</v>
      </c>
      <c r="T18" s="37">
        <v>471.8172872551151</v>
      </c>
      <c r="U18" s="37">
        <v>273.1573768319069</v>
      </c>
      <c r="V18" s="37">
        <v>198.65991042320485</v>
      </c>
      <c r="W18" s="40">
        <v>412.84012634822517</v>
      </c>
      <c r="X18" s="37">
        <v>232.80458252719313</v>
      </c>
      <c r="Y18" s="38">
        <v>180.03554382102942</v>
      </c>
      <c r="Z18" s="37">
        <v>58.977160906889104</v>
      </c>
      <c r="AA18" s="37">
        <v>40.352794304713591</v>
      </c>
      <c r="AB18" s="37">
        <v>18.624366602175492</v>
      </c>
    </row>
    <row r="19" spans="1:80" s="5" customFormat="1" ht="12" customHeight="1" x14ac:dyDescent="0.2">
      <c r="A19" s="36" t="s">
        <v>18</v>
      </c>
      <c r="B19" s="37">
        <v>298.33414376780416</v>
      </c>
      <c r="C19" s="37">
        <v>161.39388105471386</v>
      </c>
      <c r="D19" s="38">
        <v>136.94026271309059</v>
      </c>
      <c r="E19" s="37">
        <v>257.57811319843205</v>
      </c>
      <c r="F19" s="37">
        <v>136.94026271309059</v>
      </c>
      <c r="G19" s="38">
        <v>120.63785048534173</v>
      </c>
      <c r="H19" s="37">
        <v>40.756030569372285</v>
      </c>
      <c r="I19" s="37">
        <v>24.453618341623372</v>
      </c>
      <c r="J19" s="37">
        <v>16.302412227748913</v>
      </c>
      <c r="K19" s="126">
        <v>308.39748368186542</v>
      </c>
      <c r="L19" s="37">
        <v>166.83798297543493</v>
      </c>
      <c r="M19" s="37">
        <v>141.55950070642947</v>
      </c>
      <c r="N19" s="40">
        <v>266.26667990018967</v>
      </c>
      <c r="O19" s="37">
        <v>141.55950070642947</v>
      </c>
      <c r="P19" s="38">
        <v>124.70717919375919</v>
      </c>
      <c r="Q19" s="37">
        <v>42.130803781675411</v>
      </c>
      <c r="R19" s="37">
        <v>25.278482269005252</v>
      </c>
      <c r="S19" s="39">
        <v>16.852321512670173</v>
      </c>
      <c r="T19" s="37">
        <v>318.76959389595066</v>
      </c>
      <c r="U19" s="37">
        <v>172.44912456666171</v>
      </c>
      <c r="V19" s="37">
        <v>146.32046932928887</v>
      </c>
      <c r="W19" s="40">
        <v>275.22183516699522</v>
      </c>
      <c r="X19" s="37">
        <v>146.32046932928887</v>
      </c>
      <c r="Y19" s="38">
        <v>128.90136583770698</v>
      </c>
      <c r="Z19" s="37">
        <v>43.547758728955024</v>
      </c>
      <c r="AA19" s="37">
        <v>26.128655237373003</v>
      </c>
      <c r="AB19" s="37">
        <v>17.419103491582003</v>
      </c>
    </row>
    <row r="20" spans="1:80" s="5" customFormat="1" ht="12" customHeight="1" x14ac:dyDescent="0.2">
      <c r="A20" s="36" t="s">
        <v>19</v>
      </c>
      <c r="B20" s="37">
        <v>264.09907808953159</v>
      </c>
      <c r="C20" s="37">
        <v>149.98219249528967</v>
      </c>
      <c r="D20" s="38">
        <v>114.11688559424219</v>
      </c>
      <c r="E20" s="37">
        <v>238.01521852513343</v>
      </c>
      <c r="F20" s="37">
        <v>136.94026271309059</v>
      </c>
      <c r="G20" s="38">
        <v>101.07495581204311</v>
      </c>
      <c r="H20" s="37">
        <v>26.083859564398264</v>
      </c>
      <c r="I20" s="37">
        <v>13.04192978219913</v>
      </c>
      <c r="J20" s="37">
        <v>13.04192978219913</v>
      </c>
      <c r="K20" s="126">
        <v>273.00760850525779</v>
      </c>
      <c r="L20" s="37">
        <v>155.04135791656572</v>
      </c>
      <c r="M20" s="37">
        <v>117.96625058869112</v>
      </c>
      <c r="N20" s="40">
        <v>246.04389408498534</v>
      </c>
      <c r="O20" s="37">
        <v>141.55950070642947</v>
      </c>
      <c r="P20" s="38">
        <v>104.484393378555</v>
      </c>
      <c r="Q20" s="37">
        <v>26.963714420272268</v>
      </c>
      <c r="R20" s="37">
        <v>13.481857210136139</v>
      </c>
      <c r="S20" s="39">
        <v>13.481857210136139</v>
      </c>
      <c r="T20" s="37">
        <v>282.18947656362809</v>
      </c>
      <c r="U20" s="37">
        <v>160.25575212255438</v>
      </c>
      <c r="V20" s="37">
        <v>121.93372444107418</v>
      </c>
      <c r="W20" s="40">
        <v>254.31891097709661</v>
      </c>
      <c r="X20" s="37">
        <v>146.32046932928887</v>
      </c>
      <c r="Y20" s="38">
        <v>107.99844164780855</v>
      </c>
      <c r="Z20" s="37">
        <v>27.870565586531203</v>
      </c>
      <c r="AA20" s="37">
        <v>13.935282793265602</v>
      </c>
      <c r="AB20" s="37">
        <v>13.935282793265602</v>
      </c>
    </row>
    <row r="21" spans="1:80" s="5" customFormat="1" ht="12" customHeight="1" x14ac:dyDescent="0.2">
      <c r="A21" s="36" t="s">
        <v>20</v>
      </c>
      <c r="B21" s="37">
        <v>151.61243371806455</v>
      </c>
      <c r="C21" s="37">
        <v>63.579407688220769</v>
      </c>
      <c r="D21" s="38">
        <v>88.033026029844038</v>
      </c>
      <c r="E21" s="37">
        <v>140.20074515864036</v>
      </c>
      <c r="F21" s="37">
        <v>61.949166465445877</v>
      </c>
      <c r="G21" s="38">
        <v>78.25157869319473</v>
      </c>
      <c r="H21" s="37">
        <v>11.411688559424238</v>
      </c>
      <c r="I21" s="37">
        <v>1.630241222774891</v>
      </c>
      <c r="J21" s="37">
        <v>9.7814473366493466</v>
      </c>
      <c r="K21" s="126">
        <v>156.72659006783275</v>
      </c>
      <c r="L21" s="37">
        <v>65.724053899413633</v>
      </c>
      <c r="M21" s="37">
        <v>91.002536168418871</v>
      </c>
      <c r="N21" s="40">
        <v>144.92996500896353</v>
      </c>
      <c r="O21" s="37">
        <v>64.038821748146617</v>
      </c>
      <c r="P21" s="38">
        <v>80.891143260816776</v>
      </c>
      <c r="Q21" s="37">
        <v>11.796625058869122</v>
      </c>
      <c r="R21" s="37">
        <v>1.6852321512670174</v>
      </c>
      <c r="S21" s="39">
        <v>10.111392907602104</v>
      </c>
      <c r="T21" s="37">
        <v>161.99766247171257</v>
      </c>
      <c r="U21" s="37">
        <v>67.934503617169867</v>
      </c>
      <c r="V21" s="37">
        <v>94.06315885454292</v>
      </c>
      <c r="W21" s="40">
        <v>149.80429002760525</v>
      </c>
      <c r="X21" s="37">
        <v>66.192593268011663</v>
      </c>
      <c r="Y21" s="38">
        <v>83.611696759593698</v>
      </c>
      <c r="Z21" s="37">
        <v>12.193372444107402</v>
      </c>
      <c r="AA21" s="37">
        <v>1.7419103491582002</v>
      </c>
      <c r="AB21" s="37">
        <v>10.451462094949202</v>
      </c>
    </row>
    <row r="22" spans="1:80" s="5" customFormat="1" ht="12" customHeight="1" x14ac:dyDescent="0.2">
      <c r="A22" s="116" t="s">
        <v>40</v>
      </c>
      <c r="B22" s="37">
        <v>163.02412227748874</v>
      </c>
      <c r="C22" s="37">
        <v>81.5120611387445</v>
      </c>
      <c r="D22" s="38">
        <v>81.5120611387445</v>
      </c>
      <c r="E22" s="37">
        <v>151.61243371806455</v>
      </c>
      <c r="F22" s="37">
        <v>74.991096247644961</v>
      </c>
      <c r="G22" s="38">
        <v>76.621337470419846</v>
      </c>
      <c r="H22" s="37">
        <v>11.411688559424238</v>
      </c>
      <c r="I22" s="37">
        <v>6.5209648910995641</v>
      </c>
      <c r="J22" s="37">
        <v>4.8907236683246733</v>
      </c>
      <c r="K22" s="126">
        <v>168.52321512670196</v>
      </c>
      <c r="L22" s="37">
        <v>84.261607563350807</v>
      </c>
      <c r="M22" s="37">
        <v>84.261607563350807</v>
      </c>
      <c r="N22" s="40">
        <v>156.72659006783275</v>
      </c>
      <c r="O22" s="37">
        <v>77.520678958282744</v>
      </c>
      <c r="P22" s="38">
        <v>79.20591110954976</v>
      </c>
      <c r="Q22" s="37">
        <v>11.796625058869122</v>
      </c>
      <c r="R22" s="37">
        <v>6.7409286050680697</v>
      </c>
      <c r="S22" s="39">
        <v>5.055696453801052</v>
      </c>
      <c r="T22" s="37">
        <v>174.1910349158199</v>
      </c>
      <c r="U22" s="37">
        <v>87.095517457910105</v>
      </c>
      <c r="V22" s="37">
        <v>87.095517457910105</v>
      </c>
      <c r="W22" s="40">
        <v>161.99766247171257</v>
      </c>
      <c r="X22" s="37">
        <v>80.127876061277291</v>
      </c>
      <c r="Y22" s="38">
        <v>81.869786410435495</v>
      </c>
      <c r="Z22" s="37">
        <v>12.193372444107402</v>
      </c>
      <c r="AA22" s="37">
        <v>6.9676413966328008</v>
      </c>
      <c r="AB22" s="37">
        <v>5.2257310474746008</v>
      </c>
    </row>
    <row r="23" spans="1:80" s="5" customFormat="1" ht="12" customHeight="1" x14ac:dyDescent="0.2">
      <c r="A23" s="36" t="s">
        <v>41</v>
      </c>
      <c r="B23" s="37">
        <v>30.974583232722939</v>
      </c>
      <c r="C23" s="37">
        <v>13.04192978219913</v>
      </c>
      <c r="D23" s="38">
        <v>17.932653450523805</v>
      </c>
      <c r="E23" s="37">
        <v>26.083859564398264</v>
      </c>
      <c r="F23" s="37">
        <v>11.411688559424238</v>
      </c>
      <c r="G23" s="38">
        <v>14.672171004974022</v>
      </c>
      <c r="H23" s="37">
        <v>4.8907236683246733</v>
      </c>
      <c r="I23" s="37">
        <v>1.630241222774891</v>
      </c>
      <c r="J23" s="37">
        <v>3.2604824455497821</v>
      </c>
      <c r="K23" s="126">
        <v>32.019410874073316</v>
      </c>
      <c r="L23" s="37">
        <v>13.481857210136139</v>
      </c>
      <c r="M23" s="37">
        <v>18.537553663937189</v>
      </c>
      <c r="N23" s="40">
        <v>26.963714420272268</v>
      </c>
      <c r="O23" s="37">
        <v>11.796625058869122</v>
      </c>
      <c r="P23" s="38">
        <v>15.167089361403157</v>
      </c>
      <c r="Q23" s="37">
        <v>5.055696453801052</v>
      </c>
      <c r="R23" s="37">
        <v>1.6852321512670174</v>
      </c>
      <c r="S23" s="39">
        <v>3.3704643025340348</v>
      </c>
      <c r="T23" s="37">
        <v>33.096296634005803</v>
      </c>
      <c r="U23" s="37">
        <v>13.935282793265602</v>
      </c>
      <c r="V23" s="37">
        <v>19.161013840740203</v>
      </c>
      <c r="W23" s="40">
        <v>27.870565586531203</v>
      </c>
      <c r="X23" s="37">
        <v>12.193372444107402</v>
      </c>
      <c r="Y23" s="38">
        <v>15.677193142423802</v>
      </c>
      <c r="Z23" s="37">
        <v>5.2257310474746008</v>
      </c>
      <c r="AA23" s="37">
        <v>1.7419103491582002</v>
      </c>
      <c r="AB23" s="37">
        <v>3.4838206983164004</v>
      </c>
    </row>
    <row r="24" spans="1:80" s="5" customFormat="1" ht="12" customHeight="1" x14ac:dyDescent="0.2">
      <c r="A24" s="36" t="s">
        <v>42</v>
      </c>
      <c r="B24" s="37">
        <v>26.083859564398264</v>
      </c>
      <c r="C24" s="37">
        <v>17.932653450523805</v>
      </c>
      <c r="D24" s="38">
        <v>8.1512061138744549</v>
      </c>
      <c r="E24" s="37">
        <v>17.932653450523805</v>
      </c>
      <c r="F24" s="37">
        <v>14.672171004974022</v>
      </c>
      <c r="G24" s="38">
        <v>3.2604824455497821</v>
      </c>
      <c r="H24" s="37">
        <v>8.1512061138744549</v>
      </c>
      <c r="I24" s="37">
        <v>3.2604824455497821</v>
      </c>
      <c r="J24" s="37">
        <v>4.8907236683246733</v>
      </c>
      <c r="K24" s="126">
        <v>26.963714420272268</v>
      </c>
      <c r="L24" s="37">
        <v>18.537553663937189</v>
      </c>
      <c r="M24" s="37">
        <v>8.4261607563350864</v>
      </c>
      <c r="N24" s="40">
        <v>18.537553663937189</v>
      </c>
      <c r="O24" s="37">
        <v>15.167089361403157</v>
      </c>
      <c r="P24" s="38">
        <v>3.3704643025340348</v>
      </c>
      <c r="Q24" s="37">
        <v>8.4261607563350864</v>
      </c>
      <c r="R24" s="37">
        <v>3.3704643025340348</v>
      </c>
      <c r="S24" s="39">
        <v>5.055696453801052</v>
      </c>
      <c r="T24" s="37">
        <v>27.870565586531203</v>
      </c>
      <c r="U24" s="37">
        <v>19.161013840740203</v>
      </c>
      <c r="V24" s="37">
        <v>8.7095517457910017</v>
      </c>
      <c r="W24" s="40">
        <v>19.161013840740203</v>
      </c>
      <c r="X24" s="37">
        <v>15.677193142423802</v>
      </c>
      <c r="Y24" s="38">
        <v>3.4838206983164004</v>
      </c>
      <c r="Z24" s="37">
        <v>8.7095517457910017</v>
      </c>
      <c r="AA24" s="37">
        <v>3.4838206983164004</v>
      </c>
      <c r="AB24" s="37">
        <v>5.2257310474746008</v>
      </c>
    </row>
    <row r="25" spans="1:80" s="5" customFormat="1" ht="12" customHeight="1" thickBot="1" x14ac:dyDescent="0.25">
      <c r="A25" s="41" t="s">
        <v>30</v>
      </c>
      <c r="B25" s="42">
        <v>11.411688559424238</v>
      </c>
      <c r="C25" s="42">
        <v>1.630241222774891</v>
      </c>
      <c r="D25" s="43">
        <v>9.7814473366493466</v>
      </c>
      <c r="E25" s="42">
        <v>9.7814473366493466</v>
      </c>
      <c r="F25" s="42">
        <v>1.630241222774891</v>
      </c>
      <c r="G25" s="43">
        <v>8.1512061138744549</v>
      </c>
      <c r="H25" s="42">
        <v>1.630241222774891</v>
      </c>
      <c r="I25" s="156">
        <v>0</v>
      </c>
      <c r="J25" s="42">
        <v>1.630241222774891</v>
      </c>
      <c r="K25" s="123">
        <v>11.796625058869122</v>
      </c>
      <c r="L25" s="42">
        <v>1.6852321512670174</v>
      </c>
      <c r="M25" s="42">
        <v>10.111392907602104</v>
      </c>
      <c r="N25" s="45">
        <v>10.111392907602104</v>
      </c>
      <c r="O25" s="42">
        <v>1.6852321512670174</v>
      </c>
      <c r="P25" s="43">
        <v>8.4261607563350864</v>
      </c>
      <c r="Q25" s="42">
        <v>1.6852321512670174</v>
      </c>
      <c r="R25" s="156">
        <v>0</v>
      </c>
      <c r="S25" s="44">
        <v>1.6852321512670174</v>
      </c>
      <c r="T25" s="42">
        <v>12.193372444107402</v>
      </c>
      <c r="U25" s="42">
        <v>1.7419103491582002</v>
      </c>
      <c r="V25" s="42">
        <v>10.451462094949202</v>
      </c>
      <c r="W25" s="45">
        <v>10.451462094949202</v>
      </c>
      <c r="X25" s="42">
        <v>1.7419103491582002</v>
      </c>
      <c r="Y25" s="43">
        <v>8.7095517457910017</v>
      </c>
      <c r="Z25" s="45">
        <v>1.7419103491582002</v>
      </c>
      <c r="AA25" s="156">
        <v>0</v>
      </c>
      <c r="AB25" s="42">
        <v>1.7419103491582002</v>
      </c>
    </row>
    <row r="26" spans="1:80" s="5" customFormat="1" ht="12" customHeight="1" x14ac:dyDescent="0.2">
      <c r="A26" s="200" t="s">
        <v>97</v>
      </c>
      <c r="B26" s="201">
        <v>15528.941967939938</v>
      </c>
      <c r="C26" s="201">
        <v>8016.3805555532508</v>
      </c>
      <c r="D26" s="201">
        <v>7512.5614123885489</v>
      </c>
      <c r="E26" s="203">
        <v>13700.331949321633</v>
      </c>
      <c r="F26" s="201">
        <v>7128.5163735666438</v>
      </c>
      <c r="G26" s="201">
        <v>6571.8155757565219</v>
      </c>
      <c r="H26" s="203">
        <v>1828.6100186188226</v>
      </c>
      <c r="I26" s="201">
        <v>887.8641819866782</v>
      </c>
      <c r="J26" s="201">
        <v>940.74583663210967</v>
      </c>
      <c r="K26" s="205">
        <v>16052.760728863113</v>
      </c>
      <c r="L26" s="201">
        <v>8286.7872927511035</v>
      </c>
      <c r="M26" s="201">
        <v>7765.973436112351</v>
      </c>
      <c r="N26" s="203">
        <v>14162.468450362499</v>
      </c>
      <c r="O26" s="201">
        <v>7368.9738768350444</v>
      </c>
      <c r="P26" s="201">
        <v>6793.4945735276315</v>
      </c>
      <c r="Q26" s="203">
        <v>1890.2922785010064</v>
      </c>
      <c r="R26" s="201">
        <v>917.81341591615683</v>
      </c>
      <c r="S26" s="204">
        <v>972.4788625848355</v>
      </c>
      <c r="T26" s="201">
        <v>16592.651656419264</v>
      </c>
      <c r="U26" s="201">
        <v>8565.4908349962461</v>
      </c>
      <c r="V26" s="201">
        <v>8027.1608214237904</v>
      </c>
      <c r="W26" s="203">
        <v>14638.784540616012</v>
      </c>
      <c r="X26" s="201">
        <v>7616.8092622058466</v>
      </c>
      <c r="Y26" s="201">
        <v>7021.9752784105995</v>
      </c>
      <c r="Z26" s="203">
        <v>1953.8671158030422</v>
      </c>
      <c r="AA26" s="201">
        <v>948.68157279017407</v>
      </c>
      <c r="AB26" s="201">
        <v>1005.1855430128703</v>
      </c>
    </row>
    <row r="27" spans="1:80" s="5" customFormat="1" ht="12" customHeight="1" x14ac:dyDescent="0.2">
      <c r="A27" s="180" t="s">
        <v>22</v>
      </c>
      <c r="B27" s="47">
        <v>718.39775388654471</v>
      </c>
      <c r="C27" s="47">
        <v>368.12733851165018</v>
      </c>
      <c r="D27" s="47">
        <v>350.27041537489129</v>
      </c>
      <c r="E27" s="50">
        <v>642.84923292333087</v>
      </c>
      <c r="F27" s="47">
        <v>332.41349223813239</v>
      </c>
      <c r="G27" s="47">
        <v>310.43574068519837</v>
      </c>
      <c r="H27" s="50">
        <v>75.548520963212241</v>
      </c>
      <c r="I27" s="47">
        <v>35.713846273518506</v>
      </c>
      <c r="J27" s="47">
        <v>39.83467468969372</v>
      </c>
      <c r="K27" s="127">
        <v>742.6305845627619</v>
      </c>
      <c r="L27" s="47">
        <v>380.54492669754825</v>
      </c>
      <c r="M27" s="47">
        <v>362.0856578652045</v>
      </c>
      <c r="N27" s="50">
        <v>664.53367796438135</v>
      </c>
      <c r="O27" s="47">
        <v>343.62638903286074</v>
      </c>
      <c r="P27" s="47">
        <v>320.90728893151459</v>
      </c>
      <c r="Q27" s="50">
        <v>78.096906598377487</v>
      </c>
      <c r="R27" s="47">
        <v>36.91853766468757</v>
      </c>
      <c r="S27" s="49">
        <v>41.178368933689974</v>
      </c>
      <c r="T27" s="47">
        <v>767.60694357669456</v>
      </c>
      <c r="U27" s="47">
        <v>393.34351984427406</v>
      </c>
      <c r="V27" s="47">
        <v>374.26342373242517</v>
      </c>
      <c r="W27" s="50">
        <v>686.88346002656465</v>
      </c>
      <c r="X27" s="47">
        <v>355.18332762057628</v>
      </c>
      <c r="Y27" s="47">
        <v>331.70013240599303</v>
      </c>
      <c r="Z27" s="50">
        <v>80.723483550131178</v>
      </c>
      <c r="AA27" s="47">
        <v>38.160192223698338</v>
      </c>
      <c r="AB27" s="47">
        <v>42.563291326432761</v>
      </c>
    </row>
    <row r="28" spans="1:80" s="5" customFormat="1" ht="12" customHeight="1" thickBot="1" x14ac:dyDescent="0.25">
      <c r="A28" s="41" t="s">
        <v>21</v>
      </c>
      <c r="B28" s="52">
        <v>14080.374968502518</v>
      </c>
      <c r="C28" s="52">
        <v>7355.7825331254389</v>
      </c>
      <c r="D28" s="52">
        <v>6724.5924353781566</v>
      </c>
      <c r="E28" s="55">
        <v>12440.72582603642</v>
      </c>
      <c r="F28" s="52">
        <v>6510.8943432939886</v>
      </c>
      <c r="G28" s="52">
        <v>5929.8314827432341</v>
      </c>
      <c r="H28" s="55">
        <v>1639.6491424663157</v>
      </c>
      <c r="I28" s="52">
        <v>844.88818983142494</v>
      </c>
      <c r="J28" s="52">
        <v>794.76095263489617</v>
      </c>
      <c r="K28" s="128">
        <v>14555.330994776825</v>
      </c>
      <c r="L28" s="52">
        <v>7603.9061271257387</v>
      </c>
      <c r="M28" s="52">
        <v>6951.4248676502039</v>
      </c>
      <c r="N28" s="55">
        <v>12860.373577997303</v>
      </c>
      <c r="O28" s="52">
        <v>6730.5183598195863</v>
      </c>
      <c r="P28" s="52">
        <v>6129.8552181769801</v>
      </c>
      <c r="Q28" s="55">
        <v>1694.957416779278</v>
      </c>
      <c r="R28" s="52">
        <v>873.38776730608254</v>
      </c>
      <c r="S28" s="54">
        <v>821.56964947319716</v>
      </c>
      <c r="T28" s="52">
        <v>15044.859947730503</v>
      </c>
      <c r="U28" s="52">
        <v>7859.6428194835134</v>
      </c>
      <c r="V28" s="52">
        <v>7185.2171282469744</v>
      </c>
      <c r="W28" s="55">
        <v>13292.897250216887</v>
      </c>
      <c r="X28" s="52">
        <v>6956.8810311121251</v>
      </c>
      <c r="Y28" s="52">
        <v>6336.0162191046647</v>
      </c>
      <c r="Z28" s="55">
        <v>1751.9626975135147</v>
      </c>
      <c r="AA28" s="52">
        <v>902.76178837130328</v>
      </c>
      <c r="AB28" s="52">
        <v>849.20090914220702</v>
      </c>
    </row>
    <row r="29" spans="1:80" customFormat="1" ht="15" x14ac:dyDescent="0.25">
      <c r="A29" s="60" t="s">
        <v>121</v>
      </c>
      <c r="B29" s="60"/>
      <c r="C29" s="5"/>
      <c r="D29" s="5"/>
      <c r="E29" s="5"/>
      <c r="F29" s="5"/>
      <c r="G29" s="5"/>
      <c r="H29" s="5"/>
      <c r="I29" s="5"/>
      <c r="J29" s="5"/>
      <c r="K29" s="56"/>
      <c r="L29" s="56"/>
      <c r="M29" s="56"/>
      <c r="N29" s="56"/>
      <c r="O29" s="56"/>
      <c r="P29" s="56"/>
      <c r="Q29" s="56"/>
      <c r="R29" s="56"/>
      <c r="S29" s="56"/>
      <c r="T29" s="56"/>
      <c r="U29" s="56"/>
      <c r="V29" s="56"/>
      <c r="W29" s="56"/>
      <c r="X29" s="56"/>
      <c r="Y29" s="56"/>
      <c r="Z29" s="56"/>
      <c r="AA29" s="56"/>
      <c r="AB29" s="56"/>
      <c r="AC29" s="234"/>
      <c r="AD29" s="234"/>
      <c r="AE29" s="234"/>
      <c r="AF29" s="234"/>
      <c r="AG29" s="234"/>
      <c r="AH29" s="234"/>
      <c r="AI29" s="234"/>
      <c r="AJ29" s="234"/>
      <c r="AK29" s="234"/>
      <c r="AL29" s="234"/>
      <c r="AM29" s="234"/>
      <c r="AN29" s="234"/>
      <c r="AO29" s="234"/>
      <c r="AP29" s="234"/>
      <c r="AQ29" s="234"/>
      <c r="AR29" s="234"/>
      <c r="AS29" s="234"/>
      <c r="AT29" s="234"/>
      <c r="AU29" s="234"/>
      <c r="AV29" s="234"/>
      <c r="AW29" s="234"/>
      <c r="AX29" s="234"/>
      <c r="AY29" s="234"/>
      <c r="AZ29" s="234"/>
      <c r="BA29" s="234"/>
      <c r="BB29" s="234"/>
      <c r="BC29" s="234"/>
      <c r="BD29" s="234"/>
      <c r="BE29" s="234"/>
      <c r="BF29" s="234"/>
      <c r="BG29" s="234"/>
      <c r="BH29" s="234"/>
      <c r="BI29" s="234"/>
      <c r="BJ29" s="234"/>
      <c r="BK29" s="234"/>
      <c r="BL29" s="234"/>
      <c r="BM29" s="234"/>
      <c r="BN29" s="234"/>
      <c r="BO29" s="234"/>
      <c r="BP29" s="234"/>
      <c r="BQ29" s="234"/>
      <c r="BR29" s="234"/>
      <c r="BS29" s="234"/>
      <c r="BT29" s="234"/>
      <c r="BU29" s="234"/>
      <c r="BV29" s="234"/>
      <c r="BW29" s="234"/>
      <c r="BX29" s="234"/>
      <c r="BY29" s="234"/>
      <c r="BZ29" s="234"/>
      <c r="CA29" s="234"/>
      <c r="CB29" s="234"/>
    </row>
    <row r="30" spans="1:80" x14ac:dyDescent="0.2">
      <c r="A30" s="249"/>
      <c r="B30" s="249"/>
      <c r="C30" s="249"/>
      <c r="D30" s="249"/>
      <c r="E30" s="249"/>
      <c r="F30" s="249"/>
      <c r="G30" s="249"/>
      <c r="H30" s="249"/>
      <c r="I30" s="249"/>
      <c r="J30" s="249"/>
      <c r="K30" s="249"/>
      <c r="L30" s="249"/>
      <c r="M30" s="249"/>
      <c r="N30" s="249"/>
      <c r="O30" s="249"/>
      <c r="P30" s="249"/>
      <c r="Q30" s="249"/>
      <c r="R30" s="249"/>
      <c r="S30" s="249"/>
      <c r="T30" s="249"/>
      <c r="U30" s="249"/>
      <c r="V30" s="249"/>
      <c r="W30" s="249"/>
      <c r="X30" s="249"/>
      <c r="Y30" s="249"/>
      <c r="Z30" s="249"/>
      <c r="AA30" s="249"/>
      <c r="AB30" s="249"/>
    </row>
    <row r="31" spans="1:80" x14ac:dyDescent="0.2">
      <c r="B31" s="194"/>
    </row>
    <row r="35" ht="12" customHeight="1" x14ac:dyDescent="0.2"/>
  </sheetData>
  <mergeCells count="7">
    <mergeCell ref="A30:J30"/>
    <mergeCell ref="K30:S30"/>
    <mergeCell ref="T30:AB30"/>
    <mergeCell ref="A2:J2"/>
    <mergeCell ref="K2:S2"/>
    <mergeCell ref="T2:AB2"/>
    <mergeCell ref="A3:A4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B31"/>
  <sheetViews>
    <sheetView workbookViewId="0">
      <pane xSplit="1" topLeftCell="B1" activePane="topRight" state="frozen"/>
      <selection pane="topRight" activeCell="L19" sqref="L19"/>
    </sheetView>
  </sheetViews>
  <sheetFormatPr defaultColWidth="9.140625" defaultRowHeight="12" x14ac:dyDescent="0.2"/>
  <cols>
    <col min="1" max="1" width="16" style="1" customWidth="1"/>
    <col min="2" max="16384" width="9.140625" style="1"/>
  </cols>
  <sheetData>
    <row r="1" spans="1:28" s="5" customFormat="1" ht="30" customHeight="1" thickBot="1" x14ac:dyDescent="0.25">
      <c r="A1" s="57" t="s">
        <v>109</v>
      </c>
      <c r="B1" s="59"/>
      <c r="C1" s="59"/>
      <c r="D1" s="59"/>
      <c r="E1" s="59"/>
      <c r="F1" s="59"/>
      <c r="G1" s="59"/>
      <c r="H1" s="59"/>
      <c r="I1" s="59"/>
      <c r="J1" s="59"/>
    </row>
    <row r="2" spans="1:28" s="5" customFormat="1" ht="11.1" customHeight="1" x14ac:dyDescent="0.2">
      <c r="A2" s="235" t="s">
        <v>43</v>
      </c>
      <c r="B2" s="236"/>
      <c r="C2" s="236"/>
      <c r="D2" s="236"/>
      <c r="E2" s="236"/>
      <c r="F2" s="236"/>
      <c r="G2" s="236"/>
      <c r="H2" s="236"/>
      <c r="I2" s="236"/>
      <c r="J2" s="236"/>
      <c r="K2" s="235" t="s">
        <v>44</v>
      </c>
      <c r="L2" s="236"/>
      <c r="M2" s="236"/>
      <c r="N2" s="236"/>
      <c r="O2" s="236"/>
      <c r="P2" s="236"/>
      <c r="Q2" s="236"/>
      <c r="R2" s="236"/>
      <c r="S2" s="237"/>
      <c r="T2" s="236" t="s">
        <v>45</v>
      </c>
      <c r="U2" s="236"/>
      <c r="V2" s="236"/>
      <c r="W2" s="236"/>
      <c r="X2" s="236"/>
      <c r="Y2" s="236"/>
      <c r="Z2" s="236"/>
      <c r="AA2" s="236"/>
      <c r="AB2" s="237"/>
    </row>
    <row r="3" spans="1:28" s="5" customFormat="1" ht="17.25" customHeight="1" thickBot="1" x14ac:dyDescent="0.25">
      <c r="A3" s="243" t="s">
        <v>36</v>
      </c>
      <c r="B3" s="11"/>
      <c r="C3" s="11" t="s">
        <v>0</v>
      </c>
      <c r="D3" s="12"/>
      <c r="E3" s="13"/>
      <c r="F3" s="13" t="s">
        <v>1</v>
      </c>
      <c r="G3" s="14"/>
      <c r="H3" s="11"/>
      <c r="I3" s="11" t="s">
        <v>2</v>
      </c>
      <c r="J3" s="11"/>
      <c r="K3" s="88"/>
      <c r="L3" s="11" t="s">
        <v>0</v>
      </c>
      <c r="M3" s="12"/>
      <c r="N3" s="13"/>
      <c r="O3" s="13" t="s">
        <v>1</v>
      </c>
      <c r="P3" s="14"/>
      <c r="Q3" s="11"/>
      <c r="R3" s="11" t="s">
        <v>2</v>
      </c>
      <c r="S3" s="15"/>
      <c r="T3" s="11"/>
      <c r="U3" s="11" t="s">
        <v>0</v>
      </c>
      <c r="V3" s="12"/>
      <c r="W3" s="13"/>
      <c r="X3" s="13" t="s">
        <v>1</v>
      </c>
      <c r="Y3" s="14"/>
      <c r="Z3" s="11"/>
      <c r="AA3" s="11" t="s">
        <v>2</v>
      </c>
      <c r="AB3" s="11"/>
    </row>
    <row r="4" spans="1:28" s="5" customFormat="1" ht="12.75" customHeight="1" thickBot="1" x14ac:dyDescent="0.25">
      <c r="A4" s="244"/>
      <c r="B4" s="9" t="s">
        <v>0</v>
      </c>
      <c r="C4" s="10" t="s">
        <v>3</v>
      </c>
      <c r="D4" s="16" t="s">
        <v>4</v>
      </c>
      <c r="E4" s="17" t="s">
        <v>0</v>
      </c>
      <c r="F4" s="10" t="s">
        <v>3</v>
      </c>
      <c r="G4" s="16" t="s">
        <v>4</v>
      </c>
      <c r="H4" s="17" t="s">
        <v>0</v>
      </c>
      <c r="I4" s="10" t="s">
        <v>3</v>
      </c>
      <c r="J4" s="10" t="s">
        <v>4</v>
      </c>
      <c r="K4" s="124" t="s">
        <v>0</v>
      </c>
      <c r="L4" s="10" t="s">
        <v>3</v>
      </c>
      <c r="M4" s="10" t="s">
        <v>4</v>
      </c>
      <c r="N4" s="19" t="s">
        <v>0</v>
      </c>
      <c r="O4" s="20" t="s">
        <v>3</v>
      </c>
      <c r="P4" s="21" t="s">
        <v>4</v>
      </c>
      <c r="Q4" s="17" t="s">
        <v>0</v>
      </c>
      <c r="R4" s="10" t="s">
        <v>3</v>
      </c>
      <c r="S4" s="18" t="s">
        <v>4</v>
      </c>
      <c r="T4" s="206" t="s">
        <v>0</v>
      </c>
      <c r="U4" s="20" t="s">
        <v>3</v>
      </c>
      <c r="V4" s="20" t="s">
        <v>4</v>
      </c>
      <c r="W4" s="19" t="s">
        <v>0</v>
      </c>
      <c r="X4" s="20" t="s">
        <v>3</v>
      </c>
      <c r="Y4" s="21" t="s">
        <v>4</v>
      </c>
      <c r="Z4" s="106" t="s">
        <v>0</v>
      </c>
      <c r="AA4" s="20" t="s">
        <v>3</v>
      </c>
      <c r="AB4" s="20" t="s">
        <v>4</v>
      </c>
    </row>
    <row r="5" spans="1:28" s="5" customFormat="1" ht="16.5" customHeight="1" thickBot="1" x14ac:dyDescent="0.25">
      <c r="A5" s="22" t="s">
        <v>67</v>
      </c>
      <c r="B5" s="30">
        <v>39100.1938136155</v>
      </c>
      <c r="C5" s="23">
        <v>20276.476592156385</v>
      </c>
      <c r="D5" s="24">
        <v>18823.717221456332</v>
      </c>
      <c r="E5" s="27">
        <v>26777.532907893696</v>
      </c>
      <c r="F5" s="28">
        <v>13756.725873351234</v>
      </c>
      <c r="G5" s="29">
        <v>13020.807034537927</v>
      </c>
      <c r="H5" s="23">
        <v>12322.660905722523</v>
      </c>
      <c r="I5" s="23">
        <v>6519.7507188047975</v>
      </c>
      <c r="J5" s="23">
        <v>5802.9101869185124</v>
      </c>
      <c r="K5" s="133">
        <v>40419.112714698393</v>
      </c>
      <c r="L5" s="28">
        <v>20960.438118079604</v>
      </c>
      <c r="M5" s="29">
        <v>19458.674596610745</v>
      </c>
      <c r="N5" s="27">
        <v>27680.786596217451</v>
      </c>
      <c r="O5" s="28">
        <v>14220.764641492024</v>
      </c>
      <c r="P5" s="29">
        <v>13460.021954725162</v>
      </c>
      <c r="Q5" s="28">
        <v>12738.326118473771</v>
      </c>
      <c r="R5" s="28">
        <v>6739.6734765878755</v>
      </c>
      <c r="S5" s="132">
        <v>5998.6526418859348</v>
      </c>
      <c r="T5" s="28">
        <v>41778.499590440704</v>
      </c>
      <c r="U5" s="28">
        <v>21665.385420832419</v>
      </c>
      <c r="V5" s="132">
        <v>20113.114169617569</v>
      </c>
      <c r="W5" s="28">
        <v>28611.754533965868</v>
      </c>
      <c r="X5" s="28">
        <v>14699.041365509724</v>
      </c>
      <c r="Y5" s="132">
        <v>13912.71316845454</v>
      </c>
      <c r="Z5" s="28">
        <v>13166.745056484411</v>
      </c>
      <c r="AA5" s="28">
        <v>6966.3440553219707</v>
      </c>
      <c r="AB5" s="28">
        <v>6200.4010011624614</v>
      </c>
    </row>
    <row r="6" spans="1:28" s="5" customFormat="1" ht="12" customHeight="1" x14ac:dyDescent="0.2">
      <c r="A6" s="31" t="s">
        <v>5</v>
      </c>
      <c r="B6" s="32">
        <v>6248.6274521650612</v>
      </c>
      <c r="C6" s="32">
        <v>3202.3028900719914</v>
      </c>
      <c r="D6" s="33">
        <v>3046.3245620930497</v>
      </c>
      <c r="E6" s="32">
        <v>4423.0028481680565</v>
      </c>
      <c r="F6" s="32">
        <v>2284.0652549263955</v>
      </c>
      <c r="G6" s="33">
        <v>2138.937593241641</v>
      </c>
      <c r="H6" s="32">
        <v>1825.6246039969842</v>
      </c>
      <c r="I6" s="32">
        <v>918.2376351455755</v>
      </c>
      <c r="J6" s="32">
        <v>907.38696885138825</v>
      </c>
      <c r="K6" s="125">
        <v>6459.4047411909296</v>
      </c>
      <c r="L6" s="32">
        <v>3310.3222474394506</v>
      </c>
      <c r="M6" s="33">
        <v>3149.0824937522252</v>
      </c>
      <c r="N6" s="32">
        <v>4572.1985806436687</v>
      </c>
      <c r="O6" s="32">
        <v>2361.110827906828</v>
      </c>
      <c r="P6" s="33">
        <v>2211.0877527369748</v>
      </c>
      <c r="Q6" s="32">
        <v>1887.2061605478525</v>
      </c>
      <c r="R6" s="32">
        <v>949.21141953260212</v>
      </c>
      <c r="S6" s="34">
        <v>937.99474101522992</v>
      </c>
      <c r="T6" s="32">
        <v>6676.6492436218532</v>
      </c>
      <c r="U6" s="32">
        <v>3421.6559288450826</v>
      </c>
      <c r="V6" s="32">
        <v>3254.9933147759662</v>
      </c>
      <c r="W6" s="35">
        <v>4725.9720389514086</v>
      </c>
      <c r="X6" s="32">
        <v>2440.5203660208058</v>
      </c>
      <c r="Y6" s="33">
        <v>2285.4516729304105</v>
      </c>
      <c r="Z6" s="32">
        <v>1950.6772046698375</v>
      </c>
      <c r="AA6" s="32">
        <v>981.13556282428181</v>
      </c>
      <c r="AB6" s="32">
        <v>969.54164184556066</v>
      </c>
    </row>
    <row r="7" spans="1:28" s="5" customFormat="1" ht="12" customHeight="1" x14ac:dyDescent="0.2">
      <c r="A7" s="31" t="s">
        <v>6</v>
      </c>
      <c r="B7" s="32">
        <v>5216.9827422511444</v>
      </c>
      <c r="C7" s="32">
        <v>2655.9657840133127</v>
      </c>
      <c r="D7" s="33">
        <v>2561.0169582381163</v>
      </c>
      <c r="E7" s="32">
        <v>3541.7212682997338</v>
      </c>
      <c r="F7" s="32">
        <v>1762.4062866494285</v>
      </c>
      <c r="G7" s="33">
        <v>1779.3149816504938</v>
      </c>
      <c r="H7" s="32">
        <v>1675.2614739516303</v>
      </c>
      <c r="I7" s="32">
        <v>893.55949736392938</v>
      </c>
      <c r="J7" s="32">
        <v>781.70197658766085</v>
      </c>
      <c r="K7" s="125">
        <v>5392.9608250751317</v>
      </c>
      <c r="L7" s="32">
        <v>2745.5562215914683</v>
      </c>
      <c r="M7" s="33">
        <v>2647.4046034836433</v>
      </c>
      <c r="N7" s="32">
        <v>3661.1898096932332</v>
      </c>
      <c r="O7" s="32">
        <v>1821.8553772068685</v>
      </c>
      <c r="P7" s="33">
        <v>1839.3344324863442</v>
      </c>
      <c r="Q7" s="32">
        <v>1731.7710153818784</v>
      </c>
      <c r="R7" s="32">
        <v>923.70084438457934</v>
      </c>
      <c r="S7" s="34">
        <v>808.07017099727864</v>
      </c>
      <c r="T7" s="32">
        <v>5574.3383881804357</v>
      </c>
      <c r="U7" s="32">
        <v>2837.8955344461388</v>
      </c>
      <c r="V7" s="32">
        <v>2736.4428537338135</v>
      </c>
      <c r="W7" s="35">
        <v>3784.3239668446795</v>
      </c>
      <c r="X7" s="32">
        <v>1883.1285255506943</v>
      </c>
      <c r="Y7" s="33">
        <v>1901.1954412939851</v>
      </c>
      <c r="Z7" s="32">
        <v>1790.0144213352726</v>
      </c>
      <c r="AA7" s="32">
        <v>954.76700889544429</v>
      </c>
      <c r="AB7" s="32">
        <v>835.24741243982828</v>
      </c>
    </row>
    <row r="8" spans="1:28" s="5" customFormat="1" ht="12" customHeight="1" x14ac:dyDescent="0.2">
      <c r="A8" s="31" t="s">
        <v>7</v>
      </c>
      <c r="B8" s="32">
        <v>4835.8867703041233</v>
      </c>
      <c r="C8" s="32">
        <v>2416.6427163059684</v>
      </c>
      <c r="D8" s="33">
        <v>2419.2440539984395</v>
      </c>
      <c r="E8" s="32">
        <v>3353.1242855955766</v>
      </c>
      <c r="F8" s="32">
        <v>1632.339402025849</v>
      </c>
      <c r="G8" s="33">
        <v>1720.784883569883</v>
      </c>
      <c r="H8" s="32">
        <v>1482.7624847087327</v>
      </c>
      <c r="I8" s="32">
        <v>784.30331428013221</v>
      </c>
      <c r="J8" s="32">
        <v>698.45917042857729</v>
      </c>
      <c r="K8" s="125">
        <v>4999.0098099300258</v>
      </c>
      <c r="L8" s="32">
        <v>2498.1603622511971</v>
      </c>
      <c r="M8" s="33">
        <v>2500.8494476788087</v>
      </c>
      <c r="N8" s="32">
        <v>3466.231116191389</v>
      </c>
      <c r="O8" s="32">
        <v>1687.4011058262863</v>
      </c>
      <c r="P8" s="33">
        <v>1778.8300103650822</v>
      </c>
      <c r="Q8" s="32">
        <v>1532.7786937386168</v>
      </c>
      <c r="R8" s="32">
        <v>810.75925642489028</v>
      </c>
      <c r="S8" s="34">
        <v>722.01943731370602</v>
      </c>
      <c r="T8" s="32">
        <v>5167.1379025815177</v>
      </c>
      <c r="U8" s="32">
        <v>2582.1791885410998</v>
      </c>
      <c r="V8" s="32">
        <v>2584.9587140400677</v>
      </c>
      <c r="W8" s="35">
        <v>3582.808368169513</v>
      </c>
      <c r="X8" s="32">
        <v>1744.1522506023036</v>
      </c>
      <c r="Y8" s="33">
        <v>1838.6561175672093</v>
      </c>
      <c r="Z8" s="32">
        <v>1584.3295344116543</v>
      </c>
      <c r="AA8" s="32">
        <v>838.0269379387961</v>
      </c>
      <c r="AB8" s="32">
        <v>746.30259647285823</v>
      </c>
    </row>
    <row r="9" spans="1:28" s="5" customFormat="1" ht="12" customHeight="1" x14ac:dyDescent="0.2">
      <c r="A9" s="31" t="s">
        <v>8</v>
      </c>
      <c r="B9" s="32">
        <v>4466.978003133886</v>
      </c>
      <c r="C9" s="32">
        <v>2262.3348004802237</v>
      </c>
      <c r="D9" s="33">
        <v>2204.6432026537695</v>
      </c>
      <c r="E9" s="32">
        <v>3181.2795372873156</v>
      </c>
      <c r="F9" s="32">
        <v>1587.892549699533</v>
      </c>
      <c r="G9" s="33">
        <v>1593.3869875877667</v>
      </c>
      <c r="H9" s="32">
        <v>1285.6984658466777</v>
      </c>
      <c r="I9" s="32">
        <v>674.44225078067484</v>
      </c>
      <c r="J9" s="32">
        <v>611.25621506598691</v>
      </c>
      <c r="K9" s="125">
        <v>4617.6570955987272</v>
      </c>
      <c r="L9" s="32">
        <v>2338.6473666823345</v>
      </c>
      <c r="M9" s="33">
        <v>2279.0097289162936</v>
      </c>
      <c r="N9" s="32">
        <v>3288.5897396699847</v>
      </c>
      <c r="O9" s="32">
        <v>1641.4549823222558</v>
      </c>
      <c r="P9" s="33">
        <v>1647.1347573475921</v>
      </c>
      <c r="Q9" s="32">
        <v>1329.0673559287586</v>
      </c>
      <c r="R9" s="32">
        <v>697.19238436006776</v>
      </c>
      <c r="S9" s="34">
        <v>631.87497156869495</v>
      </c>
      <c r="T9" s="32">
        <v>4772.9594273642597</v>
      </c>
      <c r="U9" s="32">
        <v>2417.301407401168</v>
      </c>
      <c r="V9" s="32">
        <v>2355.658019962887</v>
      </c>
      <c r="W9" s="35">
        <v>3399.1925073109301</v>
      </c>
      <c r="X9" s="32">
        <v>1696.6608542536444</v>
      </c>
      <c r="Y9" s="33">
        <v>1702.5316530572902</v>
      </c>
      <c r="Z9" s="32">
        <v>1373.7669200531247</v>
      </c>
      <c r="AA9" s="32">
        <v>720.64055314752807</v>
      </c>
      <c r="AB9" s="32">
        <v>653.12636690560123</v>
      </c>
    </row>
    <row r="10" spans="1:28" s="5" customFormat="1" ht="12" customHeight="1" x14ac:dyDescent="0.2">
      <c r="A10" s="31" t="s">
        <v>9</v>
      </c>
      <c r="B10" s="32">
        <v>3899.7835020518046</v>
      </c>
      <c r="C10" s="32">
        <v>2000.9903195107029</v>
      </c>
      <c r="D10" s="33">
        <v>1898.7931825408773</v>
      </c>
      <c r="E10" s="32">
        <v>2907.4344908953749</v>
      </c>
      <c r="F10" s="32">
        <v>1488.5235167344761</v>
      </c>
      <c r="G10" s="33">
        <v>1418.9109741608268</v>
      </c>
      <c r="H10" s="32">
        <v>992.34901115633488</v>
      </c>
      <c r="I10" s="32">
        <v>512.4668027762475</v>
      </c>
      <c r="J10" s="32">
        <v>479.88220838006993</v>
      </c>
      <c r="K10" s="125">
        <v>4031.3301177916537</v>
      </c>
      <c r="L10" s="32">
        <v>2068.48727274471</v>
      </c>
      <c r="M10" s="33">
        <v>1962.8428450471629</v>
      </c>
      <c r="N10" s="32">
        <v>3005.5074140619718</v>
      </c>
      <c r="O10" s="32">
        <v>1538.7340555946791</v>
      </c>
      <c r="P10" s="33">
        <v>1466.7733584673624</v>
      </c>
      <c r="Q10" s="32">
        <v>1025.822703729762</v>
      </c>
      <c r="R10" s="32">
        <v>529.75321714999814</v>
      </c>
      <c r="S10" s="34">
        <v>496.06948657976722</v>
      </c>
      <c r="T10" s="32">
        <v>4166.9129370544279</v>
      </c>
      <c r="U10" s="32">
        <v>2138.0552138095354</v>
      </c>
      <c r="V10" s="32">
        <v>2028.8577232448736</v>
      </c>
      <c r="W10" s="35">
        <v>3106.5894779482733</v>
      </c>
      <c r="X10" s="32">
        <v>1590.485188659203</v>
      </c>
      <c r="Y10" s="33">
        <v>1516.1042892890712</v>
      </c>
      <c r="Z10" s="32">
        <v>1060.3234591061357</v>
      </c>
      <c r="AA10" s="32">
        <v>547.57002515033332</v>
      </c>
      <c r="AB10" s="32">
        <v>512.75343395580353</v>
      </c>
    </row>
    <row r="11" spans="1:28" s="5" customFormat="1" ht="12" customHeight="1" x14ac:dyDescent="0.2">
      <c r="A11" s="36" t="s">
        <v>10</v>
      </c>
      <c r="B11" s="32">
        <v>2777.0961133106498</v>
      </c>
      <c r="C11" s="32">
        <v>1478.1556912447836</v>
      </c>
      <c r="D11" s="33">
        <v>1298.9404220658141</v>
      </c>
      <c r="E11" s="37">
        <v>2046.9049752507694</v>
      </c>
      <c r="F11" s="37">
        <v>1061.9615537299867</v>
      </c>
      <c r="G11" s="38">
        <v>984.94342152083971</v>
      </c>
      <c r="H11" s="37">
        <v>730.19113805980567</v>
      </c>
      <c r="I11" s="37">
        <v>416.19413751481386</v>
      </c>
      <c r="J11" s="37">
        <v>313.99700054498436</v>
      </c>
      <c r="K11" s="125">
        <v>2870.7724917810583</v>
      </c>
      <c r="L11" s="32">
        <v>1528.0165049586958</v>
      </c>
      <c r="M11" s="33">
        <v>1342.7559868224123</v>
      </c>
      <c r="N11" s="37">
        <v>2115.9507112754864</v>
      </c>
      <c r="O11" s="37">
        <v>1097.7834008570787</v>
      </c>
      <c r="P11" s="38">
        <v>1018.1673104183457</v>
      </c>
      <c r="Q11" s="37">
        <v>754.82178050563164</v>
      </c>
      <c r="R11" s="37">
        <v>430.23310410158871</v>
      </c>
      <c r="S11" s="39">
        <v>324.58867640404645</v>
      </c>
      <c r="T11" s="32">
        <v>2967.3231131701541</v>
      </c>
      <c r="U11" s="32">
        <v>1579.4071823700344</v>
      </c>
      <c r="V11" s="32">
        <v>1387.9159308001206</v>
      </c>
      <c r="W11" s="40">
        <v>2187.1149559472819</v>
      </c>
      <c r="X11" s="37">
        <v>1134.7043584762675</v>
      </c>
      <c r="Y11" s="38">
        <v>1052.4105974710153</v>
      </c>
      <c r="Z11" s="37">
        <v>780.2081572228733</v>
      </c>
      <c r="AA11" s="37">
        <v>444.70282389376803</v>
      </c>
      <c r="AB11" s="37">
        <v>335.50533332910641</v>
      </c>
    </row>
    <row r="12" spans="1:28" s="5" customFormat="1" ht="12" customHeight="1" x14ac:dyDescent="0.2">
      <c r="A12" s="36" t="s">
        <v>11</v>
      </c>
      <c r="B12" s="37">
        <v>2223.2347658352978</v>
      </c>
      <c r="C12" s="37">
        <v>1191.0186245546097</v>
      </c>
      <c r="D12" s="38">
        <v>1032.2161412806618</v>
      </c>
      <c r="E12" s="32">
        <v>1576.0397396622004</v>
      </c>
      <c r="F12" s="32">
        <v>858.43229166011486</v>
      </c>
      <c r="G12" s="33">
        <v>717.60744800208556</v>
      </c>
      <c r="H12" s="32">
        <v>647.19502617307091</v>
      </c>
      <c r="I12" s="32">
        <v>332.58633289449477</v>
      </c>
      <c r="J12" s="32">
        <v>314.60869327857614</v>
      </c>
      <c r="K12" s="126">
        <v>2298.2284185053181</v>
      </c>
      <c r="L12" s="37">
        <v>1231.1937956278769</v>
      </c>
      <c r="M12" s="38">
        <v>1067.0346228775013</v>
      </c>
      <c r="N12" s="32">
        <v>1629.2023559754855</v>
      </c>
      <c r="O12" s="32">
        <v>887.38873571670285</v>
      </c>
      <c r="P12" s="33">
        <v>741.81362025881197</v>
      </c>
      <c r="Q12" s="32">
        <v>669.02606252986652</v>
      </c>
      <c r="R12" s="32">
        <v>343.80505991118031</v>
      </c>
      <c r="S12" s="34">
        <v>325.22100261868428</v>
      </c>
      <c r="T12" s="37">
        <v>2375.5230778823156</v>
      </c>
      <c r="U12" s="37">
        <v>1272.6016488655014</v>
      </c>
      <c r="V12" s="37">
        <v>1102.9214290167679</v>
      </c>
      <c r="W12" s="35">
        <v>1683.9961441591288</v>
      </c>
      <c r="X12" s="32">
        <v>917.23364125777641</v>
      </c>
      <c r="Y12" s="33">
        <v>766.76250290135238</v>
      </c>
      <c r="Z12" s="32">
        <v>691.52693372314036</v>
      </c>
      <c r="AA12" s="32">
        <v>355.36800760772496</v>
      </c>
      <c r="AB12" s="32">
        <v>336.15892611541551</v>
      </c>
    </row>
    <row r="13" spans="1:28" s="5" customFormat="1" ht="12" customHeight="1" x14ac:dyDescent="0.2">
      <c r="A13" s="36" t="s">
        <v>12</v>
      </c>
      <c r="B13" s="37">
        <v>1731.8459496668286</v>
      </c>
      <c r="C13" s="37">
        <v>895.88570752661201</v>
      </c>
      <c r="D13" s="38">
        <v>835.96024214021656</v>
      </c>
      <c r="E13" s="37">
        <v>1156.5614819574323</v>
      </c>
      <c r="F13" s="37">
        <v>605.2472004025941</v>
      </c>
      <c r="G13" s="38">
        <v>551.3142815548382</v>
      </c>
      <c r="H13" s="37">
        <v>575.28446770939638</v>
      </c>
      <c r="I13" s="37">
        <v>290.63850712401796</v>
      </c>
      <c r="J13" s="37">
        <v>284.64596058537842</v>
      </c>
      <c r="K13" s="126">
        <v>1790.2641858437785</v>
      </c>
      <c r="L13" s="37">
        <v>926.10552174273766</v>
      </c>
      <c r="M13" s="38">
        <v>864.15866410108197</v>
      </c>
      <c r="N13" s="37">
        <v>1195.5743524839274</v>
      </c>
      <c r="O13" s="37">
        <v>625.66326218070753</v>
      </c>
      <c r="P13" s="38">
        <v>569.91109030321741</v>
      </c>
      <c r="Q13" s="37">
        <v>594.68983335987969</v>
      </c>
      <c r="R13" s="37">
        <v>300.44225956202291</v>
      </c>
      <c r="S13" s="39">
        <v>294.24757379785757</v>
      </c>
      <c r="T13" s="37">
        <v>1850.4748504258107</v>
      </c>
      <c r="U13" s="37">
        <v>957.2525610334211</v>
      </c>
      <c r="V13" s="37">
        <v>893.2222893923896</v>
      </c>
      <c r="W13" s="40">
        <v>1235.7842426719083</v>
      </c>
      <c r="X13" s="37">
        <v>646.70574357441831</v>
      </c>
      <c r="Y13" s="38">
        <v>589.07849909748995</v>
      </c>
      <c r="Z13" s="37">
        <v>614.69060775390255</v>
      </c>
      <c r="AA13" s="37">
        <v>310.54681745900291</v>
      </c>
      <c r="AB13" s="37">
        <v>304.14379029489976</v>
      </c>
    </row>
    <row r="14" spans="1:28" s="5" customFormat="1" ht="12" customHeight="1" x14ac:dyDescent="0.2">
      <c r="A14" s="36" t="s">
        <v>13</v>
      </c>
      <c r="B14" s="37">
        <v>1481.6571316786276</v>
      </c>
      <c r="C14" s="37">
        <v>764.04968367654203</v>
      </c>
      <c r="D14" s="38">
        <v>717.60744800208556</v>
      </c>
      <c r="E14" s="37">
        <v>946.82235310504814</v>
      </c>
      <c r="F14" s="37">
        <v>465.92049337922464</v>
      </c>
      <c r="G14" s="38">
        <v>480.9018597258235</v>
      </c>
      <c r="H14" s="37">
        <v>534.83477857357946</v>
      </c>
      <c r="I14" s="37">
        <v>298.12919029731739</v>
      </c>
      <c r="J14" s="37">
        <v>236.70558827626206</v>
      </c>
      <c r="K14" s="126">
        <v>1531.6360551898849</v>
      </c>
      <c r="L14" s="37">
        <v>789.82243493109513</v>
      </c>
      <c r="M14" s="38">
        <v>741.81362025881197</v>
      </c>
      <c r="N14" s="37">
        <v>978.76035073814501</v>
      </c>
      <c r="O14" s="37">
        <v>481.63681816385918</v>
      </c>
      <c r="P14" s="38">
        <v>497.12353257427253</v>
      </c>
      <c r="Q14" s="37">
        <v>552.87570445176209</v>
      </c>
      <c r="R14" s="37">
        <v>308.18561676722959</v>
      </c>
      <c r="S14" s="39">
        <v>244.69008768453463</v>
      </c>
      <c r="T14" s="37">
        <v>1583.1484663245042</v>
      </c>
      <c r="U14" s="37">
        <v>816.38596342315179</v>
      </c>
      <c r="V14" s="37">
        <v>766.76250290135238</v>
      </c>
      <c r="W14" s="40">
        <v>1011.6782919282979</v>
      </c>
      <c r="X14" s="37">
        <v>497.83536200902006</v>
      </c>
      <c r="Y14" s="38">
        <v>513.84292991927794</v>
      </c>
      <c r="Z14" s="37">
        <v>571.47017439620629</v>
      </c>
      <c r="AA14" s="37">
        <v>318.55060141413185</v>
      </c>
      <c r="AB14" s="37">
        <v>252.91957298207453</v>
      </c>
    </row>
    <row r="15" spans="1:28" s="5" customFormat="1" ht="12" customHeight="1" x14ac:dyDescent="0.2">
      <c r="A15" s="36" t="s">
        <v>14</v>
      </c>
      <c r="B15" s="37">
        <v>1549.8538850775774</v>
      </c>
      <c r="C15" s="37">
        <v>867.16285791125051</v>
      </c>
      <c r="D15" s="38">
        <v>682.69102716630687</v>
      </c>
      <c r="E15" s="37">
        <v>986.27065414026924</v>
      </c>
      <c r="F15" s="37">
        <v>578.10857194082701</v>
      </c>
      <c r="G15" s="38">
        <v>408.16208219942632</v>
      </c>
      <c r="H15" s="37">
        <v>563.58323093728814</v>
      </c>
      <c r="I15" s="37">
        <v>289.05428597041225</v>
      </c>
      <c r="J15" s="37">
        <v>274.52894496687395</v>
      </c>
      <c r="K15" s="126">
        <v>1602.1332060619695</v>
      </c>
      <c r="L15" s="37">
        <v>896.41379945549681</v>
      </c>
      <c r="M15" s="38">
        <v>705.71940660650193</v>
      </c>
      <c r="N15" s="37">
        <v>1019.5393129485486</v>
      </c>
      <c r="O15" s="37">
        <v>597.60919963699303</v>
      </c>
      <c r="P15" s="38">
        <v>421.93011331154446</v>
      </c>
      <c r="Q15" s="37">
        <v>582.59389311345012</v>
      </c>
      <c r="R15" s="37">
        <v>298.80459981849731</v>
      </c>
      <c r="S15" s="39">
        <v>283.78929329495497</v>
      </c>
      <c r="T15" s="37">
        <v>1656.0165970434621</v>
      </c>
      <c r="U15" s="37">
        <v>926.5622384582249</v>
      </c>
      <c r="V15" s="37">
        <v>729.45435858520523</v>
      </c>
      <c r="W15" s="40">
        <v>1053.8287435730902</v>
      </c>
      <c r="X15" s="37">
        <v>617.70815897215471</v>
      </c>
      <c r="Y15" s="38">
        <v>436.12058460094488</v>
      </c>
      <c r="Z15" s="37">
        <v>602.18785347034213</v>
      </c>
      <c r="AA15" s="37">
        <v>308.85407948607713</v>
      </c>
      <c r="AB15" s="37">
        <v>293.33377398426398</v>
      </c>
    </row>
    <row r="16" spans="1:28" s="5" customFormat="1" ht="12" customHeight="1" x14ac:dyDescent="0.2">
      <c r="A16" s="36" t="s">
        <v>15</v>
      </c>
      <c r="B16" s="37">
        <v>1208.508371494414</v>
      </c>
      <c r="C16" s="37">
        <v>659.45048156064468</v>
      </c>
      <c r="D16" s="38">
        <v>549.05788993374927</v>
      </c>
      <c r="E16" s="37">
        <v>732.07718657833902</v>
      </c>
      <c r="F16" s="37">
        <v>418.32982090190313</v>
      </c>
      <c r="G16" s="38">
        <v>313.74736567642736</v>
      </c>
      <c r="H16" s="37">
        <v>476.43118491605634</v>
      </c>
      <c r="I16" s="37">
        <v>241.12066065873583</v>
      </c>
      <c r="J16" s="37">
        <v>235.31052425732051</v>
      </c>
      <c r="K16" s="126">
        <v>1249.273502758738</v>
      </c>
      <c r="L16" s="37">
        <v>681.69491616883329</v>
      </c>
      <c r="M16" s="38">
        <v>567.57858658990722</v>
      </c>
      <c r="N16" s="37">
        <v>756.77144878654781</v>
      </c>
      <c r="O16" s="37">
        <v>432.44082787802409</v>
      </c>
      <c r="P16" s="38">
        <v>324.33062090851928</v>
      </c>
      <c r="Q16" s="37">
        <v>492.50205397219344</v>
      </c>
      <c r="R16" s="37">
        <v>249.25408829080746</v>
      </c>
      <c r="S16" s="39">
        <v>243.24796568139041</v>
      </c>
      <c r="T16" s="37">
        <v>1291.2894177508399</v>
      </c>
      <c r="U16" s="37">
        <v>704.62186978230511</v>
      </c>
      <c r="V16" s="37">
        <v>586.66754796852956</v>
      </c>
      <c r="W16" s="40">
        <v>782.22339729136797</v>
      </c>
      <c r="X16" s="37">
        <v>446.98479845221408</v>
      </c>
      <c r="Y16" s="38">
        <v>335.23859883915947</v>
      </c>
      <c r="Z16" s="37">
        <v>509.06602045946664</v>
      </c>
      <c r="AA16" s="37">
        <v>257.63707133009376</v>
      </c>
      <c r="AB16" s="37">
        <v>251.42894912936856</v>
      </c>
    </row>
    <row r="17" spans="1:80" s="5" customFormat="1" ht="12" customHeight="1" x14ac:dyDescent="0.2">
      <c r="A17" s="36" t="s">
        <v>16</v>
      </c>
      <c r="B17" s="37">
        <v>928.16929012611376</v>
      </c>
      <c r="C17" s="37">
        <v>549.05788993374927</v>
      </c>
      <c r="D17" s="38">
        <v>379.11140019234972</v>
      </c>
      <c r="E17" s="37">
        <v>531.62748072950262</v>
      </c>
      <c r="F17" s="37">
        <v>313.74736567642736</v>
      </c>
      <c r="G17" s="38">
        <v>217.88011505307455</v>
      </c>
      <c r="H17" s="37">
        <v>396.54180939659568</v>
      </c>
      <c r="I17" s="37">
        <v>235.31052425732051</v>
      </c>
      <c r="J17" s="37">
        <v>161.23128513927517</v>
      </c>
      <c r="K17" s="126">
        <v>959.47808685437701</v>
      </c>
      <c r="L17" s="37">
        <v>567.57858658990722</v>
      </c>
      <c r="M17" s="38">
        <v>391.89950026445979</v>
      </c>
      <c r="N17" s="37">
        <v>549.56021876165573</v>
      </c>
      <c r="O17" s="37">
        <v>324.33062090851928</v>
      </c>
      <c r="P17" s="38">
        <v>225.22959785313927</v>
      </c>
      <c r="Q17" s="37">
        <v>409.91786809271059</v>
      </c>
      <c r="R17" s="37">
        <v>243.24796568139041</v>
      </c>
      <c r="S17" s="39">
        <v>166.66990241132305</v>
      </c>
      <c r="T17" s="37">
        <v>991.7475215658377</v>
      </c>
      <c r="U17" s="37">
        <v>586.66754796852956</v>
      </c>
      <c r="V17" s="37">
        <v>405.0799735973186</v>
      </c>
      <c r="W17" s="40">
        <v>568.04318136635447</v>
      </c>
      <c r="X17" s="37">
        <v>335.23859883915947</v>
      </c>
      <c r="Y17" s="38">
        <v>232.80458252719313</v>
      </c>
      <c r="Z17" s="37">
        <v>423.70434019949437</v>
      </c>
      <c r="AA17" s="37">
        <v>251.42894912936856</v>
      </c>
      <c r="AB17" s="37">
        <v>172.27539107012299</v>
      </c>
    </row>
    <row r="18" spans="1:80" s="5" customFormat="1" ht="12" customHeight="1" x14ac:dyDescent="0.2">
      <c r="A18" s="36" t="s">
        <v>17</v>
      </c>
      <c r="B18" s="37">
        <v>761.12786858541676</v>
      </c>
      <c r="C18" s="37">
        <v>427.04502550402611</v>
      </c>
      <c r="D18" s="38">
        <v>334.08284308138099</v>
      </c>
      <c r="E18" s="37">
        <v>419.78235500225696</v>
      </c>
      <c r="F18" s="37">
        <v>236.76305835767434</v>
      </c>
      <c r="G18" s="38">
        <v>183.01929664458262</v>
      </c>
      <c r="H18" s="37">
        <v>341.34551358315014</v>
      </c>
      <c r="I18" s="37">
        <v>190.28196714635177</v>
      </c>
      <c r="J18" s="37">
        <v>151.06354643679836</v>
      </c>
      <c r="K18" s="126">
        <v>786.80206183363362</v>
      </c>
      <c r="L18" s="37">
        <v>441.4500117921495</v>
      </c>
      <c r="M18" s="38">
        <v>345.35205004147855</v>
      </c>
      <c r="N18" s="37">
        <v>433.94235853037833</v>
      </c>
      <c r="O18" s="37">
        <v>244.74949633374467</v>
      </c>
      <c r="P18" s="38">
        <v>189.19286219663698</v>
      </c>
      <c r="Q18" s="37">
        <v>352.85970330324972</v>
      </c>
      <c r="R18" s="37">
        <v>196.70051545840829</v>
      </c>
      <c r="S18" s="39">
        <v>156.15918784484322</v>
      </c>
      <c r="T18" s="37">
        <v>813.26400829499312</v>
      </c>
      <c r="U18" s="37">
        <v>456.29698175330196</v>
      </c>
      <c r="V18" s="37">
        <v>356.96702654169786</v>
      </c>
      <c r="W18" s="40">
        <v>448.53682900239539</v>
      </c>
      <c r="X18" s="37">
        <v>252.98097967954985</v>
      </c>
      <c r="Y18" s="38">
        <v>195.55584932284228</v>
      </c>
      <c r="Z18" s="37">
        <v>364.72717929260443</v>
      </c>
      <c r="AA18" s="37">
        <v>203.31600207374871</v>
      </c>
      <c r="AB18" s="37">
        <v>161.41117721885399</v>
      </c>
    </row>
    <row r="19" spans="1:80" s="5" customFormat="1" ht="12" customHeight="1" x14ac:dyDescent="0.2">
      <c r="A19" s="36" t="s">
        <v>18</v>
      </c>
      <c r="B19" s="37">
        <v>577.10539286230949</v>
      </c>
      <c r="C19" s="37">
        <v>299.96438499057905</v>
      </c>
      <c r="D19" s="38">
        <v>277.14100787173066</v>
      </c>
      <c r="E19" s="37">
        <v>301.59462621335393</v>
      </c>
      <c r="F19" s="37">
        <v>151.61243371806455</v>
      </c>
      <c r="G19" s="38">
        <v>149.98219249528967</v>
      </c>
      <c r="H19" s="37">
        <v>275.51076664895578</v>
      </c>
      <c r="I19" s="37">
        <v>148.35195127251478</v>
      </c>
      <c r="J19" s="37">
        <v>127.15881537644127</v>
      </c>
      <c r="K19" s="126">
        <v>596.57218154852467</v>
      </c>
      <c r="L19" s="37">
        <v>310.08271583313245</v>
      </c>
      <c r="M19" s="38">
        <v>286.48946571539403</v>
      </c>
      <c r="N19" s="37">
        <v>311.76794798439948</v>
      </c>
      <c r="O19" s="37">
        <v>156.72659006783275</v>
      </c>
      <c r="P19" s="38">
        <v>155.04135791656572</v>
      </c>
      <c r="Q19" s="37">
        <v>284.804233564127</v>
      </c>
      <c r="R19" s="37">
        <v>153.35612576529869</v>
      </c>
      <c r="S19" s="39">
        <v>131.44810779882729</v>
      </c>
      <c r="T19" s="37">
        <v>616.63626360200249</v>
      </c>
      <c r="U19" s="37">
        <v>320.51150424510888</v>
      </c>
      <c r="V19" s="37">
        <v>296.12475935689383</v>
      </c>
      <c r="W19" s="40">
        <v>322.2534145942671</v>
      </c>
      <c r="X19" s="37">
        <v>161.99766247171257</v>
      </c>
      <c r="Y19" s="38">
        <v>160.25575212255438</v>
      </c>
      <c r="Z19" s="37">
        <v>294.38284900773562</v>
      </c>
      <c r="AA19" s="37">
        <v>158.51384177339619</v>
      </c>
      <c r="AB19" s="37">
        <v>135.86900723433973</v>
      </c>
    </row>
    <row r="20" spans="1:80" s="5" customFormat="1" ht="12" customHeight="1" x14ac:dyDescent="0.2">
      <c r="A20" s="36" t="s">
        <v>19</v>
      </c>
      <c r="B20" s="37">
        <v>490.70260805524055</v>
      </c>
      <c r="C20" s="37">
        <v>267.35956053508136</v>
      </c>
      <c r="D20" s="38">
        <v>223.34304752015947</v>
      </c>
      <c r="E20" s="37">
        <v>268.98980175785624</v>
      </c>
      <c r="F20" s="37">
        <v>127.15881537644127</v>
      </c>
      <c r="G20" s="38">
        <v>141.83098638141524</v>
      </c>
      <c r="H20" s="37">
        <v>221.71280629738459</v>
      </c>
      <c r="I20" s="37">
        <v>140.20074515864036</v>
      </c>
      <c r="J20" s="37">
        <v>81.5120611387445</v>
      </c>
      <c r="K20" s="126">
        <v>507.25487753137497</v>
      </c>
      <c r="L20" s="37">
        <v>276.37807280779185</v>
      </c>
      <c r="M20" s="38">
        <v>230.87680472358207</v>
      </c>
      <c r="N20" s="37">
        <v>278.06330495905888</v>
      </c>
      <c r="O20" s="37">
        <v>131.44810779882729</v>
      </c>
      <c r="P20" s="38">
        <v>146.61519716023057</v>
      </c>
      <c r="Q20" s="37">
        <v>229.19157257231504</v>
      </c>
      <c r="R20" s="37">
        <v>144.92996500896353</v>
      </c>
      <c r="S20" s="39">
        <v>84.261607563350807</v>
      </c>
      <c r="T20" s="37">
        <v>524.31501509661996</v>
      </c>
      <c r="U20" s="37">
        <v>285.67329726194453</v>
      </c>
      <c r="V20" s="37">
        <v>238.6417178346729</v>
      </c>
      <c r="W20" s="40">
        <v>287.41520761110274</v>
      </c>
      <c r="X20" s="37">
        <v>135.86900723433973</v>
      </c>
      <c r="Y20" s="38">
        <v>151.54620037676344</v>
      </c>
      <c r="Z20" s="37">
        <v>236.89980748551471</v>
      </c>
      <c r="AA20" s="37">
        <v>149.80429002760525</v>
      </c>
      <c r="AB20" s="37">
        <v>87.095517457910105</v>
      </c>
    </row>
    <row r="21" spans="1:80" s="5" customFormat="1" ht="12" customHeight="1" x14ac:dyDescent="0.2">
      <c r="A21" s="36" t="s">
        <v>20</v>
      </c>
      <c r="B21" s="37">
        <v>299.96438499057905</v>
      </c>
      <c r="C21" s="37">
        <v>143.46122760419013</v>
      </c>
      <c r="D21" s="38">
        <v>156.5031573863892</v>
      </c>
      <c r="E21" s="37">
        <v>182.58701695078736</v>
      </c>
      <c r="F21" s="37">
        <v>86.402784807069153</v>
      </c>
      <c r="G21" s="38">
        <v>96.184232143718461</v>
      </c>
      <c r="H21" s="37">
        <v>117.37736803979196</v>
      </c>
      <c r="I21" s="37">
        <v>57.058442797121202</v>
      </c>
      <c r="J21" s="37">
        <v>60.318925242670986</v>
      </c>
      <c r="K21" s="126">
        <v>310.08271583313245</v>
      </c>
      <c r="L21" s="37">
        <v>148.3004293114976</v>
      </c>
      <c r="M21" s="38">
        <v>161.78228652163384</v>
      </c>
      <c r="N21" s="37">
        <v>188.74600094190632</v>
      </c>
      <c r="O21" s="37">
        <v>89.317304017151855</v>
      </c>
      <c r="P21" s="38">
        <v>99.42869692475395</v>
      </c>
      <c r="Q21" s="37">
        <v>121.33671489122516</v>
      </c>
      <c r="R21" s="37">
        <v>58.98312529434557</v>
      </c>
      <c r="S21" s="39">
        <v>62.353589596879601</v>
      </c>
      <c r="T21" s="37">
        <v>320.51150424510888</v>
      </c>
      <c r="U21" s="37">
        <v>153.28811072592163</v>
      </c>
      <c r="V21" s="37">
        <v>167.22339351918714</v>
      </c>
      <c r="W21" s="40">
        <v>195.09395910571817</v>
      </c>
      <c r="X21" s="37">
        <v>92.321248505384716</v>
      </c>
      <c r="Y21" s="38">
        <v>102.77271060033394</v>
      </c>
      <c r="Z21" s="37">
        <v>125.41754513939058</v>
      </c>
      <c r="AA21" s="37">
        <v>60.96686222053706</v>
      </c>
      <c r="AB21" s="37">
        <v>64.45068291885346</v>
      </c>
    </row>
    <row r="22" spans="1:80" s="5" customFormat="1" ht="12" customHeight="1" x14ac:dyDescent="0.2">
      <c r="A22" s="36" t="s">
        <v>27</v>
      </c>
      <c r="B22" s="37">
        <v>299.96438499057905</v>
      </c>
      <c r="C22" s="37">
        <v>151.61243371806455</v>
      </c>
      <c r="D22" s="38">
        <v>148.35195127251478</v>
      </c>
      <c r="E22" s="37">
        <v>174.43581083691294</v>
      </c>
      <c r="F22" s="37">
        <v>78.25157869319473</v>
      </c>
      <c r="G22" s="38">
        <v>96.184232143718461</v>
      </c>
      <c r="H22" s="37">
        <v>125.52857415366638</v>
      </c>
      <c r="I22" s="37">
        <v>73.360855024870077</v>
      </c>
      <c r="J22" s="37">
        <v>52.167719128796527</v>
      </c>
      <c r="K22" s="126">
        <v>310.08271583313245</v>
      </c>
      <c r="L22" s="37">
        <v>156.72659006783275</v>
      </c>
      <c r="M22" s="38">
        <v>153.35612576529869</v>
      </c>
      <c r="N22" s="37">
        <v>180.31984018557117</v>
      </c>
      <c r="O22" s="37">
        <v>80.891143260816776</v>
      </c>
      <c r="P22" s="38">
        <v>99.42869692475395</v>
      </c>
      <c r="Q22" s="37">
        <v>129.76287564756026</v>
      </c>
      <c r="R22" s="37">
        <v>75.835446807015728</v>
      </c>
      <c r="S22" s="39">
        <v>53.927428840544522</v>
      </c>
      <c r="T22" s="37">
        <v>320.51150424510888</v>
      </c>
      <c r="U22" s="37">
        <v>161.99766247171257</v>
      </c>
      <c r="V22" s="37">
        <v>158.51384177339619</v>
      </c>
      <c r="W22" s="40">
        <v>186.38440735992722</v>
      </c>
      <c r="X22" s="37">
        <v>83.611696759593698</v>
      </c>
      <c r="Y22" s="38">
        <v>102.77271060033394</v>
      </c>
      <c r="Z22" s="37">
        <v>134.12709688518154</v>
      </c>
      <c r="AA22" s="37">
        <v>78.385965712119088</v>
      </c>
      <c r="AB22" s="37">
        <v>55.741131173062449</v>
      </c>
    </row>
    <row r="23" spans="1:80" s="5" customFormat="1" ht="12" customHeight="1" x14ac:dyDescent="0.2">
      <c r="A23" s="36" t="s">
        <v>31</v>
      </c>
      <c r="B23" s="37">
        <v>55.428201574346311</v>
      </c>
      <c r="C23" s="37">
        <v>26.083859564398264</v>
      </c>
      <c r="D23" s="38">
        <v>29.344342009948047</v>
      </c>
      <c r="E23" s="37">
        <v>24.453618341623372</v>
      </c>
      <c r="F23" s="37">
        <v>13.04192978219913</v>
      </c>
      <c r="G23" s="38">
        <v>11.411688559424238</v>
      </c>
      <c r="H23" s="37">
        <v>30.974583232722939</v>
      </c>
      <c r="I23" s="37">
        <v>13.04192978219913</v>
      </c>
      <c r="J23" s="37">
        <v>17.932653450523805</v>
      </c>
      <c r="K23" s="126">
        <v>57.297893143078554</v>
      </c>
      <c r="L23" s="37">
        <v>26.963714420272268</v>
      </c>
      <c r="M23" s="38">
        <v>30.3341787228063</v>
      </c>
      <c r="N23" s="37">
        <v>25.278482269005252</v>
      </c>
      <c r="O23" s="37">
        <v>13.481857210136139</v>
      </c>
      <c r="P23" s="38">
        <v>11.796625058869122</v>
      </c>
      <c r="Q23" s="37">
        <v>32.019410874073316</v>
      </c>
      <c r="R23" s="37">
        <v>13.481857210136139</v>
      </c>
      <c r="S23" s="39">
        <v>18.537553663937189</v>
      </c>
      <c r="T23" s="37">
        <v>59.224951871378856</v>
      </c>
      <c r="U23" s="37">
        <v>27.870565586531203</v>
      </c>
      <c r="V23" s="37">
        <v>31.354386284847603</v>
      </c>
      <c r="W23" s="40">
        <v>26.128655237373003</v>
      </c>
      <c r="X23" s="37">
        <v>13.935282793265602</v>
      </c>
      <c r="Y23" s="38">
        <v>12.193372444107402</v>
      </c>
      <c r="Z23" s="37">
        <v>33.096296634005803</v>
      </c>
      <c r="AA23" s="37">
        <v>13.935282793265602</v>
      </c>
      <c r="AB23" s="37">
        <v>19.161013840740203</v>
      </c>
    </row>
    <row r="24" spans="1:80" s="5" customFormat="1" ht="12" customHeight="1" x14ac:dyDescent="0.2">
      <c r="A24" s="36" t="s">
        <v>32</v>
      </c>
      <c r="B24" s="37">
        <v>42.386271792147177</v>
      </c>
      <c r="C24" s="37">
        <v>17.932653450523805</v>
      </c>
      <c r="D24" s="38">
        <v>24.453618341623372</v>
      </c>
      <c r="E24" s="37">
        <v>19.562894673298697</v>
      </c>
      <c r="F24" s="37">
        <v>6.5209648910995641</v>
      </c>
      <c r="G24" s="38">
        <v>13.04192978219913</v>
      </c>
      <c r="H24" s="37">
        <v>22.82337711884848</v>
      </c>
      <c r="I24" s="37">
        <v>11.411688559424238</v>
      </c>
      <c r="J24" s="37">
        <v>11.411688559424238</v>
      </c>
      <c r="K24" s="126">
        <v>43.816035932942427</v>
      </c>
      <c r="L24" s="37">
        <v>18.537553663937189</v>
      </c>
      <c r="M24" s="38">
        <v>25.278482269005252</v>
      </c>
      <c r="N24" s="37">
        <v>20.222785815204205</v>
      </c>
      <c r="O24" s="37">
        <v>6.7409286050680697</v>
      </c>
      <c r="P24" s="38">
        <v>13.481857210136139</v>
      </c>
      <c r="Q24" s="37">
        <v>23.593250117738236</v>
      </c>
      <c r="R24" s="37">
        <v>11.796625058869122</v>
      </c>
      <c r="S24" s="39">
        <v>11.796625058869122</v>
      </c>
      <c r="T24" s="37">
        <v>45.289669078113228</v>
      </c>
      <c r="U24" s="37">
        <v>19.161013840740203</v>
      </c>
      <c r="V24" s="37">
        <v>26.128655237373003</v>
      </c>
      <c r="W24" s="40">
        <v>20.902924189898403</v>
      </c>
      <c r="X24" s="37">
        <v>6.9676413966328008</v>
      </c>
      <c r="Y24" s="38">
        <v>13.935282793265602</v>
      </c>
      <c r="Z24" s="37">
        <v>24.386744888214803</v>
      </c>
      <c r="AA24" s="37">
        <v>12.193372444107402</v>
      </c>
      <c r="AB24" s="37">
        <v>12.193372444107402</v>
      </c>
    </row>
    <row r="25" spans="1:80" s="5" customFormat="1" ht="12" customHeight="1" thickBot="1" x14ac:dyDescent="0.25">
      <c r="A25" s="41" t="s">
        <v>30</v>
      </c>
      <c r="B25" s="42">
        <v>4.8907236683246733</v>
      </c>
      <c r="C25" s="156">
        <v>0</v>
      </c>
      <c r="D25" s="43">
        <v>4.8907236683246733</v>
      </c>
      <c r="E25" s="42">
        <v>3.2604824455497821</v>
      </c>
      <c r="F25" s="156">
        <v>0</v>
      </c>
      <c r="G25" s="43">
        <v>3.2604824455497821</v>
      </c>
      <c r="H25" s="42">
        <v>1.630241222774891</v>
      </c>
      <c r="I25" s="156">
        <v>0</v>
      </c>
      <c r="J25" s="42">
        <v>1.630241222774891</v>
      </c>
      <c r="K25" s="123">
        <v>5.055696453801052</v>
      </c>
      <c r="L25" s="156">
        <v>0</v>
      </c>
      <c r="M25" s="43">
        <v>5.055696453801052</v>
      </c>
      <c r="N25" s="42">
        <v>3.3704643025340348</v>
      </c>
      <c r="O25" s="156">
        <v>0</v>
      </c>
      <c r="P25" s="43">
        <v>3.3704643025340348</v>
      </c>
      <c r="Q25" s="42">
        <v>1.6852321512670174</v>
      </c>
      <c r="R25" s="156">
        <v>0</v>
      </c>
      <c r="S25" s="44">
        <v>1.6852321512670174</v>
      </c>
      <c r="T25" s="42">
        <v>5.2257310474746008</v>
      </c>
      <c r="U25" s="156">
        <v>0</v>
      </c>
      <c r="V25" s="42">
        <v>5.2257310474746008</v>
      </c>
      <c r="W25" s="45">
        <v>3.4838206983164004</v>
      </c>
      <c r="X25" s="156">
        <v>0</v>
      </c>
      <c r="Y25" s="43">
        <v>3.4838206983164004</v>
      </c>
      <c r="Z25" s="45">
        <v>1.7419103491582002</v>
      </c>
      <c r="AA25" s="156">
        <v>0</v>
      </c>
      <c r="AB25" s="42">
        <v>1.7419103491582002</v>
      </c>
    </row>
    <row r="26" spans="1:80" s="5" customFormat="1" ht="12" customHeight="1" x14ac:dyDescent="0.2">
      <c r="A26" s="207" t="s">
        <v>97</v>
      </c>
      <c r="B26" s="201">
        <v>19081.682536167122</v>
      </c>
      <c r="C26" s="201">
        <v>9667.7513950576868</v>
      </c>
      <c r="D26" s="202">
        <v>9413.9311411078343</v>
      </c>
      <c r="E26" s="201">
        <v>13279.362728161212</v>
      </c>
      <c r="F26" s="201">
        <v>6655.4472782348248</v>
      </c>
      <c r="G26" s="202">
        <v>6623.9154499275028</v>
      </c>
      <c r="H26" s="201">
        <v>5802.3198080038583</v>
      </c>
      <c r="I26" s="201">
        <v>3012.3041168233358</v>
      </c>
      <c r="J26" s="201">
        <v>2790.0156911807458</v>
      </c>
      <c r="K26" s="205">
        <v>19725.34153901639</v>
      </c>
      <c r="L26" s="201">
        <v>9993.8618002040403</v>
      </c>
      <c r="M26" s="202">
        <v>9731.4797388113802</v>
      </c>
      <c r="N26" s="201">
        <v>13727.299190572094</v>
      </c>
      <c r="O26" s="201">
        <v>6879.9473216932265</v>
      </c>
      <c r="P26" s="202">
        <v>6847.3518688796858</v>
      </c>
      <c r="Q26" s="201">
        <v>5998.0423484433013</v>
      </c>
      <c r="R26" s="201">
        <v>3113.9144785113708</v>
      </c>
      <c r="S26" s="204">
        <v>2884.1278699321729</v>
      </c>
      <c r="T26" s="201">
        <v>20388.749729029547</v>
      </c>
      <c r="U26" s="201">
        <v>10329.978148558082</v>
      </c>
      <c r="V26" s="202">
        <v>10058.771580471945</v>
      </c>
      <c r="W26" s="201">
        <v>14188.979546868886</v>
      </c>
      <c r="X26" s="201">
        <v>7111.3356295228095</v>
      </c>
      <c r="Y26" s="202">
        <v>7077.6439173460694</v>
      </c>
      <c r="Z26" s="201">
        <v>6199.7701821606615</v>
      </c>
      <c r="AA26" s="201">
        <v>3218.6425190346895</v>
      </c>
      <c r="AB26" s="201">
        <v>2981.1276631253004</v>
      </c>
    </row>
    <row r="27" spans="1:80" s="5" customFormat="1" ht="12" customHeight="1" x14ac:dyDescent="0.2">
      <c r="A27" s="208" t="s">
        <v>22</v>
      </c>
      <c r="B27" s="47">
        <v>872.24201475708924</v>
      </c>
      <c r="C27" s="47">
        <v>446.42307841897764</v>
      </c>
      <c r="D27" s="48">
        <v>425.81893633810199</v>
      </c>
      <c r="E27" s="47">
        <v>627.73952873068811</v>
      </c>
      <c r="F27" s="47">
        <v>307.68852174108162</v>
      </c>
      <c r="G27" s="48">
        <v>320.051006989607</v>
      </c>
      <c r="H27" s="47">
        <v>244.50248602639604</v>
      </c>
      <c r="I27" s="47">
        <v>138.73455667789887</v>
      </c>
      <c r="J27" s="47">
        <v>105.76792934849715</v>
      </c>
      <c r="K27" s="127">
        <v>901.66428527219136</v>
      </c>
      <c r="L27" s="47">
        <v>461.48172080859393</v>
      </c>
      <c r="M27" s="48">
        <v>440.18256446358191</v>
      </c>
      <c r="N27" s="47">
        <v>648.91429664470525</v>
      </c>
      <c r="O27" s="47">
        <v>318.06740141884632</v>
      </c>
      <c r="P27" s="48">
        <v>330.84689522585353</v>
      </c>
      <c r="Q27" s="47">
        <v>252.74998862747609</v>
      </c>
      <c r="R27" s="47">
        <v>143.4143193897477</v>
      </c>
      <c r="S27" s="49">
        <v>109.33566923772845</v>
      </c>
      <c r="T27" s="47">
        <v>931.98931007877729</v>
      </c>
      <c r="U27" s="47">
        <v>477.00240279622687</v>
      </c>
      <c r="V27" s="48">
        <v>454.98690728255508</v>
      </c>
      <c r="W27" s="47">
        <v>670.73876331653867</v>
      </c>
      <c r="X27" s="47">
        <v>328.76473300417013</v>
      </c>
      <c r="Y27" s="48">
        <v>341.9740303123732</v>
      </c>
      <c r="Z27" s="47">
        <v>261.25054676224329</v>
      </c>
      <c r="AA27" s="47">
        <v>148.23766979205931</v>
      </c>
      <c r="AB27" s="47">
        <v>113.01287697018377</v>
      </c>
    </row>
    <row r="28" spans="1:80" s="5" customFormat="1" ht="12" customHeight="1" thickBot="1" x14ac:dyDescent="0.25">
      <c r="A28" s="182" t="s">
        <v>21</v>
      </c>
      <c r="B28" s="52">
        <v>20018.511277444835</v>
      </c>
      <c r="C28" s="52">
        <v>10608.725197098658</v>
      </c>
      <c r="D28" s="53">
        <v>9409.786080349033</v>
      </c>
      <c r="E28" s="52">
        <v>13498.17017972784</v>
      </c>
      <c r="F28" s="52">
        <v>7101.2785951175238</v>
      </c>
      <c r="G28" s="53">
        <v>6396.8915846113614</v>
      </c>
      <c r="H28" s="52">
        <v>6520.3410977194744</v>
      </c>
      <c r="I28" s="52">
        <v>3507.4466019815623</v>
      </c>
      <c r="J28" s="52">
        <v>3012.8944957378617</v>
      </c>
      <c r="K28" s="128">
        <v>20693.771175673737</v>
      </c>
      <c r="L28" s="52">
        <v>10966.576317876006</v>
      </c>
      <c r="M28" s="53">
        <v>9727.1948577998628</v>
      </c>
      <c r="N28" s="52">
        <v>13953.487405645395</v>
      </c>
      <c r="O28" s="52">
        <v>7340.8173197989499</v>
      </c>
      <c r="P28" s="53">
        <v>6612.6700858457079</v>
      </c>
      <c r="Q28" s="52">
        <v>6740.2837700305818</v>
      </c>
      <c r="R28" s="52">
        <v>3625.7589980764883</v>
      </c>
      <c r="S28" s="54">
        <v>3114.5247719537988</v>
      </c>
      <c r="T28" s="52">
        <v>21389.749861420689</v>
      </c>
      <c r="U28" s="52">
        <v>11335.407272273627</v>
      </c>
      <c r="V28" s="53">
        <v>10054.342589145126</v>
      </c>
      <c r="W28" s="52">
        <v>14422.774987095143</v>
      </c>
      <c r="X28" s="52">
        <v>7587.7057359867858</v>
      </c>
      <c r="Y28" s="53">
        <v>6835.0692511082543</v>
      </c>
      <c r="Z28" s="52">
        <v>6966.9748743236596</v>
      </c>
      <c r="AA28" s="52">
        <v>3747.7015362867501</v>
      </c>
      <c r="AB28" s="52">
        <v>3219.2733380367054</v>
      </c>
    </row>
    <row r="29" spans="1:80" customFormat="1" ht="15" x14ac:dyDescent="0.25">
      <c r="A29" s="60" t="s">
        <v>121</v>
      </c>
      <c r="B29" s="60"/>
      <c r="C29" s="5"/>
      <c r="D29" s="5"/>
      <c r="E29" s="5"/>
      <c r="F29" s="5"/>
      <c r="G29" s="5"/>
      <c r="H29" s="5"/>
      <c r="I29" s="5"/>
      <c r="J29" s="5"/>
      <c r="K29" s="56"/>
      <c r="L29" s="56"/>
      <c r="M29" s="56"/>
      <c r="N29" s="56"/>
      <c r="O29" s="56"/>
      <c r="P29" s="56"/>
      <c r="Q29" s="56"/>
      <c r="R29" s="56"/>
      <c r="S29" s="56"/>
      <c r="T29" s="56"/>
      <c r="U29" s="56"/>
      <c r="V29" s="56"/>
      <c r="W29" s="56"/>
      <c r="X29" s="56"/>
      <c r="Y29" s="56"/>
      <c r="Z29" s="56"/>
      <c r="AA29" s="56"/>
      <c r="AB29" s="56"/>
      <c r="AC29" s="234"/>
      <c r="AD29" s="234"/>
      <c r="AE29" s="234"/>
      <c r="AF29" s="234"/>
      <c r="AG29" s="234"/>
      <c r="AH29" s="234"/>
      <c r="AI29" s="234"/>
      <c r="AJ29" s="234"/>
      <c r="AK29" s="234"/>
      <c r="AL29" s="234"/>
      <c r="AM29" s="234"/>
      <c r="AN29" s="234"/>
      <c r="AO29" s="234"/>
      <c r="AP29" s="234"/>
      <c r="AQ29" s="234"/>
      <c r="AR29" s="234"/>
      <c r="AS29" s="234"/>
      <c r="AT29" s="234"/>
      <c r="AU29" s="234"/>
      <c r="AV29" s="234"/>
      <c r="AW29" s="234"/>
      <c r="AX29" s="234"/>
      <c r="AY29" s="234"/>
      <c r="AZ29" s="234"/>
      <c r="BA29" s="234"/>
      <c r="BB29" s="234"/>
      <c r="BC29" s="234"/>
      <c r="BD29" s="234"/>
      <c r="BE29" s="234"/>
      <c r="BF29" s="234"/>
      <c r="BG29" s="234"/>
      <c r="BH29" s="234"/>
      <c r="BI29" s="234"/>
      <c r="BJ29" s="234"/>
      <c r="BK29" s="234"/>
      <c r="BL29" s="234"/>
      <c r="BM29" s="234"/>
      <c r="BN29" s="234"/>
      <c r="BO29" s="234"/>
      <c r="BP29" s="234"/>
      <c r="BQ29" s="234"/>
      <c r="BR29" s="234"/>
      <c r="BS29" s="234"/>
      <c r="BT29" s="234"/>
      <c r="BU29" s="234"/>
      <c r="BV29" s="234"/>
      <c r="BW29" s="234"/>
      <c r="BX29" s="234"/>
      <c r="BY29" s="234"/>
      <c r="BZ29" s="234"/>
      <c r="CA29" s="234"/>
      <c r="CB29" s="234"/>
    </row>
    <row r="30" spans="1:80" ht="12" customHeight="1" x14ac:dyDescent="0.2"/>
    <row r="31" spans="1:80" x14ac:dyDescent="0.2">
      <c r="B31" s="194"/>
    </row>
  </sheetData>
  <mergeCells count="4">
    <mergeCell ref="A2:J2"/>
    <mergeCell ref="K2:S2"/>
    <mergeCell ref="T2:AB2"/>
    <mergeCell ref="A3:A4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B32"/>
  <sheetViews>
    <sheetView workbookViewId="0">
      <pane xSplit="1" topLeftCell="B1" activePane="topRight" state="frozen"/>
      <selection pane="topRight" activeCell="O20" sqref="O20"/>
    </sheetView>
  </sheetViews>
  <sheetFormatPr defaultColWidth="9.140625" defaultRowHeight="12" x14ac:dyDescent="0.2"/>
  <cols>
    <col min="1" max="1" width="16.5703125" style="1" customWidth="1"/>
    <col min="2" max="16384" width="9.140625" style="1"/>
  </cols>
  <sheetData>
    <row r="1" spans="1:28" s="5" customFormat="1" ht="30" customHeight="1" thickBot="1" x14ac:dyDescent="0.25">
      <c r="A1" s="61" t="s">
        <v>110</v>
      </c>
      <c r="B1" s="59"/>
      <c r="C1" s="59"/>
      <c r="D1" s="59"/>
      <c r="E1" s="59"/>
      <c r="F1" s="59"/>
      <c r="G1" s="59"/>
      <c r="H1" s="59"/>
      <c r="I1" s="59"/>
      <c r="J1" s="59"/>
      <c r="Y1" s="115"/>
      <c r="Z1" s="115"/>
      <c r="AA1" s="115"/>
      <c r="AB1" s="115"/>
    </row>
    <row r="2" spans="1:28" s="5" customFormat="1" ht="11.1" customHeight="1" thickBot="1" x14ac:dyDescent="0.25">
      <c r="A2" s="246" t="s">
        <v>36</v>
      </c>
      <c r="B2" s="236" t="s">
        <v>104</v>
      </c>
      <c r="C2" s="236"/>
      <c r="D2" s="236"/>
      <c r="E2" s="236"/>
      <c r="F2" s="236"/>
      <c r="G2" s="236"/>
      <c r="H2" s="236"/>
      <c r="I2" s="236"/>
      <c r="J2" s="236"/>
      <c r="K2" s="235" t="s">
        <v>46</v>
      </c>
      <c r="L2" s="236"/>
      <c r="M2" s="236"/>
      <c r="N2" s="236"/>
      <c r="O2" s="236"/>
      <c r="P2" s="236"/>
      <c r="Q2" s="236"/>
      <c r="R2" s="236"/>
      <c r="S2" s="237"/>
      <c r="T2" s="247" t="s">
        <v>71</v>
      </c>
      <c r="U2" s="247"/>
      <c r="V2" s="247"/>
      <c r="W2" s="247"/>
      <c r="X2" s="247"/>
      <c r="Y2" s="247"/>
      <c r="Z2" s="247"/>
      <c r="AA2" s="247"/>
      <c r="AB2" s="247"/>
    </row>
    <row r="3" spans="1:28" s="5" customFormat="1" ht="17.25" customHeight="1" thickBot="1" x14ac:dyDescent="0.25">
      <c r="A3" s="250"/>
      <c r="B3" s="11"/>
      <c r="C3" s="11" t="s">
        <v>0</v>
      </c>
      <c r="D3" s="12"/>
      <c r="E3" s="13"/>
      <c r="F3" s="13" t="s">
        <v>1</v>
      </c>
      <c r="G3" s="14"/>
      <c r="H3" s="11"/>
      <c r="I3" s="11" t="s">
        <v>2</v>
      </c>
      <c r="J3" s="11"/>
      <c r="K3" s="88"/>
      <c r="L3" s="11" t="s">
        <v>0</v>
      </c>
      <c r="M3" s="12"/>
      <c r="N3" s="13"/>
      <c r="O3" s="13" t="s">
        <v>1</v>
      </c>
      <c r="P3" s="14"/>
      <c r="Q3" s="11"/>
      <c r="R3" s="11" t="s">
        <v>2</v>
      </c>
      <c r="S3" s="15"/>
      <c r="T3" s="104"/>
      <c r="U3" s="104" t="s">
        <v>0</v>
      </c>
      <c r="V3" s="148"/>
      <c r="W3" s="114"/>
      <c r="X3" s="114" t="s">
        <v>1</v>
      </c>
      <c r="Y3" s="149"/>
      <c r="Z3" s="104"/>
      <c r="AA3" s="104" t="s">
        <v>2</v>
      </c>
      <c r="AB3" s="104"/>
    </row>
    <row r="4" spans="1:28" s="5" customFormat="1" ht="12.75" customHeight="1" thickBot="1" x14ac:dyDescent="0.25">
      <c r="A4" s="251"/>
      <c r="B4" s="9" t="s">
        <v>0</v>
      </c>
      <c r="C4" s="10" t="s">
        <v>3</v>
      </c>
      <c r="D4" s="16" t="s">
        <v>4</v>
      </c>
      <c r="E4" s="17" t="s">
        <v>0</v>
      </c>
      <c r="F4" s="10" t="s">
        <v>3</v>
      </c>
      <c r="G4" s="16" t="s">
        <v>4</v>
      </c>
      <c r="H4" s="17" t="s">
        <v>0</v>
      </c>
      <c r="I4" s="10" t="s">
        <v>3</v>
      </c>
      <c r="J4" s="10" t="s">
        <v>4</v>
      </c>
      <c r="K4" s="124" t="s">
        <v>0</v>
      </c>
      <c r="L4" s="10" t="s">
        <v>3</v>
      </c>
      <c r="M4" s="10" t="s">
        <v>4</v>
      </c>
      <c r="N4" s="19" t="s">
        <v>0</v>
      </c>
      <c r="O4" s="20" t="s">
        <v>3</v>
      </c>
      <c r="P4" s="21" t="s">
        <v>4</v>
      </c>
      <c r="Q4" s="17" t="s">
        <v>0</v>
      </c>
      <c r="R4" s="10" t="s">
        <v>3</v>
      </c>
      <c r="S4" s="18" t="s">
        <v>4</v>
      </c>
      <c r="T4" s="9" t="s">
        <v>0</v>
      </c>
      <c r="U4" s="10" t="s">
        <v>3</v>
      </c>
      <c r="V4" s="10" t="s">
        <v>4</v>
      </c>
      <c r="W4" s="19" t="s">
        <v>0</v>
      </c>
      <c r="X4" s="20" t="s">
        <v>3</v>
      </c>
      <c r="Y4" s="21" t="s">
        <v>4</v>
      </c>
      <c r="Z4" s="17" t="s">
        <v>0</v>
      </c>
      <c r="AA4" s="10" t="s">
        <v>3</v>
      </c>
      <c r="AB4" s="10" t="s">
        <v>4</v>
      </c>
    </row>
    <row r="5" spans="1:28" s="5" customFormat="1" ht="16.5" customHeight="1" thickBot="1" x14ac:dyDescent="0.25">
      <c r="A5" s="22" t="s">
        <v>66</v>
      </c>
      <c r="B5" s="30">
        <v>41976.26074053839</v>
      </c>
      <c r="C5" s="23">
        <v>21117.408015949452</v>
      </c>
      <c r="D5" s="24">
        <v>20858.852724590364</v>
      </c>
      <c r="E5" s="27">
        <v>23953.498768504243</v>
      </c>
      <c r="F5" s="28">
        <v>12074.676351330119</v>
      </c>
      <c r="G5" s="29">
        <v>11878.822417170441</v>
      </c>
      <c r="H5" s="23">
        <v>18022.76197203618</v>
      </c>
      <c r="I5" s="23">
        <v>9042.731664617786</v>
      </c>
      <c r="J5" s="23">
        <v>8980.030307418654</v>
      </c>
      <c r="K5" s="133">
        <v>43392.194481211853</v>
      </c>
      <c r="L5" s="28">
        <v>21829.735650608691</v>
      </c>
      <c r="M5" s="29">
        <v>21562.458830595082</v>
      </c>
      <c r="N5" s="27">
        <v>24761.492775470448</v>
      </c>
      <c r="O5" s="28">
        <v>12481.976605136759</v>
      </c>
      <c r="P5" s="29">
        <v>12279.51617033292</v>
      </c>
      <c r="Q5" s="28">
        <v>18630.701705733049</v>
      </c>
      <c r="R5" s="28">
        <v>9347.7590454714828</v>
      </c>
      <c r="S5" s="132">
        <v>9282.9426602618059</v>
      </c>
      <c r="T5" s="23">
        <v>44851.572872410325</v>
      </c>
      <c r="U5" s="23">
        <v>22563.919410509992</v>
      </c>
      <c r="V5" s="132">
        <v>22287.653461915255</v>
      </c>
      <c r="W5" s="23">
        <v>25594.278208956082</v>
      </c>
      <c r="X5" s="23">
        <v>12901.77392479461</v>
      </c>
      <c r="Y5" s="132">
        <v>12692.504284160908</v>
      </c>
      <c r="Z5" s="23">
        <v>19257.294663468994</v>
      </c>
      <c r="AA5" s="23">
        <v>9662.1454857147091</v>
      </c>
      <c r="AB5" s="23">
        <v>9595.1491777538595</v>
      </c>
    </row>
    <row r="6" spans="1:28" s="5" customFormat="1" ht="12" customHeight="1" x14ac:dyDescent="0.2">
      <c r="A6" s="31" t="s">
        <v>5</v>
      </c>
      <c r="B6" s="32">
        <v>6282.5357843343963</v>
      </c>
      <c r="C6" s="32">
        <v>3104.6468934243062</v>
      </c>
      <c r="D6" s="33">
        <v>3177.8888909100701</v>
      </c>
      <c r="E6" s="32">
        <v>3474.9258807134461</v>
      </c>
      <c r="F6" s="32">
        <v>1726.6122740625256</v>
      </c>
      <c r="G6" s="33">
        <v>1748.3136066509001</v>
      </c>
      <c r="H6" s="32">
        <v>2807.6099036209303</v>
      </c>
      <c r="I6" s="32">
        <v>1378.0346193617602</v>
      </c>
      <c r="J6" s="32">
        <v>1429.5752842591496</v>
      </c>
      <c r="K6" s="125">
        <v>6494.4568615577064</v>
      </c>
      <c r="L6" s="32">
        <v>3209.3721407831008</v>
      </c>
      <c r="M6" s="32">
        <v>3285.0847207753632</v>
      </c>
      <c r="N6" s="35">
        <v>3592.1412951884272</v>
      </c>
      <c r="O6" s="32">
        <v>1784.8539690768312</v>
      </c>
      <c r="P6" s="33">
        <v>1807.2873261115756</v>
      </c>
      <c r="Q6" s="32">
        <v>2902.3155663700368</v>
      </c>
      <c r="R6" s="32">
        <v>1424.5181717062492</v>
      </c>
      <c r="S6" s="34">
        <v>1477.7973946637671</v>
      </c>
      <c r="T6" s="32">
        <v>6712.8802466803681</v>
      </c>
      <c r="U6" s="32">
        <v>3317.3106400365923</v>
      </c>
      <c r="V6" s="32">
        <v>3395.56960664296</v>
      </c>
      <c r="W6" s="35">
        <v>3712.9531934354513</v>
      </c>
      <c r="X6" s="32">
        <v>1844.882675739007</v>
      </c>
      <c r="Y6" s="33">
        <v>1868.0705176964493</v>
      </c>
      <c r="Z6" s="32">
        <v>2999.927053244101</v>
      </c>
      <c r="AA6" s="32">
        <v>1472.4279642975903</v>
      </c>
      <c r="AB6" s="32">
        <v>1527.4990889465157</v>
      </c>
    </row>
    <row r="7" spans="1:28" s="5" customFormat="1" ht="12" customHeight="1" x14ac:dyDescent="0.2">
      <c r="A7" s="31" t="s">
        <v>6</v>
      </c>
      <c r="B7" s="32">
        <v>5955.7626469129464</v>
      </c>
      <c r="C7" s="32">
        <v>2904.393533644306</v>
      </c>
      <c r="D7" s="33">
        <v>3051.369113268925</v>
      </c>
      <c r="E7" s="32">
        <v>3195.743355201073</v>
      </c>
      <c r="F7" s="32">
        <v>1582.9139858688889</v>
      </c>
      <c r="G7" s="33">
        <v>1612.8293693323121</v>
      </c>
      <c r="H7" s="32">
        <v>2760.0192917121581</v>
      </c>
      <c r="I7" s="32">
        <v>1321.4795477754942</v>
      </c>
      <c r="J7" s="32">
        <v>1438.5397439367157</v>
      </c>
      <c r="K7" s="125">
        <v>6156.6610865168386</v>
      </c>
      <c r="L7" s="32">
        <v>3002.3638799283804</v>
      </c>
      <c r="M7" s="32">
        <v>3154.2972065884383</v>
      </c>
      <c r="N7" s="35">
        <v>3303.5414478208845</v>
      </c>
      <c r="O7" s="32">
        <v>1636.3084827016651</v>
      </c>
      <c r="P7" s="33">
        <v>1667.232965119199</v>
      </c>
      <c r="Q7" s="32">
        <v>2853.1196386959341</v>
      </c>
      <c r="R7" s="32">
        <v>1366.0553972266948</v>
      </c>
      <c r="S7" s="34">
        <v>1487.0642414692188</v>
      </c>
      <c r="T7" s="32">
        <v>6363.7236298875532</v>
      </c>
      <c r="U7" s="32">
        <v>3103.340219597565</v>
      </c>
      <c r="V7" s="32">
        <v>3260.3834102892465</v>
      </c>
      <c r="W7" s="35">
        <v>3414.6470754819602</v>
      </c>
      <c r="X7" s="32">
        <v>1691.3412661219152</v>
      </c>
      <c r="Y7" s="33">
        <v>1723.305809360045</v>
      </c>
      <c r="Z7" s="32">
        <v>2949.0765544048513</v>
      </c>
      <c r="AA7" s="32">
        <v>1411.9989534756498</v>
      </c>
      <c r="AB7" s="32">
        <v>1537.0776009292015</v>
      </c>
    </row>
    <row r="8" spans="1:28" s="5" customFormat="1" ht="12" customHeight="1" x14ac:dyDescent="0.2">
      <c r="A8" s="31" t="s">
        <v>7</v>
      </c>
      <c r="B8" s="32">
        <v>5536.9472784250938</v>
      </c>
      <c r="C8" s="32">
        <v>2823.7520651777008</v>
      </c>
      <c r="D8" s="33">
        <v>2713.1952132476777</v>
      </c>
      <c r="E8" s="32">
        <v>3215.2533878946065</v>
      </c>
      <c r="F8" s="32">
        <v>1637.5420774107922</v>
      </c>
      <c r="G8" s="33">
        <v>1577.7113104839457</v>
      </c>
      <c r="H8" s="32">
        <v>2321.693890530772</v>
      </c>
      <c r="I8" s="32">
        <v>1186.2099877669716</v>
      </c>
      <c r="J8" s="32">
        <v>1135.4839027637756</v>
      </c>
      <c r="K8" s="125">
        <v>5723.7183326713639</v>
      </c>
      <c r="L8" s="32">
        <v>2919.0022316724194</v>
      </c>
      <c r="M8" s="32">
        <v>2804.7161009989245</v>
      </c>
      <c r="N8" s="35">
        <v>3323.7095885279718</v>
      </c>
      <c r="O8" s="32">
        <v>1692.7792766815096</v>
      </c>
      <c r="P8" s="33">
        <v>1630.9303118464418</v>
      </c>
      <c r="Q8" s="32">
        <v>2400.008744143372</v>
      </c>
      <c r="R8" s="32">
        <v>1226.2229549908893</v>
      </c>
      <c r="S8" s="34">
        <v>1173.7857891524623</v>
      </c>
      <c r="T8" s="32">
        <v>5916.2200245535887</v>
      </c>
      <c r="U8" s="32">
        <v>3017.1749291295628</v>
      </c>
      <c r="V8" s="32">
        <v>2899.0450954234307</v>
      </c>
      <c r="W8" s="35">
        <v>3435.4935167242188</v>
      </c>
      <c r="X8" s="32">
        <v>1749.7113016002393</v>
      </c>
      <c r="Y8" s="33">
        <v>1685.7822151239795</v>
      </c>
      <c r="Z8" s="32">
        <v>2480.7265078287746</v>
      </c>
      <c r="AA8" s="32">
        <v>1267.4636275293235</v>
      </c>
      <c r="AB8" s="32">
        <v>1213.2628802994511</v>
      </c>
    </row>
    <row r="9" spans="1:28" s="5" customFormat="1" ht="12" customHeight="1" x14ac:dyDescent="0.2">
      <c r="A9" s="31" t="s">
        <v>8</v>
      </c>
      <c r="B9" s="32">
        <v>5648.2821491037475</v>
      </c>
      <c r="C9" s="32">
        <v>2873.5910155462266</v>
      </c>
      <c r="D9" s="33">
        <v>2774.6911335580194</v>
      </c>
      <c r="E9" s="32">
        <v>3554.9013136872095</v>
      </c>
      <c r="F9" s="32">
        <v>1796.6811894524149</v>
      </c>
      <c r="G9" s="33">
        <v>1758.2201242347787</v>
      </c>
      <c r="H9" s="32">
        <v>2093.3808354170365</v>
      </c>
      <c r="I9" s="32">
        <v>1076.9098260937958</v>
      </c>
      <c r="J9" s="32">
        <v>1016.4710093232247</v>
      </c>
      <c r="K9" s="125">
        <v>5838.8087260458387</v>
      </c>
      <c r="L9" s="32">
        <v>2970.5223382511003</v>
      </c>
      <c r="M9" s="32">
        <v>2868.2863877950304</v>
      </c>
      <c r="N9" s="35">
        <v>3674.8144413929158</v>
      </c>
      <c r="O9" s="32">
        <v>1857.2864332850356</v>
      </c>
      <c r="P9" s="33">
        <v>1817.5280081076814</v>
      </c>
      <c r="Q9" s="32">
        <v>2163.9942846532149</v>
      </c>
      <c r="R9" s="32">
        <v>1113.2359049659788</v>
      </c>
      <c r="S9" s="34">
        <v>1050.7583796872793</v>
      </c>
      <c r="T9" s="32">
        <v>6035.1811701485003</v>
      </c>
      <c r="U9" s="32">
        <v>3070.4277743067646</v>
      </c>
      <c r="V9" s="32">
        <v>2964.75339584114</v>
      </c>
      <c r="W9" s="35">
        <v>3798.4068259588453</v>
      </c>
      <c r="X9" s="32">
        <v>1919.7512087921853</v>
      </c>
      <c r="Y9" s="33">
        <v>1878.6556171666646</v>
      </c>
      <c r="Z9" s="32">
        <v>2236.7743441890593</v>
      </c>
      <c r="AA9" s="32">
        <v>1150.6765655145839</v>
      </c>
      <c r="AB9" s="32">
        <v>1086.09777867448</v>
      </c>
    </row>
    <row r="10" spans="1:28" s="5" customFormat="1" ht="12" customHeight="1" x14ac:dyDescent="0.2">
      <c r="A10" s="31" t="s">
        <v>9</v>
      </c>
      <c r="B10" s="32">
        <v>4296.723106514376</v>
      </c>
      <c r="C10" s="32">
        <v>2215.7524189400724</v>
      </c>
      <c r="D10" s="33">
        <v>2080.9706875740499</v>
      </c>
      <c r="E10" s="32">
        <v>2706.0024528098907</v>
      </c>
      <c r="F10" s="32">
        <v>1372.9963184207602</v>
      </c>
      <c r="G10" s="33">
        <v>1333.0061343890893</v>
      </c>
      <c r="H10" s="32">
        <v>1590.7206537043016</v>
      </c>
      <c r="I10" s="32">
        <v>842.75610051933234</v>
      </c>
      <c r="J10" s="32">
        <v>747.96455318499409</v>
      </c>
      <c r="K10" s="125">
        <v>4441.6591992835265</v>
      </c>
      <c r="L10" s="32">
        <v>2290.4936787757606</v>
      </c>
      <c r="M10" s="32">
        <v>2151.1655205079978</v>
      </c>
      <c r="N10" s="35">
        <v>2797.2807159914692</v>
      </c>
      <c r="O10" s="32">
        <v>1419.309919936579</v>
      </c>
      <c r="P10" s="33">
        <v>1377.970796054929</v>
      </c>
      <c r="Q10" s="32">
        <v>1644.3784832922292</v>
      </c>
      <c r="R10" s="32">
        <v>871.18375883915644</v>
      </c>
      <c r="S10" s="34">
        <v>773.19472445303029</v>
      </c>
      <c r="T10" s="32">
        <v>4591.0423206970036</v>
      </c>
      <c r="U10" s="32">
        <v>2367.5282012280272</v>
      </c>
      <c r="V10" s="32">
        <v>2223.5141194688358</v>
      </c>
      <c r="W10" s="35">
        <v>2891.3596414729982</v>
      </c>
      <c r="X10" s="32">
        <v>1467.0445471513247</v>
      </c>
      <c r="Y10" s="33">
        <v>1424.3150943216745</v>
      </c>
      <c r="Z10" s="32">
        <v>1699.6826792238646</v>
      </c>
      <c r="AA10" s="32">
        <v>900.48365407670349</v>
      </c>
      <c r="AB10" s="32">
        <v>799.19902514716227</v>
      </c>
    </row>
    <row r="11" spans="1:28" s="5" customFormat="1" ht="12" customHeight="1" x14ac:dyDescent="0.2">
      <c r="A11" s="36" t="s">
        <v>10</v>
      </c>
      <c r="B11" s="32">
        <v>2902.9911371140774</v>
      </c>
      <c r="C11" s="32">
        <v>1470.750101609289</v>
      </c>
      <c r="D11" s="33">
        <v>1432.241035504717</v>
      </c>
      <c r="E11" s="37">
        <v>1775.8603945916668</v>
      </c>
      <c r="F11" s="37">
        <v>882.74628455100628</v>
      </c>
      <c r="G11" s="38">
        <v>893.11411004069953</v>
      </c>
      <c r="H11" s="37">
        <v>1127.1307425223392</v>
      </c>
      <c r="I11" s="37">
        <v>588.0038170582983</v>
      </c>
      <c r="J11" s="37">
        <v>539.12692546403014</v>
      </c>
      <c r="K11" s="125">
        <v>3000.9141780751224</v>
      </c>
      <c r="L11" s="32">
        <v>1520.3611116472791</v>
      </c>
      <c r="M11" s="32">
        <v>1480.5530664279124</v>
      </c>
      <c r="N11" s="40">
        <v>1835.7633160776461</v>
      </c>
      <c r="O11" s="37">
        <v>912.52288272080341</v>
      </c>
      <c r="P11" s="38">
        <v>923.24043335678596</v>
      </c>
      <c r="Q11" s="37">
        <v>1165.1508619975455</v>
      </c>
      <c r="R11" s="37">
        <v>607.83822892644241</v>
      </c>
      <c r="S11" s="39">
        <v>557.31263307109612</v>
      </c>
      <c r="T11" s="32">
        <v>3101.841760967201</v>
      </c>
      <c r="U11" s="32">
        <v>1571.494320734914</v>
      </c>
      <c r="V11" s="32">
        <v>1530.3474402322879</v>
      </c>
      <c r="W11" s="40">
        <v>1897.5042201018748</v>
      </c>
      <c r="X11" s="37">
        <v>943.21310690635369</v>
      </c>
      <c r="Y11" s="38">
        <v>954.29111319552226</v>
      </c>
      <c r="Z11" s="37">
        <v>1204.3375408653271</v>
      </c>
      <c r="AA11" s="37">
        <v>628.28121382856148</v>
      </c>
      <c r="AB11" s="37">
        <v>576.05632703676679</v>
      </c>
    </row>
    <row r="12" spans="1:28" s="5" customFormat="1" ht="12" customHeight="1" x14ac:dyDescent="0.2">
      <c r="A12" s="36" t="s">
        <v>11</v>
      </c>
      <c r="B12" s="37">
        <v>2064.4322825613258</v>
      </c>
      <c r="C12" s="37">
        <v>1027.7217313766821</v>
      </c>
      <c r="D12" s="38">
        <v>1036.7105511846414</v>
      </c>
      <c r="E12" s="32">
        <v>1264.4273196529441</v>
      </c>
      <c r="F12" s="32">
        <v>653.18757271171046</v>
      </c>
      <c r="G12" s="33">
        <v>611.23974694123365</v>
      </c>
      <c r="H12" s="32">
        <v>800.0049629083793</v>
      </c>
      <c r="I12" s="32">
        <v>374.53415866497159</v>
      </c>
      <c r="J12" s="32">
        <v>425.47080424340771</v>
      </c>
      <c r="K12" s="126">
        <v>2134.0692457549426</v>
      </c>
      <c r="L12" s="37">
        <v>1062.3886085543775</v>
      </c>
      <c r="M12" s="37">
        <v>1071.6806372006251</v>
      </c>
      <c r="N12" s="35">
        <v>1307.0786962388995</v>
      </c>
      <c r="O12" s="32">
        <v>675.22074829403209</v>
      </c>
      <c r="P12" s="33">
        <v>631.8579479448731</v>
      </c>
      <c r="Q12" s="32">
        <v>826.99054951608855</v>
      </c>
      <c r="R12" s="32">
        <v>387.1678602603377</v>
      </c>
      <c r="S12" s="34">
        <v>439.82268925574311</v>
      </c>
      <c r="T12" s="37">
        <v>2205.8428580335581</v>
      </c>
      <c r="U12" s="37">
        <v>1098.1191586436905</v>
      </c>
      <c r="V12" s="37">
        <v>1107.7236993898453</v>
      </c>
      <c r="W12" s="35">
        <v>1351.038731625765</v>
      </c>
      <c r="X12" s="32">
        <v>697.92996088724351</v>
      </c>
      <c r="Y12" s="33">
        <v>653.10877073852146</v>
      </c>
      <c r="Z12" s="32">
        <v>854.8041264077707</v>
      </c>
      <c r="AA12" s="32">
        <v>400.18919775644702</v>
      </c>
      <c r="AB12" s="32">
        <v>454.61492865132379</v>
      </c>
    </row>
    <row r="13" spans="1:28" s="5" customFormat="1" ht="12" customHeight="1" x14ac:dyDescent="0.2">
      <c r="A13" s="36" t="s">
        <v>12</v>
      </c>
      <c r="B13" s="37">
        <v>2000.0124072709482</v>
      </c>
      <c r="C13" s="37">
        <v>1029.219868011342</v>
      </c>
      <c r="D13" s="38">
        <v>970.79253925960631</v>
      </c>
      <c r="E13" s="37">
        <v>1110.1192462829758</v>
      </c>
      <c r="F13" s="37">
        <v>578.28074097871615</v>
      </c>
      <c r="G13" s="38">
        <v>531.83850530425968</v>
      </c>
      <c r="H13" s="37">
        <v>889.89316098797246</v>
      </c>
      <c r="I13" s="37">
        <v>450.93912703262578</v>
      </c>
      <c r="J13" s="37">
        <v>438.95403395534669</v>
      </c>
      <c r="K13" s="126">
        <v>2067.4763737901676</v>
      </c>
      <c r="L13" s="37">
        <v>1063.9372799954187</v>
      </c>
      <c r="M13" s="37">
        <v>1003.5390937948073</v>
      </c>
      <c r="N13" s="40">
        <v>1147.5655378116478</v>
      </c>
      <c r="O13" s="37">
        <v>597.78717624196247</v>
      </c>
      <c r="P13" s="38">
        <v>549.7783615696793</v>
      </c>
      <c r="Q13" s="37">
        <v>919.91083597857209</v>
      </c>
      <c r="R13" s="37">
        <v>466.15010375344582</v>
      </c>
      <c r="S13" s="39">
        <v>453.76073222511513</v>
      </c>
      <c r="T13" s="37">
        <v>2137.0103160194394</v>
      </c>
      <c r="U13" s="37">
        <v>1099.7199154347163</v>
      </c>
      <c r="V13" s="37">
        <v>1037.2904005847106</v>
      </c>
      <c r="W13" s="40">
        <v>1186.1607821501088</v>
      </c>
      <c r="X13" s="37">
        <v>617.89212133595413</v>
      </c>
      <c r="Y13" s="38">
        <v>568.26866081415471</v>
      </c>
      <c r="Z13" s="37">
        <v>950.84953386931795</v>
      </c>
      <c r="AA13" s="37">
        <v>481.82779409876218</v>
      </c>
      <c r="AB13" s="37">
        <v>469.02173977055588</v>
      </c>
    </row>
    <row r="14" spans="1:28" s="5" customFormat="1" ht="12" customHeight="1" x14ac:dyDescent="0.2">
      <c r="A14" s="36" t="s">
        <v>13</v>
      </c>
      <c r="B14" s="37">
        <v>1529.5975039877439</v>
      </c>
      <c r="C14" s="37">
        <v>752.06459059926294</v>
      </c>
      <c r="D14" s="38">
        <v>777.53291338848101</v>
      </c>
      <c r="E14" s="37">
        <v>774.53664011916123</v>
      </c>
      <c r="F14" s="37">
        <v>365.54533885701227</v>
      </c>
      <c r="G14" s="38">
        <v>408.99130126214897</v>
      </c>
      <c r="H14" s="37">
        <v>755.06086386858271</v>
      </c>
      <c r="I14" s="37">
        <v>386.51925174225067</v>
      </c>
      <c r="J14" s="37">
        <v>368.54161212633204</v>
      </c>
      <c r="K14" s="126">
        <v>1581.1935413032058</v>
      </c>
      <c r="L14" s="37">
        <v>777.43306340276399</v>
      </c>
      <c r="M14" s="37">
        <v>803.76047790046766</v>
      </c>
      <c r="N14" s="40">
        <v>800.66313501838488</v>
      </c>
      <c r="O14" s="37">
        <v>377.87583161408969</v>
      </c>
      <c r="P14" s="38">
        <v>422.78730340428842</v>
      </c>
      <c r="Q14" s="37">
        <v>780.53040628484678</v>
      </c>
      <c r="R14" s="37">
        <v>399.55723178866839</v>
      </c>
      <c r="S14" s="39">
        <v>380.97317449617236</v>
      </c>
      <c r="T14" s="37">
        <v>1634.3726836373294</v>
      </c>
      <c r="U14" s="37">
        <v>803.57990909494549</v>
      </c>
      <c r="V14" s="37">
        <v>830.79277454238388</v>
      </c>
      <c r="W14" s="40">
        <v>827.59126096033231</v>
      </c>
      <c r="X14" s="37">
        <v>390.58465701029229</v>
      </c>
      <c r="Y14" s="38">
        <v>437.00660395004013</v>
      </c>
      <c r="Z14" s="37">
        <v>806.78142267699707</v>
      </c>
      <c r="AA14" s="37">
        <v>412.99525208465332</v>
      </c>
      <c r="AB14" s="37">
        <v>393.78617059234386</v>
      </c>
    </row>
    <row r="15" spans="1:28" s="5" customFormat="1" ht="12" customHeight="1" x14ac:dyDescent="0.2">
      <c r="A15" s="36" t="s">
        <v>14</v>
      </c>
      <c r="B15" s="37">
        <v>1408.9580773432504</v>
      </c>
      <c r="C15" s="37">
        <v>701.5739704709074</v>
      </c>
      <c r="D15" s="38">
        <v>707.38410687232295</v>
      </c>
      <c r="E15" s="37">
        <v>730.62465247798514</v>
      </c>
      <c r="F15" s="37">
        <v>376.20633199164206</v>
      </c>
      <c r="G15" s="38">
        <v>354.41832048633461</v>
      </c>
      <c r="H15" s="37">
        <v>678.33342486524521</v>
      </c>
      <c r="I15" s="37">
        <v>325.36763847925801</v>
      </c>
      <c r="J15" s="37">
        <v>352.96578638598078</v>
      </c>
      <c r="K15" s="126">
        <v>1456.4847327836144</v>
      </c>
      <c r="L15" s="37">
        <v>725.23930508710771</v>
      </c>
      <c r="M15" s="37">
        <v>731.24542769652487</v>
      </c>
      <c r="N15" s="40">
        <v>755.26991813419352</v>
      </c>
      <c r="O15" s="37">
        <v>388.89643895975132</v>
      </c>
      <c r="P15" s="38">
        <v>366.37347917443782</v>
      </c>
      <c r="Q15" s="37">
        <v>701.21481464943906</v>
      </c>
      <c r="R15" s="37">
        <v>336.34286612735315</v>
      </c>
      <c r="S15" s="39">
        <v>364.87194852208358</v>
      </c>
      <c r="T15" s="37">
        <v>1505.4696336758691</v>
      </c>
      <c r="U15" s="37">
        <v>749.63075573756157</v>
      </c>
      <c r="V15" s="37">
        <v>755.8388779382866</v>
      </c>
      <c r="W15" s="40">
        <v>780.67136674118672</v>
      </c>
      <c r="X15" s="37">
        <v>401.97591249695597</v>
      </c>
      <c r="Y15" s="38">
        <v>378.69545424423626</v>
      </c>
      <c r="Z15" s="37">
        <v>724.79826693466146</v>
      </c>
      <c r="AA15" s="37">
        <v>347.65484324060998</v>
      </c>
      <c r="AB15" s="37">
        <v>377.14342369405495</v>
      </c>
    </row>
    <row r="16" spans="1:28" s="5" customFormat="1" ht="12" customHeight="1" x14ac:dyDescent="0.2">
      <c r="A16" s="36" t="s">
        <v>15</v>
      </c>
      <c r="B16" s="37">
        <v>1098.1157798675185</v>
      </c>
      <c r="C16" s="37">
        <v>544.7002876326876</v>
      </c>
      <c r="D16" s="38">
        <v>553.41549223481093</v>
      </c>
      <c r="E16" s="37">
        <v>530.17494662914874</v>
      </c>
      <c r="F16" s="37">
        <v>277.43401316758161</v>
      </c>
      <c r="G16" s="38">
        <v>252.74093346156647</v>
      </c>
      <c r="H16" s="37">
        <v>567.9408332383498</v>
      </c>
      <c r="I16" s="37">
        <v>267.2662744651048</v>
      </c>
      <c r="J16" s="37">
        <v>300.67455877324289</v>
      </c>
      <c r="K16" s="126">
        <v>1135.1571731798206</v>
      </c>
      <c r="L16" s="37">
        <v>563.07399463284435</v>
      </c>
      <c r="M16" s="37">
        <v>572.08317854697009</v>
      </c>
      <c r="N16" s="40">
        <v>548.05868810930144</v>
      </c>
      <c r="O16" s="37">
        <v>286.79235459966344</v>
      </c>
      <c r="P16" s="38">
        <v>261.26633350964147</v>
      </c>
      <c r="Q16" s="37">
        <v>587.09848507051299</v>
      </c>
      <c r="R16" s="37">
        <v>276.28164003318381</v>
      </c>
      <c r="S16" s="39">
        <v>310.81684503733118</v>
      </c>
      <c r="T16" s="37">
        <v>1173.3350959370557</v>
      </c>
      <c r="U16" s="37">
        <v>582.01145631798579</v>
      </c>
      <c r="V16" s="37">
        <v>591.32363961907333</v>
      </c>
      <c r="W16" s="40">
        <v>566.49115081617322</v>
      </c>
      <c r="X16" s="37">
        <v>296.43783508462661</v>
      </c>
      <c r="Y16" s="38">
        <v>270.05331573154427</v>
      </c>
      <c r="Z16" s="37">
        <v>606.84394512088591</v>
      </c>
      <c r="AA16" s="37">
        <v>285.57362123335741</v>
      </c>
      <c r="AB16" s="37">
        <v>321.27032388752764</v>
      </c>
    </row>
    <row r="17" spans="1:80" s="5" customFormat="1" ht="12" customHeight="1" x14ac:dyDescent="0.2">
      <c r="A17" s="36" t="s">
        <v>16</v>
      </c>
      <c r="B17" s="37">
        <v>916.54901732328267</v>
      </c>
      <c r="C17" s="37">
        <v>445.92796880862591</v>
      </c>
      <c r="D17" s="38">
        <v>470.62104851464102</v>
      </c>
      <c r="E17" s="37">
        <v>463.35837801287187</v>
      </c>
      <c r="F17" s="37">
        <v>229.50038785590519</v>
      </c>
      <c r="G17" s="38">
        <v>233.85799015696668</v>
      </c>
      <c r="H17" s="37">
        <v>453.19063931039506</v>
      </c>
      <c r="I17" s="37">
        <v>216.42758095272072</v>
      </c>
      <c r="J17" s="37">
        <v>236.76305835767434</v>
      </c>
      <c r="K17" s="126">
        <v>947.46584163554269</v>
      </c>
      <c r="L17" s="37">
        <v>460.96991027275453</v>
      </c>
      <c r="M17" s="37">
        <v>486.4959313627765</v>
      </c>
      <c r="N17" s="40">
        <v>478.98827810100533</v>
      </c>
      <c r="O17" s="37">
        <v>237.24184307197336</v>
      </c>
      <c r="P17" s="38">
        <v>241.74643502903615</v>
      </c>
      <c r="Q17" s="37">
        <v>468.4775635345257</v>
      </c>
      <c r="R17" s="37">
        <v>223.72806720078501</v>
      </c>
      <c r="S17" s="39">
        <v>244.74949633374467</v>
      </c>
      <c r="T17" s="37">
        <v>979.33127716438764</v>
      </c>
      <c r="U17" s="37">
        <v>476.47337890565905</v>
      </c>
      <c r="V17" s="37">
        <v>502.85789825874139</v>
      </c>
      <c r="W17" s="40">
        <v>495.09774550783482</v>
      </c>
      <c r="X17" s="37">
        <v>245.22082692864342</v>
      </c>
      <c r="Y17" s="38">
        <v>249.87691857918728</v>
      </c>
      <c r="Z17" s="37">
        <v>484.23353165656562</v>
      </c>
      <c r="AA17" s="37">
        <v>231.25255197701185</v>
      </c>
      <c r="AB17" s="37">
        <v>252.98097967954985</v>
      </c>
    </row>
    <row r="18" spans="1:80" s="5" customFormat="1" ht="12" customHeight="1" x14ac:dyDescent="0.2">
      <c r="A18" s="36" t="s">
        <v>17</v>
      </c>
      <c r="B18" s="37">
        <v>819.22923259957224</v>
      </c>
      <c r="C18" s="37">
        <v>421.23488910261079</v>
      </c>
      <c r="D18" s="38">
        <v>397.99434349694951</v>
      </c>
      <c r="E18" s="37">
        <v>425.59249140367228</v>
      </c>
      <c r="F18" s="37">
        <v>226.59531965519753</v>
      </c>
      <c r="G18" s="38">
        <v>198.99717174847476</v>
      </c>
      <c r="H18" s="37">
        <v>393.63674119588802</v>
      </c>
      <c r="I18" s="37">
        <v>194.63956944741327</v>
      </c>
      <c r="J18" s="37">
        <v>198.99717174847476</v>
      </c>
      <c r="K18" s="126">
        <v>846.86328792780523</v>
      </c>
      <c r="L18" s="37">
        <v>435.44388918273256</v>
      </c>
      <c r="M18" s="37">
        <v>411.41939874506483</v>
      </c>
      <c r="N18" s="40">
        <v>439.94848113979526</v>
      </c>
      <c r="O18" s="37">
        <v>234.23878176726484</v>
      </c>
      <c r="P18" s="38">
        <v>205.70969937253386</v>
      </c>
      <c r="Q18" s="37">
        <v>406.91480678800212</v>
      </c>
      <c r="R18" s="37">
        <v>201.20510741547108</v>
      </c>
      <c r="S18" s="39">
        <v>205.70969937253386</v>
      </c>
      <c r="T18" s="37">
        <v>875.34523030224341</v>
      </c>
      <c r="U18" s="37">
        <v>450.08885955257671</v>
      </c>
      <c r="V18" s="37">
        <v>425.25637074967568</v>
      </c>
      <c r="W18" s="40">
        <v>454.74495120312065</v>
      </c>
      <c r="X18" s="37">
        <v>242.11676582828085</v>
      </c>
      <c r="Y18" s="38">
        <v>212.62818537483642</v>
      </c>
      <c r="Z18" s="37">
        <v>420.60027909913174</v>
      </c>
      <c r="AA18" s="37">
        <v>207.97209372429256</v>
      </c>
      <c r="AB18" s="37">
        <v>212.62818537483642</v>
      </c>
    </row>
    <row r="19" spans="1:80" s="5" customFormat="1" ht="12" customHeight="1" x14ac:dyDescent="0.2">
      <c r="A19" s="36" t="s">
        <v>18</v>
      </c>
      <c r="B19" s="37">
        <v>471.13971338194193</v>
      </c>
      <c r="C19" s="37">
        <v>260.83859564398182</v>
      </c>
      <c r="D19" s="38">
        <v>210.3011177379604</v>
      </c>
      <c r="E19" s="37">
        <v>229.86401241125901</v>
      </c>
      <c r="F19" s="37">
        <v>122.26809170811661</v>
      </c>
      <c r="G19" s="38">
        <v>107.59592070314265</v>
      </c>
      <c r="H19" s="37">
        <v>241.2757009706832</v>
      </c>
      <c r="I19" s="37">
        <v>138.57050393586547</v>
      </c>
      <c r="J19" s="37">
        <v>102.705197034818</v>
      </c>
      <c r="K19" s="126">
        <v>487.03209171617061</v>
      </c>
      <c r="L19" s="37">
        <v>269.63714420272373</v>
      </c>
      <c r="M19" s="37">
        <v>217.39494751344583</v>
      </c>
      <c r="N19" s="40">
        <v>237.61773332865019</v>
      </c>
      <c r="O19" s="37">
        <v>126.3924113450262</v>
      </c>
      <c r="P19" s="38">
        <v>111.22532198362306</v>
      </c>
      <c r="Q19" s="37">
        <v>249.4143583875194</v>
      </c>
      <c r="R19" s="37">
        <v>143.2447328576965</v>
      </c>
      <c r="S19" s="39">
        <v>106.16962552982201</v>
      </c>
      <c r="T19" s="37">
        <v>503.41209090672174</v>
      </c>
      <c r="U19" s="37">
        <v>278.70565586531166</v>
      </c>
      <c r="V19" s="37">
        <v>224.70643504140739</v>
      </c>
      <c r="W19" s="40">
        <v>245.60935923130566</v>
      </c>
      <c r="X19" s="37">
        <v>130.64327618686517</v>
      </c>
      <c r="Y19" s="38">
        <v>114.96608304444136</v>
      </c>
      <c r="Z19" s="37">
        <v>257.80273167541304</v>
      </c>
      <c r="AA19" s="37">
        <v>148.06237967844706</v>
      </c>
      <c r="AB19" s="37">
        <v>109.74035199696675</v>
      </c>
    </row>
    <row r="20" spans="1:80" s="5" customFormat="1" ht="12" customHeight="1" x14ac:dyDescent="0.2">
      <c r="A20" s="36" t="s">
        <v>19</v>
      </c>
      <c r="B20" s="37">
        <v>515.15622639686387</v>
      </c>
      <c r="C20" s="37">
        <v>270.62004298063113</v>
      </c>
      <c r="D20" s="38">
        <v>244.53618341623297</v>
      </c>
      <c r="E20" s="37">
        <v>259.20835442120693</v>
      </c>
      <c r="F20" s="37">
        <v>128.78905659921617</v>
      </c>
      <c r="G20" s="38">
        <v>130.41929782199105</v>
      </c>
      <c r="H20" s="37">
        <v>255.94787197565716</v>
      </c>
      <c r="I20" s="37">
        <v>141.83098638141524</v>
      </c>
      <c r="J20" s="37">
        <v>114.11688559424219</v>
      </c>
      <c r="K20" s="126">
        <v>532.53335980037969</v>
      </c>
      <c r="L20" s="37">
        <v>279.74853711032591</v>
      </c>
      <c r="M20" s="37">
        <v>252.78482269005346</v>
      </c>
      <c r="N20" s="40">
        <v>267.9519120514567</v>
      </c>
      <c r="O20" s="37">
        <v>133.13333995009432</v>
      </c>
      <c r="P20" s="38">
        <v>134.81857210136135</v>
      </c>
      <c r="Q20" s="37">
        <v>264.58144774892264</v>
      </c>
      <c r="R20" s="37">
        <v>146.61519716023057</v>
      </c>
      <c r="S20" s="39">
        <v>117.96625058869112</v>
      </c>
      <c r="T20" s="37">
        <v>550.44367033399237</v>
      </c>
      <c r="U20" s="37">
        <v>289.15711796026096</v>
      </c>
      <c r="V20" s="37">
        <v>261.28655237372948</v>
      </c>
      <c r="W20" s="40">
        <v>276.96374551615344</v>
      </c>
      <c r="X20" s="37">
        <v>137.61091758349792</v>
      </c>
      <c r="Y20" s="38">
        <v>139.35282793265611</v>
      </c>
      <c r="Z20" s="37">
        <v>273.479924817837</v>
      </c>
      <c r="AA20" s="37">
        <v>151.54620037676344</v>
      </c>
      <c r="AB20" s="37">
        <v>121.93372444107418</v>
      </c>
    </row>
    <row r="21" spans="1:80" s="5" customFormat="1" ht="12" customHeight="1" x14ac:dyDescent="0.2">
      <c r="A21" s="36" t="s">
        <v>20</v>
      </c>
      <c r="B21" s="37">
        <v>236.38497730235855</v>
      </c>
      <c r="C21" s="37">
        <v>123.8983329308915</v>
      </c>
      <c r="D21" s="38">
        <v>112.48664437146731</v>
      </c>
      <c r="E21" s="37">
        <v>101.07495581204311</v>
      </c>
      <c r="F21" s="37">
        <v>50.537477906021635</v>
      </c>
      <c r="G21" s="38">
        <v>50.537477906021635</v>
      </c>
      <c r="H21" s="37">
        <v>135.31002149031571</v>
      </c>
      <c r="I21" s="37">
        <v>73.360855024870077</v>
      </c>
      <c r="J21" s="37">
        <v>61.949166465445877</v>
      </c>
      <c r="K21" s="126">
        <v>244.35866193371831</v>
      </c>
      <c r="L21" s="37">
        <v>128.07764349629323</v>
      </c>
      <c r="M21" s="37">
        <v>116.28101843742411</v>
      </c>
      <c r="N21" s="40">
        <v>104.484393378555</v>
      </c>
      <c r="O21" s="37">
        <v>52.242196689277506</v>
      </c>
      <c r="P21" s="38">
        <v>52.242196689277506</v>
      </c>
      <c r="Q21" s="37">
        <v>139.87426855516244</v>
      </c>
      <c r="R21" s="37">
        <v>75.835446807015728</v>
      </c>
      <c r="S21" s="39">
        <v>64.038821748146617</v>
      </c>
      <c r="T21" s="37">
        <v>252.57700062793842</v>
      </c>
      <c r="U21" s="37">
        <v>132.38518653602335</v>
      </c>
      <c r="V21" s="37">
        <v>120.19181409191597</v>
      </c>
      <c r="W21" s="40">
        <v>107.99844164780855</v>
      </c>
      <c r="X21" s="37">
        <v>53.999220823904245</v>
      </c>
      <c r="Y21" s="38">
        <v>53.999220823904245</v>
      </c>
      <c r="Z21" s="37">
        <v>144.57855898013068</v>
      </c>
      <c r="AA21" s="37">
        <v>78.385965712119088</v>
      </c>
      <c r="AB21" s="37">
        <v>66.192593268011663</v>
      </c>
    </row>
    <row r="22" spans="1:80" s="5" customFormat="1" ht="12" customHeight="1" x14ac:dyDescent="0.2">
      <c r="A22" s="36" t="s">
        <v>27</v>
      </c>
      <c r="B22" s="37">
        <v>231.4942536340339</v>
      </c>
      <c r="C22" s="37">
        <v>117.37736803979196</v>
      </c>
      <c r="D22" s="38">
        <v>114.11688559424219</v>
      </c>
      <c r="E22" s="37">
        <v>117.37736803979196</v>
      </c>
      <c r="F22" s="37">
        <v>60.318925242670986</v>
      </c>
      <c r="G22" s="38">
        <v>57.058442797121202</v>
      </c>
      <c r="H22" s="37">
        <v>114.11688559424219</v>
      </c>
      <c r="I22" s="37">
        <v>57.058442797121202</v>
      </c>
      <c r="J22" s="37">
        <v>57.058442797121202</v>
      </c>
      <c r="K22" s="126">
        <v>239.30296547991722</v>
      </c>
      <c r="L22" s="37">
        <v>121.33671489122516</v>
      </c>
      <c r="M22" s="37">
        <v>117.96625058869112</v>
      </c>
      <c r="N22" s="40">
        <v>121.33671489122516</v>
      </c>
      <c r="O22" s="37">
        <v>62.353589596879601</v>
      </c>
      <c r="P22" s="38">
        <v>58.98312529434557</v>
      </c>
      <c r="Q22" s="37">
        <v>117.96625058869112</v>
      </c>
      <c r="R22" s="37">
        <v>58.98312529434557</v>
      </c>
      <c r="S22" s="39">
        <v>58.98312529434557</v>
      </c>
      <c r="T22" s="37">
        <v>247.35126958046385</v>
      </c>
      <c r="U22" s="37">
        <v>125.41754513939058</v>
      </c>
      <c r="V22" s="37">
        <v>121.93372444107418</v>
      </c>
      <c r="W22" s="40">
        <v>125.41754513939058</v>
      </c>
      <c r="X22" s="37">
        <v>64.45068291885346</v>
      </c>
      <c r="Y22" s="38">
        <v>60.96686222053706</v>
      </c>
      <c r="Z22" s="37">
        <v>121.93372444107418</v>
      </c>
      <c r="AA22" s="37">
        <v>60.96686222053706</v>
      </c>
      <c r="AB22" s="37">
        <v>60.96686222053706</v>
      </c>
    </row>
    <row r="23" spans="1:80" s="5" customFormat="1" ht="12" customHeight="1" x14ac:dyDescent="0.2">
      <c r="A23" s="36" t="s">
        <v>41</v>
      </c>
      <c r="B23" s="37">
        <v>29.344342009948047</v>
      </c>
      <c r="C23" s="37">
        <v>14.672171004974022</v>
      </c>
      <c r="D23" s="38">
        <v>14.672171004974022</v>
      </c>
      <c r="E23" s="37">
        <v>9.7814473366493466</v>
      </c>
      <c r="F23" s="37">
        <v>1.630241222774891</v>
      </c>
      <c r="G23" s="38">
        <v>8.1512061138744549</v>
      </c>
      <c r="H23" s="37">
        <v>19.562894673298697</v>
      </c>
      <c r="I23" s="37">
        <v>13.04192978219913</v>
      </c>
      <c r="J23" s="37">
        <v>6.5209648910995641</v>
      </c>
      <c r="K23" s="126">
        <v>30.3341787228063</v>
      </c>
      <c r="L23" s="37">
        <v>15.167089361403157</v>
      </c>
      <c r="M23" s="37">
        <v>15.167089361403157</v>
      </c>
      <c r="N23" s="40">
        <v>10.111392907602104</v>
      </c>
      <c r="O23" s="37">
        <v>1.6852321512670174</v>
      </c>
      <c r="P23" s="38">
        <v>8.4261607563350864</v>
      </c>
      <c r="Q23" s="37">
        <v>20.222785815204205</v>
      </c>
      <c r="R23" s="37">
        <v>13.481857210136139</v>
      </c>
      <c r="S23" s="39">
        <v>6.7409286050680697</v>
      </c>
      <c r="T23" s="37">
        <v>31.354386284847603</v>
      </c>
      <c r="U23" s="37">
        <v>15.677193142423802</v>
      </c>
      <c r="V23" s="37">
        <v>15.677193142423802</v>
      </c>
      <c r="W23" s="40">
        <v>10.451462094949202</v>
      </c>
      <c r="X23" s="37">
        <v>1.7419103491582002</v>
      </c>
      <c r="Y23" s="38">
        <v>8.7095517457910017</v>
      </c>
      <c r="Z23" s="37">
        <v>20.902924189898403</v>
      </c>
      <c r="AA23" s="37">
        <v>13.935282793265602</v>
      </c>
      <c r="AB23" s="37">
        <v>6.9676413966328008</v>
      </c>
    </row>
    <row r="24" spans="1:80" s="5" customFormat="1" ht="12" customHeight="1" x14ac:dyDescent="0.2">
      <c r="A24" s="117" t="s">
        <v>32</v>
      </c>
      <c r="B24" s="37">
        <v>27.714100787173155</v>
      </c>
      <c r="C24" s="37">
        <v>9.7814473366493466</v>
      </c>
      <c r="D24" s="38">
        <v>17.932653450523805</v>
      </c>
      <c r="E24" s="37">
        <v>13.04192978219913</v>
      </c>
      <c r="F24" s="37">
        <v>3.2604824455497821</v>
      </c>
      <c r="G24" s="38">
        <v>9.7814473366493466</v>
      </c>
      <c r="H24" s="37">
        <v>14.672171004974022</v>
      </c>
      <c r="I24" s="37">
        <v>6.5209648910995641</v>
      </c>
      <c r="J24" s="37">
        <v>8.1512061138744549</v>
      </c>
      <c r="K24" s="126">
        <v>28.648946571539284</v>
      </c>
      <c r="L24" s="37">
        <v>10.111392907602104</v>
      </c>
      <c r="M24" s="37">
        <v>18.537553663937189</v>
      </c>
      <c r="N24" s="40">
        <v>13.481857210136139</v>
      </c>
      <c r="O24" s="37">
        <v>3.3704643025340348</v>
      </c>
      <c r="P24" s="38">
        <v>10.111392907602104</v>
      </c>
      <c r="Q24" s="37">
        <v>15.167089361403157</v>
      </c>
      <c r="R24" s="37">
        <v>6.7409286050680697</v>
      </c>
      <c r="S24" s="39">
        <v>8.4261607563350864</v>
      </c>
      <c r="T24" s="37">
        <v>29.612475935689403</v>
      </c>
      <c r="U24" s="37">
        <v>10.451462094949202</v>
      </c>
      <c r="V24" s="37">
        <v>19.161013840740203</v>
      </c>
      <c r="W24" s="40">
        <v>13.935282793265602</v>
      </c>
      <c r="X24" s="37">
        <v>3.4838206983164004</v>
      </c>
      <c r="Y24" s="38">
        <v>10.451462094949202</v>
      </c>
      <c r="Z24" s="37">
        <v>15.677193142423802</v>
      </c>
      <c r="AA24" s="37">
        <v>6.9676413966328008</v>
      </c>
      <c r="AB24" s="37">
        <v>8.7095517457910017</v>
      </c>
    </row>
    <row r="25" spans="1:80" s="5" customFormat="1" ht="12" customHeight="1" thickBot="1" x14ac:dyDescent="0.25">
      <c r="A25" s="41" t="s">
        <v>30</v>
      </c>
      <c r="B25" s="42">
        <v>4.8907236683246733</v>
      </c>
      <c r="C25" s="42">
        <v>4.8907236683246733</v>
      </c>
      <c r="D25" s="157">
        <v>0</v>
      </c>
      <c r="E25" s="42">
        <v>1.630241222774891</v>
      </c>
      <c r="F25" s="42">
        <v>1.630241222774891</v>
      </c>
      <c r="G25" s="157">
        <v>0</v>
      </c>
      <c r="H25" s="42">
        <v>3.2604824455497821</v>
      </c>
      <c r="I25" s="42">
        <v>3.2604824455497821</v>
      </c>
      <c r="J25" s="156">
        <v>0</v>
      </c>
      <c r="K25" s="123">
        <v>5.055696453801052</v>
      </c>
      <c r="L25" s="42">
        <v>5.055696453801052</v>
      </c>
      <c r="M25" s="156">
        <v>0</v>
      </c>
      <c r="N25" s="45">
        <v>1.6852321512670174</v>
      </c>
      <c r="O25" s="42">
        <v>1.6852321512670174</v>
      </c>
      <c r="P25" s="157">
        <v>0</v>
      </c>
      <c r="Q25" s="42">
        <v>3.3704643025340348</v>
      </c>
      <c r="R25" s="42">
        <v>3.3704643025340348</v>
      </c>
      <c r="S25" s="158">
        <v>0</v>
      </c>
      <c r="T25" s="42">
        <v>5.2257310474746008</v>
      </c>
      <c r="U25" s="42">
        <v>5.2257310474746008</v>
      </c>
      <c r="V25" s="156">
        <v>0</v>
      </c>
      <c r="W25" s="45">
        <v>1.7419103491582002</v>
      </c>
      <c r="X25" s="42">
        <v>1.7419103491582002</v>
      </c>
      <c r="Y25" s="157">
        <v>0</v>
      </c>
      <c r="Z25" s="42">
        <v>3.4838206983164004</v>
      </c>
      <c r="AA25" s="42">
        <v>3.4838206983164004</v>
      </c>
      <c r="AB25" s="156">
        <v>0</v>
      </c>
    </row>
    <row r="26" spans="1:80" s="5" customFormat="1" ht="12" customHeight="1" x14ac:dyDescent="0.2">
      <c r="A26" s="209" t="s">
        <v>97</v>
      </c>
      <c r="B26" s="201">
        <v>21356.245603331874</v>
      </c>
      <c r="C26" s="201">
        <v>10643.209776418327</v>
      </c>
      <c r="D26" s="202">
        <v>10713.035826908957</v>
      </c>
      <c r="E26" s="201">
        <v>12119.411625374811</v>
      </c>
      <c r="F26" s="201">
        <v>6056.9447907650692</v>
      </c>
      <c r="G26" s="202">
        <v>6062.4668346106055</v>
      </c>
      <c r="H26" s="201">
        <v>9236.8339779524067</v>
      </c>
      <c r="I26" s="201">
        <v>4586.2649856538856</v>
      </c>
      <c r="J26" s="201">
        <v>4650.5689922990032</v>
      </c>
      <c r="K26" s="205">
        <v>22076.62965350967</v>
      </c>
      <c r="L26" s="201">
        <v>11002.224123231346</v>
      </c>
      <c r="M26" s="202">
        <v>11074.405530276388</v>
      </c>
      <c r="N26" s="201">
        <v>12528.220879335417</v>
      </c>
      <c r="O26" s="201">
        <v>6261.2562835777726</v>
      </c>
      <c r="P26" s="202">
        <v>6266.9645957583125</v>
      </c>
      <c r="Q26" s="201">
        <v>9548.4087741724015</v>
      </c>
      <c r="R26" s="201">
        <v>4740.9678396542367</v>
      </c>
      <c r="S26" s="204">
        <v>4807.440934518806</v>
      </c>
      <c r="T26" s="201">
        <v>22819.117021398743</v>
      </c>
      <c r="U26" s="201">
        <v>11372.25399456673</v>
      </c>
      <c r="V26" s="202">
        <v>11446.863026832203</v>
      </c>
      <c r="W26" s="201">
        <v>12949.573499325486</v>
      </c>
      <c r="X26" s="201">
        <v>6471.8366017983735</v>
      </c>
      <c r="Y26" s="202">
        <v>6477.7368975268027</v>
      </c>
      <c r="Z26" s="201">
        <v>9869.5435220733689</v>
      </c>
      <c r="AA26" s="201">
        <v>4900.4173927676593</v>
      </c>
      <c r="AB26" s="201">
        <v>4969.1261293047392</v>
      </c>
    </row>
    <row r="27" spans="1:80" s="5" customFormat="1" ht="12" customHeight="1" x14ac:dyDescent="0.2">
      <c r="A27" s="180" t="s">
        <v>22</v>
      </c>
      <c r="B27" s="47">
        <v>1064.5473408452699</v>
      </c>
      <c r="C27" s="47">
        <v>541.20213199100681</v>
      </c>
      <c r="D27" s="48">
        <v>523.34520885424718</v>
      </c>
      <c r="E27" s="47">
        <v>704.66165916596037</v>
      </c>
      <c r="F27" s="47">
        <v>353.01763431900804</v>
      </c>
      <c r="G27" s="48">
        <v>351.64402484694966</v>
      </c>
      <c r="H27" s="47">
        <v>359.88568167929992</v>
      </c>
      <c r="I27" s="47">
        <v>188.18449767200144</v>
      </c>
      <c r="J27" s="47">
        <v>171.70118400730058</v>
      </c>
      <c r="K27" s="127">
        <v>1100.4564111589721</v>
      </c>
      <c r="L27" s="47">
        <v>559.45783999565117</v>
      </c>
      <c r="M27" s="48">
        <v>540.99857116330668</v>
      </c>
      <c r="N27" s="47">
        <v>728.43114699941998</v>
      </c>
      <c r="O27" s="47">
        <v>364.92554537787277</v>
      </c>
      <c r="P27" s="48">
        <v>363.50560162153863</v>
      </c>
      <c r="Q27" s="47">
        <v>372.02526415954344</v>
      </c>
      <c r="R27" s="47">
        <v>194.53229461777656</v>
      </c>
      <c r="S27" s="49">
        <v>177.49296954176694</v>
      </c>
      <c r="T27" s="47">
        <v>1137.4672682063808</v>
      </c>
      <c r="U27" s="47">
        <v>578.27368215911713</v>
      </c>
      <c r="V27" s="48">
        <v>559.19358604726824</v>
      </c>
      <c r="W27" s="47">
        <v>752.92994656758003</v>
      </c>
      <c r="X27" s="47">
        <v>377.19882313424807</v>
      </c>
      <c r="Y27" s="48">
        <v>375.73112343333662</v>
      </c>
      <c r="Z27" s="47">
        <v>384.53732163880534</v>
      </c>
      <c r="AA27" s="47">
        <v>201.07485902487264</v>
      </c>
      <c r="AB27" s="47">
        <v>183.46246261393486</v>
      </c>
    </row>
    <row r="28" spans="1:80" s="5" customFormat="1" ht="12" customHeight="1" thickBot="1" x14ac:dyDescent="0.25">
      <c r="A28" s="196" t="s">
        <v>21</v>
      </c>
      <c r="B28" s="52">
        <v>20620.01513720732</v>
      </c>
      <c r="C28" s="52">
        <v>10474.198239529811</v>
      </c>
      <c r="D28" s="53">
        <v>10145.81689768035</v>
      </c>
      <c r="E28" s="52">
        <v>11834.087143126009</v>
      </c>
      <c r="F28" s="52">
        <v>6017.7315605660478</v>
      </c>
      <c r="G28" s="53">
        <v>5816.3555825607345</v>
      </c>
      <c r="H28" s="52">
        <v>8785.9279940841043</v>
      </c>
      <c r="I28" s="52">
        <v>4456.4666789642406</v>
      </c>
      <c r="J28" s="52">
        <v>4329.4613151199128</v>
      </c>
      <c r="K28" s="128">
        <v>21315.56482769371</v>
      </c>
      <c r="L28" s="52">
        <v>10827.511527377352</v>
      </c>
      <c r="M28" s="53">
        <v>10488.053300318665</v>
      </c>
      <c r="N28" s="52">
        <v>12233.271896135175</v>
      </c>
      <c r="O28" s="52">
        <v>6220.7203215594272</v>
      </c>
      <c r="P28" s="53">
        <v>6012.5515745750281</v>
      </c>
      <c r="Q28" s="52">
        <v>9082.2929315609326</v>
      </c>
      <c r="R28" s="52">
        <v>4606.7912058173742</v>
      </c>
      <c r="S28" s="54">
        <v>4475.50172574308</v>
      </c>
      <c r="T28" s="52">
        <v>22032.455851026647</v>
      </c>
      <c r="U28" s="52">
        <v>11191.665415942231</v>
      </c>
      <c r="V28" s="53">
        <v>10840.790435082265</v>
      </c>
      <c r="W28" s="52">
        <v>12644.704709629492</v>
      </c>
      <c r="X28" s="52">
        <v>6429.9373229956755</v>
      </c>
      <c r="Y28" s="53">
        <v>6214.7673866335663</v>
      </c>
      <c r="Z28" s="52">
        <v>9387.7511413951361</v>
      </c>
      <c r="AA28" s="52">
        <v>4761.7280929464105</v>
      </c>
      <c r="AB28" s="52">
        <v>4626.023048448491</v>
      </c>
    </row>
    <row r="29" spans="1:80" customFormat="1" ht="15" x14ac:dyDescent="0.25">
      <c r="A29" s="60" t="s">
        <v>121</v>
      </c>
      <c r="B29" s="60"/>
      <c r="C29" s="5"/>
      <c r="D29" s="5"/>
      <c r="E29" s="5"/>
      <c r="F29" s="5"/>
      <c r="G29" s="5"/>
      <c r="H29" s="5"/>
      <c r="I29" s="5"/>
      <c r="J29" s="5"/>
      <c r="K29" s="56"/>
      <c r="L29" s="56"/>
      <c r="M29" s="56"/>
      <c r="N29" s="56"/>
      <c r="O29" s="56"/>
      <c r="P29" s="56"/>
      <c r="Q29" s="56"/>
      <c r="R29" s="56"/>
      <c r="S29" s="56"/>
      <c r="T29" s="56"/>
      <c r="U29" s="56"/>
      <c r="V29" s="56"/>
      <c r="W29" s="56"/>
      <c r="X29" s="56"/>
      <c r="Y29" s="56"/>
      <c r="Z29" s="56"/>
      <c r="AA29" s="56"/>
      <c r="AB29" s="56"/>
      <c r="AC29" s="234"/>
      <c r="AD29" s="234"/>
      <c r="AE29" s="234"/>
      <c r="AF29" s="234"/>
      <c r="AG29" s="234"/>
      <c r="AH29" s="234"/>
      <c r="AI29" s="234"/>
      <c r="AJ29" s="234"/>
      <c r="AK29" s="234"/>
      <c r="AL29" s="234"/>
      <c r="AM29" s="234"/>
      <c r="AN29" s="234"/>
      <c r="AO29" s="234"/>
      <c r="AP29" s="234"/>
      <c r="AQ29" s="234"/>
      <c r="AR29" s="234"/>
      <c r="AS29" s="234"/>
      <c r="AT29" s="234"/>
      <c r="AU29" s="234"/>
      <c r="AV29" s="234"/>
      <c r="AW29" s="234"/>
      <c r="AX29" s="234"/>
      <c r="AY29" s="234"/>
      <c r="AZ29" s="234"/>
      <c r="BA29" s="234"/>
      <c r="BB29" s="234"/>
      <c r="BC29" s="234"/>
      <c r="BD29" s="234"/>
      <c r="BE29" s="234"/>
      <c r="BF29" s="234"/>
      <c r="BG29" s="234"/>
      <c r="BH29" s="234"/>
      <c r="BI29" s="234"/>
      <c r="BJ29" s="234"/>
      <c r="BK29" s="234"/>
      <c r="BL29" s="234"/>
      <c r="BM29" s="234"/>
      <c r="BN29" s="234"/>
      <c r="BO29" s="234"/>
      <c r="BP29" s="234"/>
      <c r="BQ29" s="234"/>
      <c r="BR29" s="234"/>
      <c r="BS29" s="234"/>
      <c r="BT29" s="234"/>
      <c r="BU29" s="234"/>
      <c r="BV29" s="234"/>
      <c r="BW29" s="234"/>
      <c r="BX29" s="234"/>
      <c r="BY29" s="234"/>
      <c r="BZ29" s="234"/>
      <c r="CA29" s="234"/>
      <c r="CB29" s="234"/>
    </row>
    <row r="32" spans="1:80" ht="12" customHeight="1" x14ac:dyDescent="0.2"/>
  </sheetData>
  <mergeCells count="4">
    <mergeCell ref="K2:S2"/>
    <mergeCell ref="A2:A4"/>
    <mergeCell ref="B2:J2"/>
    <mergeCell ref="T2:AB2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B34"/>
  <sheetViews>
    <sheetView workbookViewId="0">
      <pane xSplit="1" topLeftCell="B1" activePane="topRight" state="frozen"/>
      <selection pane="topRight" activeCell="R22" sqref="R22"/>
    </sheetView>
  </sheetViews>
  <sheetFormatPr defaultColWidth="9.140625" defaultRowHeight="12" x14ac:dyDescent="0.2"/>
  <cols>
    <col min="1" max="1" width="15.5703125" style="1" customWidth="1"/>
    <col min="2" max="2" width="9.5703125" style="1" customWidth="1"/>
    <col min="3" max="7" width="8.7109375" style="1" customWidth="1"/>
    <col min="8" max="16384" width="9.140625" style="1"/>
  </cols>
  <sheetData>
    <row r="1" spans="1:28" s="5" customFormat="1" ht="30" customHeight="1" thickBot="1" x14ac:dyDescent="0.25">
      <c r="A1" s="61" t="s">
        <v>111</v>
      </c>
      <c r="B1" s="59"/>
      <c r="C1" s="59"/>
      <c r="D1" s="59"/>
      <c r="E1" s="59"/>
      <c r="F1" s="59"/>
      <c r="G1" s="59"/>
      <c r="H1" s="59"/>
      <c r="I1" s="59"/>
      <c r="J1" s="59"/>
    </row>
    <row r="2" spans="1:28" s="5" customFormat="1" ht="13.5" customHeight="1" x14ac:dyDescent="0.2">
      <c r="A2" s="246" t="s">
        <v>36</v>
      </c>
      <c r="B2" s="236" t="s">
        <v>47</v>
      </c>
      <c r="C2" s="236"/>
      <c r="D2" s="236"/>
      <c r="E2" s="236"/>
      <c r="F2" s="236"/>
      <c r="G2" s="236"/>
      <c r="H2" s="236"/>
      <c r="I2" s="236"/>
      <c r="J2" s="236"/>
      <c r="K2" s="235" t="s">
        <v>48</v>
      </c>
      <c r="L2" s="236"/>
      <c r="M2" s="236"/>
      <c r="N2" s="236"/>
      <c r="O2" s="236"/>
      <c r="P2" s="236"/>
      <c r="Q2" s="236"/>
      <c r="R2" s="236"/>
      <c r="S2" s="237"/>
      <c r="T2" s="236" t="s">
        <v>49</v>
      </c>
      <c r="U2" s="236"/>
      <c r="V2" s="236"/>
      <c r="W2" s="236"/>
      <c r="X2" s="236"/>
      <c r="Y2" s="236"/>
      <c r="Z2" s="236"/>
      <c r="AA2" s="236"/>
      <c r="AB2" s="236"/>
    </row>
    <row r="3" spans="1:28" s="5" customFormat="1" ht="17.25" customHeight="1" thickBot="1" x14ac:dyDescent="0.25">
      <c r="A3" s="250"/>
      <c r="B3" s="11"/>
      <c r="C3" s="11" t="s">
        <v>0</v>
      </c>
      <c r="D3" s="12"/>
      <c r="E3" s="13"/>
      <c r="F3" s="13" t="s">
        <v>1</v>
      </c>
      <c r="G3" s="14"/>
      <c r="H3" s="11"/>
      <c r="I3" s="11" t="s">
        <v>2</v>
      </c>
      <c r="J3" s="11"/>
      <c r="K3" s="88"/>
      <c r="L3" s="11" t="s">
        <v>0</v>
      </c>
      <c r="M3" s="12"/>
      <c r="N3" s="13"/>
      <c r="O3" s="13" t="s">
        <v>1</v>
      </c>
      <c r="P3" s="14"/>
      <c r="Q3" s="11"/>
      <c r="R3" s="11" t="s">
        <v>2</v>
      </c>
      <c r="S3" s="15"/>
      <c r="T3" s="11"/>
      <c r="U3" s="11" t="s">
        <v>0</v>
      </c>
      <c r="V3" s="12"/>
      <c r="W3" s="13"/>
      <c r="X3" s="13" t="s">
        <v>1</v>
      </c>
      <c r="Y3" s="14"/>
      <c r="Z3" s="11"/>
      <c r="AA3" s="11" t="s">
        <v>2</v>
      </c>
      <c r="AB3" s="11"/>
    </row>
    <row r="4" spans="1:28" s="5" customFormat="1" ht="12.75" customHeight="1" thickBot="1" x14ac:dyDescent="0.25">
      <c r="A4" s="251"/>
      <c r="B4" s="9" t="s">
        <v>0</v>
      </c>
      <c r="C4" s="10" t="s">
        <v>3</v>
      </c>
      <c r="D4" s="16" t="s">
        <v>4</v>
      </c>
      <c r="E4" s="17" t="s">
        <v>0</v>
      </c>
      <c r="F4" s="10" t="s">
        <v>3</v>
      </c>
      <c r="G4" s="16" t="s">
        <v>4</v>
      </c>
      <c r="H4" s="17" t="s">
        <v>0</v>
      </c>
      <c r="I4" s="10" t="s">
        <v>3</v>
      </c>
      <c r="J4" s="10" t="s">
        <v>4</v>
      </c>
      <c r="K4" s="124" t="s">
        <v>0</v>
      </c>
      <c r="L4" s="10" t="s">
        <v>3</v>
      </c>
      <c r="M4" s="10" t="s">
        <v>4</v>
      </c>
      <c r="N4" s="19" t="s">
        <v>0</v>
      </c>
      <c r="O4" s="20" t="s">
        <v>3</v>
      </c>
      <c r="P4" s="21" t="s">
        <v>4</v>
      </c>
      <c r="Q4" s="17" t="s">
        <v>0</v>
      </c>
      <c r="R4" s="10" t="s">
        <v>3</v>
      </c>
      <c r="S4" s="18" t="s">
        <v>4</v>
      </c>
      <c r="T4" s="9" t="s">
        <v>0</v>
      </c>
      <c r="U4" s="10" t="s">
        <v>3</v>
      </c>
      <c r="V4" s="16" t="s">
        <v>4</v>
      </c>
      <c r="W4" s="106" t="s">
        <v>0</v>
      </c>
      <c r="X4" s="20" t="s">
        <v>3</v>
      </c>
      <c r="Y4" s="21" t="s">
        <v>4</v>
      </c>
      <c r="Z4" s="17" t="s">
        <v>0</v>
      </c>
      <c r="AA4" s="10" t="s">
        <v>3</v>
      </c>
      <c r="AB4" s="10" t="s">
        <v>4</v>
      </c>
    </row>
    <row r="5" spans="1:28" s="5" customFormat="1" ht="16.5" customHeight="1" thickBot="1" x14ac:dyDescent="0.25">
      <c r="A5" s="22" t="s">
        <v>65</v>
      </c>
      <c r="B5" s="30">
        <v>20925.877658164642</v>
      </c>
      <c r="C5" s="23">
        <v>10669.292071625794</v>
      </c>
      <c r="D5" s="24">
        <v>10256.585586537578</v>
      </c>
      <c r="E5" s="27">
        <v>1410.3253983134809</v>
      </c>
      <c r="F5" s="28">
        <v>685.6563526293761</v>
      </c>
      <c r="G5" s="29">
        <v>724.66904568409041</v>
      </c>
      <c r="H5" s="23">
        <v>19515.552259850258</v>
      </c>
      <c r="I5" s="23">
        <v>9983.6357189965238</v>
      </c>
      <c r="J5" s="23">
        <v>9531.916540853661</v>
      </c>
      <c r="K5" s="133">
        <v>21631.74463408142</v>
      </c>
      <c r="L5" s="28">
        <v>11029.186220526239</v>
      </c>
      <c r="M5" s="29">
        <v>10602.558413554754</v>
      </c>
      <c r="N5" s="27">
        <v>1457.898175915853</v>
      </c>
      <c r="O5" s="28">
        <v>708.78475775793743</v>
      </c>
      <c r="P5" s="29">
        <v>749.11341815790468</v>
      </c>
      <c r="Q5" s="28">
        <v>20173.846458164968</v>
      </c>
      <c r="R5" s="28">
        <v>10320.401462768441</v>
      </c>
      <c r="S5" s="132">
        <v>9853.4449953969324</v>
      </c>
      <c r="T5" s="23">
        <v>22359.269504874421</v>
      </c>
      <c r="U5" s="23">
        <v>11400.122888639457</v>
      </c>
      <c r="V5" s="24">
        <v>10959.146616234431</v>
      </c>
      <c r="W5" s="23">
        <v>1506.9306141218176</v>
      </c>
      <c r="X5" s="23">
        <v>732.62280448179047</v>
      </c>
      <c r="Y5" s="29">
        <v>774.30780964002531</v>
      </c>
      <c r="Z5" s="23">
        <v>20852.33889075249</v>
      </c>
      <c r="AA5" s="23">
        <v>10667.500084157495</v>
      </c>
      <c r="AB5" s="23">
        <v>10184.838806594307</v>
      </c>
    </row>
    <row r="6" spans="1:28" s="5" customFormat="1" ht="12" customHeight="1" x14ac:dyDescent="0.2">
      <c r="A6" s="31" t="s">
        <v>5</v>
      </c>
      <c r="B6" s="32">
        <v>3702.7898728913783</v>
      </c>
      <c r="C6" s="32">
        <v>1851.3949364456789</v>
      </c>
      <c r="D6" s="33">
        <v>1851.3949364456789</v>
      </c>
      <c r="E6" s="32">
        <v>269.91032406789753</v>
      </c>
      <c r="F6" s="32">
        <v>123.42632909637577</v>
      </c>
      <c r="G6" s="33">
        <v>146.48399497152275</v>
      </c>
      <c r="H6" s="32">
        <v>3432.8795488234705</v>
      </c>
      <c r="I6" s="32">
        <v>1727.968607349299</v>
      </c>
      <c r="J6" s="32">
        <v>1704.9109414741511</v>
      </c>
      <c r="K6" s="125">
        <v>3827.6915440532434</v>
      </c>
      <c r="L6" s="32">
        <v>1913.8457720266115</v>
      </c>
      <c r="M6" s="32">
        <v>1913.8457720266115</v>
      </c>
      <c r="N6" s="35">
        <v>279.01487811962255</v>
      </c>
      <c r="O6" s="32">
        <v>127.58971813510392</v>
      </c>
      <c r="P6" s="33">
        <v>151.4251599845189</v>
      </c>
      <c r="Q6" s="32">
        <v>3548.6766659336099</v>
      </c>
      <c r="R6" s="32">
        <v>1786.2560538915027</v>
      </c>
      <c r="S6" s="34">
        <v>1762.4206120420868</v>
      </c>
      <c r="T6" s="32">
        <v>3956.4255339885954</v>
      </c>
      <c r="U6" s="32">
        <v>1978.2127669943002</v>
      </c>
      <c r="V6" s="33">
        <v>1978.2127669943002</v>
      </c>
      <c r="W6" s="32">
        <v>288.3987843456934</v>
      </c>
      <c r="X6" s="32">
        <v>131.88085113295551</v>
      </c>
      <c r="Y6" s="33">
        <v>156.51793321273843</v>
      </c>
      <c r="Z6" s="32">
        <v>3668.0267496429069</v>
      </c>
      <c r="AA6" s="32">
        <v>1846.3319158613472</v>
      </c>
      <c r="AB6" s="32">
        <v>1821.6948337815647</v>
      </c>
    </row>
    <row r="7" spans="1:28" s="5" customFormat="1" ht="12" customHeight="1" x14ac:dyDescent="0.2">
      <c r="A7" s="31" t="s">
        <v>6</v>
      </c>
      <c r="B7" s="32">
        <v>3022.7543986517426</v>
      </c>
      <c r="C7" s="32">
        <v>1542.5932516355792</v>
      </c>
      <c r="D7" s="33">
        <v>1480.1611470162611</v>
      </c>
      <c r="E7" s="32">
        <v>172.98895654934938</v>
      </c>
      <c r="F7" s="32">
        <v>78.040130774142625</v>
      </c>
      <c r="G7" s="33">
        <v>94.948825775206842</v>
      </c>
      <c r="H7" s="32">
        <v>2849.7654421024122</v>
      </c>
      <c r="I7" s="32">
        <v>1464.5531208614316</v>
      </c>
      <c r="J7" s="32">
        <v>1385.2123212410481</v>
      </c>
      <c r="K7" s="125">
        <v>3124.7172668847102</v>
      </c>
      <c r="L7" s="32">
        <v>1594.6276585736846</v>
      </c>
      <c r="M7" s="32">
        <v>1530.0896083110051</v>
      </c>
      <c r="N7" s="35">
        <v>178.82418093616789</v>
      </c>
      <c r="O7" s="32">
        <v>80.672562828346514</v>
      </c>
      <c r="P7" s="33">
        <v>98.151618107821648</v>
      </c>
      <c r="Q7" s="32">
        <v>2945.8930859485358</v>
      </c>
      <c r="R7" s="32">
        <v>1513.9550957453353</v>
      </c>
      <c r="S7" s="34">
        <v>1431.9379902031801</v>
      </c>
      <c r="T7" s="32">
        <v>3229.8086298006006</v>
      </c>
      <c r="U7" s="32">
        <v>1648.258620887914</v>
      </c>
      <c r="V7" s="33">
        <v>1581.5500089126865</v>
      </c>
      <c r="W7" s="32">
        <v>184.83844568135967</v>
      </c>
      <c r="X7" s="32">
        <v>83.385764969034454</v>
      </c>
      <c r="Y7" s="33">
        <v>101.45268071232525</v>
      </c>
      <c r="Z7" s="32">
        <v>3044.9701841192409</v>
      </c>
      <c r="AA7" s="32">
        <v>1564.8728559188796</v>
      </c>
      <c r="AB7" s="32">
        <v>1480.0973282003613</v>
      </c>
    </row>
    <row r="8" spans="1:28" s="5" customFormat="1" ht="12" customHeight="1" x14ac:dyDescent="0.2">
      <c r="A8" s="31" t="s">
        <v>7</v>
      </c>
      <c r="B8" s="32">
        <v>2680.6784920917885</v>
      </c>
      <c r="C8" s="32">
        <v>1382.6109835485765</v>
      </c>
      <c r="D8" s="33">
        <v>1298.0675085432499</v>
      </c>
      <c r="E8" s="32">
        <v>148.27624847087091</v>
      </c>
      <c r="F8" s="32">
        <v>76.739461927906916</v>
      </c>
      <c r="G8" s="33">
        <v>71.53678654296408</v>
      </c>
      <c r="H8" s="32">
        <v>2532.4022436209339</v>
      </c>
      <c r="I8" s="32">
        <v>1305.8715216206647</v>
      </c>
      <c r="J8" s="32">
        <v>1226.5307220002812</v>
      </c>
      <c r="K8" s="125">
        <v>2771.1025331537789</v>
      </c>
      <c r="L8" s="32">
        <v>1429.2489047755685</v>
      </c>
      <c r="M8" s="32">
        <v>1341.85362837819</v>
      </c>
      <c r="N8" s="35">
        <v>153.27786937385835</v>
      </c>
      <c r="O8" s="32">
        <v>79.328020114540735</v>
      </c>
      <c r="P8" s="33">
        <v>73.949849259317617</v>
      </c>
      <c r="Q8" s="32">
        <v>2617.8246637799152</v>
      </c>
      <c r="R8" s="32">
        <v>1349.920884661025</v>
      </c>
      <c r="S8" s="34">
        <v>1267.9037791188698</v>
      </c>
      <c r="T8" s="32">
        <v>2864.301026686333</v>
      </c>
      <c r="U8" s="32">
        <v>1477.3178027013935</v>
      </c>
      <c r="V8" s="33">
        <v>1386.9832239849395</v>
      </c>
      <c r="W8" s="32">
        <v>158.43295344116544</v>
      </c>
      <c r="X8" s="32">
        <v>81.996002219550547</v>
      </c>
      <c r="Y8" s="33">
        <v>76.436951221614919</v>
      </c>
      <c r="Z8" s="32">
        <v>2705.8680732451676</v>
      </c>
      <c r="AA8" s="32">
        <v>1395.321800481843</v>
      </c>
      <c r="AB8" s="32">
        <v>1310.5462727633246</v>
      </c>
    </row>
    <row r="9" spans="1:28" s="5" customFormat="1" ht="12" customHeight="1" x14ac:dyDescent="0.2">
      <c r="A9" s="31" t="s">
        <v>8</v>
      </c>
      <c r="B9" s="32">
        <v>2333.7624930272623</v>
      </c>
      <c r="C9" s="32">
        <v>1296.6873416231451</v>
      </c>
      <c r="D9" s="33">
        <v>1037.0751514041012</v>
      </c>
      <c r="E9" s="32">
        <v>100.27349146026353</v>
      </c>
      <c r="F9" s="32">
        <v>57.691597826452984</v>
      </c>
      <c r="G9" s="33">
        <v>42.58189363381053</v>
      </c>
      <c r="H9" s="32">
        <v>2233.4890015669966</v>
      </c>
      <c r="I9" s="32">
        <v>1238.9957437966909</v>
      </c>
      <c r="J9" s="32">
        <v>994.4932577702898</v>
      </c>
      <c r="K9" s="125">
        <v>2412.4844420117183</v>
      </c>
      <c r="L9" s="32">
        <v>1340.4269059794312</v>
      </c>
      <c r="M9" s="32">
        <v>1072.0575360322905</v>
      </c>
      <c r="N9" s="35">
        <v>103.65589421239191</v>
      </c>
      <c r="O9" s="32">
        <v>59.637637766033727</v>
      </c>
      <c r="P9" s="33">
        <v>44.018256446358244</v>
      </c>
      <c r="Q9" s="32">
        <v>2308.828547799314</v>
      </c>
      <c r="R9" s="32">
        <v>1280.7892682134</v>
      </c>
      <c r="S9" s="34">
        <v>1028.0392795859341</v>
      </c>
      <c r="T9" s="32">
        <v>2493.6217918485636</v>
      </c>
      <c r="U9" s="32">
        <v>1385.5085176604164</v>
      </c>
      <c r="V9" s="33">
        <v>1108.1132741881518</v>
      </c>
      <c r="W9" s="32">
        <v>107.14207816653784</v>
      </c>
      <c r="X9" s="32">
        <v>61.643387438281927</v>
      </c>
      <c r="Y9" s="33">
        <v>45.49869072825571</v>
      </c>
      <c r="Z9" s="32">
        <v>2386.4797136820275</v>
      </c>
      <c r="AA9" s="32">
        <v>1323.8651302221353</v>
      </c>
      <c r="AB9" s="32">
        <v>1062.6145834598967</v>
      </c>
    </row>
    <row r="10" spans="1:28" s="5" customFormat="1" ht="12" customHeight="1" x14ac:dyDescent="0.2">
      <c r="A10" s="31" t="s">
        <v>9</v>
      </c>
      <c r="B10" s="32">
        <v>1946.1889562080428</v>
      </c>
      <c r="C10" s="32">
        <v>998.27348286473102</v>
      </c>
      <c r="D10" s="33">
        <v>947.91547334336383</v>
      </c>
      <c r="E10" s="32">
        <v>127.37614173051305</v>
      </c>
      <c r="F10" s="32">
        <v>57.763599156860437</v>
      </c>
      <c r="G10" s="33">
        <v>69.612542573652348</v>
      </c>
      <c r="H10" s="32">
        <v>1818.8128144775355</v>
      </c>
      <c r="I10" s="32">
        <v>940.50988370786865</v>
      </c>
      <c r="J10" s="32">
        <v>878.30293076970918</v>
      </c>
      <c r="K10" s="125">
        <v>2011.8373622402296</v>
      </c>
      <c r="L10" s="32">
        <v>1031.9470183788953</v>
      </c>
      <c r="M10" s="32">
        <v>979.89034386126514</v>
      </c>
      <c r="N10" s="35">
        <v>131.67276495635829</v>
      </c>
      <c r="O10" s="32">
        <v>59.712067829046198</v>
      </c>
      <c r="P10" s="33">
        <v>71.960697127312088</v>
      </c>
      <c r="Q10" s="32">
        <v>1880.1645972838628</v>
      </c>
      <c r="R10" s="32">
        <v>972.23495054984903</v>
      </c>
      <c r="S10" s="34">
        <v>907.92964673395375</v>
      </c>
      <c r="T10" s="32">
        <v>2079.5000377096444</v>
      </c>
      <c r="U10" s="32">
        <v>1066.653748414232</v>
      </c>
      <c r="V10" s="33">
        <v>1012.8462892954133</v>
      </c>
      <c r="W10" s="32">
        <v>136.10122012407211</v>
      </c>
      <c r="X10" s="32">
        <v>61.72032075393971</v>
      </c>
      <c r="Y10" s="33">
        <v>74.380899370132468</v>
      </c>
      <c r="Z10" s="32">
        <v>1943.3988175855732</v>
      </c>
      <c r="AA10" s="32">
        <v>1004.9334276602929</v>
      </c>
      <c r="AB10" s="32">
        <v>938.46538992528144</v>
      </c>
    </row>
    <row r="11" spans="1:28" s="5" customFormat="1" ht="12" customHeight="1" x14ac:dyDescent="0.2">
      <c r="A11" s="36" t="s">
        <v>10</v>
      </c>
      <c r="B11" s="32">
        <v>1254.5068842528465</v>
      </c>
      <c r="C11" s="32">
        <v>565.78704815181277</v>
      </c>
      <c r="D11" s="33">
        <v>688.71983610103268</v>
      </c>
      <c r="E11" s="37">
        <v>91.829311480137235</v>
      </c>
      <c r="F11" s="37">
        <v>37.027948177474642</v>
      </c>
      <c r="G11" s="38">
        <v>54.801363302662466</v>
      </c>
      <c r="H11" s="37">
        <v>1162.6775727727133</v>
      </c>
      <c r="I11" s="37">
        <v>528.75909997433689</v>
      </c>
      <c r="J11" s="37">
        <v>633.91847279836838</v>
      </c>
      <c r="K11" s="125">
        <v>1296.8236269539123</v>
      </c>
      <c r="L11" s="32">
        <v>584.8720489921941</v>
      </c>
      <c r="M11" s="32">
        <v>711.95157796170145</v>
      </c>
      <c r="N11" s="40">
        <v>94.926877061560617</v>
      </c>
      <c r="O11" s="37">
        <v>38.276966557080904</v>
      </c>
      <c r="P11" s="38">
        <v>56.649910504479728</v>
      </c>
      <c r="Q11" s="37">
        <v>1201.8967498923455</v>
      </c>
      <c r="R11" s="37">
        <v>546.59508243511357</v>
      </c>
      <c r="S11" s="39">
        <v>655.30166745722227</v>
      </c>
      <c r="T11" s="32">
        <v>1340.4387609893981</v>
      </c>
      <c r="U11" s="32">
        <v>604.54262892320025</v>
      </c>
      <c r="V11" s="33">
        <v>735.89613206619902</v>
      </c>
      <c r="W11" s="37">
        <v>98.119484275493903</v>
      </c>
      <c r="X11" s="37">
        <v>39.56430817560237</v>
      </c>
      <c r="Y11" s="38">
        <v>58.555176099891519</v>
      </c>
      <c r="Z11" s="37">
        <v>1242.3192767139051</v>
      </c>
      <c r="AA11" s="37">
        <v>564.97832074759822</v>
      </c>
      <c r="AB11" s="37">
        <v>677.340955966308</v>
      </c>
    </row>
    <row r="12" spans="1:28" s="5" customFormat="1" ht="12" customHeight="1" x14ac:dyDescent="0.2">
      <c r="A12" s="36" t="s">
        <v>11</v>
      </c>
      <c r="B12" s="37">
        <v>1114.6136561869555</v>
      </c>
      <c r="C12" s="37">
        <v>546.81987165085854</v>
      </c>
      <c r="D12" s="38">
        <v>567.79378453609695</v>
      </c>
      <c r="E12" s="32">
        <v>64.41987529037516</v>
      </c>
      <c r="F12" s="32">
        <v>34.457142597177437</v>
      </c>
      <c r="G12" s="33">
        <v>29.962732693197776</v>
      </c>
      <c r="H12" s="32">
        <v>1050.1937808965804</v>
      </c>
      <c r="I12" s="32">
        <v>512.36272905368116</v>
      </c>
      <c r="J12" s="32">
        <v>537.83105184289923</v>
      </c>
      <c r="K12" s="126">
        <v>1152.2115521347716</v>
      </c>
      <c r="L12" s="37">
        <v>565.26507598009323</v>
      </c>
      <c r="M12" s="37">
        <v>586.94647615467272</v>
      </c>
      <c r="N12" s="35">
        <v>66.592871964778325</v>
      </c>
      <c r="O12" s="32">
        <v>35.619443143951202</v>
      </c>
      <c r="P12" s="33">
        <v>30.973428820827131</v>
      </c>
      <c r="Q12" s="32">
        <v>1085.6186801699967</v>
      </c>
      <c r="R12" s="32">
        <v>529.6456328361412</v>
      </c>
      <c r="S12" s="34">
        <v>555.97304733384487</v>
      </c>
      <c r="T12" s="37">
        <v>1190.9630525231862</v>
      </c>
      <c r="U12" s="37">
        <v>584.27622872441259</v>
      </c>
      <c r="V12" s="38">
        <v>606.68682379877362</v>
      </c>
      <c r="W12" s="32">
        <v>68.832542014108938</v>
      </c>
      <c r="X12" s="32">
        <v>36.817406193593186</v>
      </c>
      <c r="Y12" s="33">
        <v>32.015135820515823</v>
      </c>
      <c r="Z12" s="32">
        <v>1122.1305105090773</v>
      </c>
      <c r="AA12" s="32">
        <v>547.45882253081948</v>
      </c>
      <c r="AB12" s="32">
        <v>574.67168797825786</v>
      </c>
    </row>
    <row r="13" spans="1:28" s="5" customFormat="1" ht="12" customHeight="1" x14ac:dyDescent="0.2">
      <c r="A13" s="36" t="s">
        <v>12</v>
      </c>
      <c r="B13" s="37">
        <v>900.38011743059167</v>
      </c>
      <c r="C13" s="37">
        <v>429.96521414738737</v>
      </c>
      <c r="D13" s="38">
        <v>470.4149032832043</v>
      </c>
      <c r="E13" s="37">
        <v>65.918011925035046</v>
      </c>
      <c r="F13" s="37">
        <v>32.959005962517551</v>
      </c>
      <c r="G13" s="38">
        <v>32.959005962517551</v>
      </c>
      <c r="H13" s="37">
        <v>834.46210550555668</v>
      </c>
      <c r="I13" s="37">
        <v>397.00620818486988</v>
      </c>
      <c r="J13" s="37">
        <v>437.4558973206868</v>
      </c>
      <c r="K13" s="126">
        <v>930.75153606586184</v>
      </c>
      <c r="L13" s="37">
        <v>444.46870357886712</v>
      </c>
      <c r="M13" s="37">
        <v>486.28283248698318</v>
      </c>
      <c r="N13" s="40">
        <v>68.141543405819675</v>
      </c>
      <c r="O13" s="37">
        <v>34.070771702909845</v>
      </c>
      <c r="P13" s="38">
        <v>34.070771702909845</v>
      </c>
      <c r="Q13" s="37">
        <v>862.60999266004058</v>
      </c>
      <c r="R13" s="37">
        <v>410.39793187595774</v>
      </c>
      <c r="S13" s="39">
        <v>452.2120607840738</v>
      </c>
      <c r="T13" s="37">
        <v>962.05483140649847</v>
      </c>
      <c r="U13" s="37">
        <v>459.41719902440116</v>
      </c>
      <c r="V13" s="38">
        <v>502.63763238209742</v>
      </c>
      <c r="W13" s="37">
        <v>70.433298805134726</v>
      </c>
      <c r="X13" s="37">
        <v>35.216649402567398</v>
      </c>
      <c r="Y13" s="38">
        <v>35.216649402567398</v>
      </c>
      <c r="Z13" s="37">
        <v>891.62153260136381</v>
      </c>
      <c r="AA13" s="37">
        <v>424.20054962183383</v>
      </c>
      <c r="AB13" s="37">
        <v>467.42098297953009</v>
      </c>
    </row>
    <row r="14" spans="1:28" s="5" customFormat="1" ht="12" customHeight="1" x14ac:dyDescent="0.2">
      <c r="A14" s="36" t="s">
        <v>13</v>
      </c>
      <c r="B14" s="37">
        <v>797.00868963905953</v>
      </c>
      <c r="C14" s="37">
        <v>397.00620818486988</v>
      </c>
      <c r="D14" s="38">
        <v>400.00248145418965</v>
      </c>
      <c r="E14" s="37">
        <v>40.449689135816982</v>
      </c>
      <c r="F14" s="37">
        <v>22.472049519898327</v>
      </c>
      <c r="G14" s="38">
        <v>17.977639615918658</v>
      </c>
      <c r="H14" s="37">
        <v>756.5590005032426</v>
      </c>
      <c r="I14" s="37">
        <v>374.53415866497159</v>
      </c>
      <c r="J14" s="37">
        <v>382.02484183827102</v>
      </c>
      <c r="K14" s="126">
        <v>823.89320663400576</v>
      </c>
      <c r="L14" s="37">
        <v>410.39793187595774</v>
      </c>
      <c r="M14" s="37">
        <v>413.49527475804041</v>
      </c>
      <c r="N14" s="40">
        <v>41.814128908116629</v>
      </c>
      <c r="O14" s="37">
        <v>23.230071615620346</v>
      </c>
      <c r="P14" s="38">
        <v>18.584057292496276</v>
      </c>
      <c r="Q14" s="37">
        <v>782.07907772588817</v>
      </c>
      <c r="R14" s="37">
        <v>387.1678602603377</v>
      </c>
      <c r="S14" s="39">
        <v>394.91121746554438</v>
      </c>
      <c r="T14" s="37">
        <v>851.60261282571912</v>
      </c>
      <c r="U14" s="37">
        <v>424.20054962183383</v>
      </c>
      <c r="V14" s="38">
        <v>427.4020632038854</v>
      </c>
      <c r="W14" s="37">
        <v>43.220433357696336</v>
      </c>
      <c r="X14" s="37">
        <v>24.011351865386867</v>
      </c>
      <c r="Y14" s="38">
        <v>19.209081492309494</v>
      </c>
      <c r="Z14" s="37">
        <v>808.38217946802285</v>
      </c>
      <c r="AA14" s="37">
        <v>400.18919775644702</v>
      </c>
      <c r="AB14" s="37">
        <v>408.19298171157595</v>
      </c>
    </row>
    <row r="15" spans="1:28" s="5" customFormat="1" ht="12" customHeight="1" x14ac:dyDescent="0.2">
      <c r="A15" s="36" t="s">
        <v>14</v>
      </c>
      <c r="B15" s="37">
        <v>707.38410687232295</v>
      </c>
      <c r="C15" s="37">
        <v>352.96578638598078</v>
      </c>
      <c r="D15" s="38">
        <v>354.41832048633461</v>
      </c>
      <c r="E15" s="37">
        <v>47.933625311676415</v>
      </c>
      <c r="F15" s="37">
        <v>20.33547740495364</v>
      </c>
      <c r="G15" s="38">
        <v>27.59814790672279</v>
      </c>
      <c r="H15" s="37">
        <v>659.45048156064468</v>
      </c>
      <c r="I15" s="37">
        <v>332.63030898102716</v>
      </c>
      <c r="J15" s="37">
        <v>326.82017257961184</v>
      </c>
      <c r="K15" s="126">
        <v>731.24542769652487</v>
      </c>
      <c r="L15" s="37">
        <v>364.87194852208358</v>
      </c>
      <c r="M15" s="37">
        <v>366.37347917443782</v>
      </c>
      <c r="N15" s="40">
        <v>49.550511527690624</v>
      </c>
      <c r="O15" s="37">
        <v>21.02142913295965</v>
      </c>
      <c r="P15" s="38">
        <v>28.52908239473096</v>
      </c>
      <c r="Q15" s="37">
        <v>681.69491616883329</v>
      </c>
      <c r="R15" s="37">
        <v>343.85051938912432</v>
      </c>
      <c r="S15" s="39">
        <v>337.84439677970738</v>
      </c>
      <c r="T15" s="37">
        <v>755.8388779382866</v>
      </c>
      <c r="U15" s="37">
        <v>377.14342369405495</v>
      </c>
      <c r="V15" s="38">
        <v>378.69545424423626</v>
      </c>
      <c r="W15" s="37">
        <v>51.21700815598264</v>
      </c>
      <c r="X15" s="37">
        <v>21.728427702538077</v>
      </c>
      <c r="Y15" s="38">
        <v>29.488580453444541</v>
      </c>
      <c r="Z15" s="37">
        <v>704.62186978230511</v>
      </c>
      <c r="AA15" s="37">
        <v>355.41499599151655</v>
      </c>
      <c r="AB15" s="37">
        <v>349.20687379079129</v>
      </c>
    </row>
    <row r="16" spans="1:28" s="5" customFormat="1" ht="12" customHeight="1" x14ac:dyDescent="0.2">
      <c r="A16" s="36" t="s">
        <v>15</v>
      </c>
      <c r="B16" s="37">
        <v>604.25418574719697</v>
      </c>
      <c r="C16" s="37">
        <v>338.44044538244248</v>
      </c>
      <c r="D16" s="38">
        <v>265.81374036475097</v>
      </c>
      <c r="E16" s="37">
        <v>66.816568616276214</v>
      </c>
      <c r="F16" s="37">
        <v>36.313352508845774</v>
      </c>
      <c r="G16" s="38">
        <v>30.50321610743045</v>
      </c>
      <c r="H16" s="37">
        <v>537.43761713091817</v>
      </c>
      <c r="I16" s="37">
        <v>302.12709287359672</v>
      </c>
      <c r="J16" s="37">
        <v>235.31052425732051</v>
      </c>
      <c r="K16" s="126">
        <v>624.63675137937025</v>
      </c>
      <c r="L16" s="37">
        <v>349.85664199854125</v>
      </c>
      <c r="M16" s="37">
        <v>274.78010938082957</v>
      </c>
      <c r="N16" s="40">
        <v>69.070410008296022</v>
      </c>
      <c r="O16" s="37">
        <v>37.538266308856528</v>
      </c>
      <c r="P16" s="38">
        <v>31.532143699439484</v>
      </c>
      <c r="Q16" s="37">
        <v>555.56634137107289</v>
      </c>
      <c r="R16" s="37">
        <v>312.31837568968541</v>
      </c>
      <c r="S16" s="39">
        <v>243.24796568139041</v>
      </c>
      <c r="T16" s="37">
        <v>645.64470887541734</v>
      </c>
      <c r="U16" s="37">
        <v>361.6231181922418</v>
      </c>
      <c r="V16" s="38">
        <v>284.0215906831761</v>
      </c>
      <c r="W16" s="37">
        <v>71.39340530833941</v>
      </c>
      <c r="X16" s="37">
        <v>38.800763754532298</v>
      </c>
      <c r="Y16" s="38">
        <v>32.592641553807127</v>
      </c>
      <c r="Z16" s="37">
        <v>574.2513035670795</v>
      </c>
      <c r="AA16" s="37">
        <v>322.82235443770895</v>
      </c>
      <c r="AB16" s="37">
        <v>251.42894912936856</v>
      </c>
    </row>
    <row r="17" spans="1:80" s="5" customFormat="1" ht="12" customHeight="1" x14ac:dyDescent="0.2">
      <c r="A17" s="36" t="s">
        <v>16</v>
      </c>
      <c r="B17" s="37">
        <v>479.336253116764</v>
      </c>
      <c r="C17" s="37">
        <v>246.93079706015115</v>
      </c>
      <c r="D17" s="38">
        <v>232.40545605661285</v>
      </c>
      <c r="E17" s="37">
        <v>43.576023010614925</v>
      </c>
      <c r="F17" s="37">
        <v>20.33547740495364</v>
      </c>
      <c r="G17" s="38">
        <v>23.2405456056613</v>
      </c>
      <c r="H17" s="37">
        <v>435.76023010614909</v>
      </c>
      <c r="I17" s="37">
        <v>226.59531965519753</v>
      </c>
      <c r="J17" s="37">
        <v>209.16491045095157</v>
      </c>
      <c r="K17" s="126">
        <v>495.5051152769019</v>
      </c>
      <c r="L17" s="37">
        <v>255.26021090022451</v>
      </c>
      <c r="M17" s="37">
        <v>240.24490437668189</v>
      </c>
      <c r="N17" s="40">
        <v>45.045919570627838</v>
      </c>
      <c r="O17" s="37">
        <v>21.02142913295965</v>
      </c>
      <c r="P17" s="38">
        <v>24.024490437668174</v>
      </c>
      <c r="Q17" s="37">
        <v>450.4591957062749</v>
      </c>
      <c r="R17" s="37">
        <v>234.23878176726484</v>
      </c>
      <c r="S17" s="39">
        <v>216.2204139390137</v>
      </c>
      <c r="T17" s="37">
        <v>512.17008155982921</v>
      </c>
      <c r="U17" s="37">
        <v>263.84519353081902</v>
      </c>
      <c r="V17" s="38">
        <v>248.32488802900599</v>
      </c>
      <c r="W17" s="37">
        <v>46.560916505438762</v>
      </c>
      <c r="X17" s="37">
        <v>21.728427702538077</v>
      </c>
      <c r="Y17" s="38">
        <v>24.832488802900663</v>
      </c>
      <c r="Z17" s="37">
        <v>465.60916505438985</v>
      </c>
      <c r="AA17" s="37">
        <v>242.11676582828085</v>
      </c>
      <c r="AB17" s="37">
        <v>223.49239922610542</v>
      </c>
    </row>
    <row r="18" spans="1:80" s="5" customFormat="1" ht="12" customHeight="1" x14ac:dyDescent="0.2">
      <c r="A18" s="36" t="s">
        <v>17</v>
      </c>
      <c r="B18" s="37">
        <v>441.57036650756442</v>
      </c>
      <c r="C18" s="37">
        <v>219.33264915342838</v>
      </c>
      <c r="D18" s="38">
        <v>222.23771735413604</v>
      </c>
      <c r="E18" s="37">
        <v>45.028557110968755</v>
      </c>
      <c r="F18" s="37">
        <v>26.14561380636896</v>
      </c>
      <c r="G18" s="38">
        <v>18.882943304599809</v>
      </c>
      <c r="H18" s="37">
        <v>396.54180939659568</v>
      </c>
      <c r="I18" s="37">
        <v>193.18703534705944</v>
      </c>
      <c r="J18" s="37">
        <v>203.35477404953625</v>
      </c>
      <c r="K18" s="126">
        <v>456.46531831569183</v>
      </c>
      <c r="L18" s="37">
        <v>226.73112850549353</v>
      </c>
      <c r="M18" s="37">
        <v>229.73418981020205</v>
      </c>
      <c r="N18" s="40">
        <v>46.5474502229821</v>
      </c>
      <c r="O18" s="37">
        <v>27.027551742376698</v>
      </c>
      <c r="P18" s="38">
        <v>19.519898480605388</v>
      </c>
      <c r="Q18" s="37">
        <v>409.91786809271059</v>
      </c>
      <c r="R18" s="37">
        <v>199.70357676311681</v>
      </c>
      <c r="S18" s="39">
        <v>210.21429132959665</v>
      </c>
      <c r="T18" s="37">
        <v>471.8172872551151</v>
      </c>
      <c r="U18" s="37">
        <v>234.35661307737442</v>
      </c>
      <c r="V18" s="38">
        <v>237.46067417773699</v>
      </c>
      <c r="W18" s="37">
        <v>48.112947055620054</v>
      </c>
      <c r="X18" s="37">
        <v>27.936549903263248</v>
      </c>
      <c r="Y18" s="38">
        <v>20.176397152356785</v>
      </c>
      <c r="Z18" s="37">
        <v>423.70434019949437</v>
      </c>
      <c r="AA18" s="37">
        <v>206.42006317411128</v>
      </c>
      <c r="AB18" s="37">
        <v>217.28427702538028</v>
      </c>
    </row>
    <row r="19" spans="1:80" s="5" customFormat="1" ht="12" customHeight="1" x14ac:dyDescent="0.2">
      <c r="A19" s="36" t="s">
        <v>18</v>
      </c>
      <c r="B19" s="37">
        <v>296.70390254502928</v>
      </c>
      <c r="C19" s="37">
        <v>166.28460472303851</v>
      </c>
      <c r="D19" s="38">
        <v>130.41929782199105</v>
      </c>
      <c r="E19" s="37">
        <v>40.756030569372285</v>
      </c>
      <c r="F19" s="37">
        <v>26.083859564398264</v>
      </c>
      <c r="G19" s="38">
        <v>14.672171004974022</v>
      </c>
      <c r="H19" s="37">
        <v>255.94787197565716</v>
      </c>
      <c r="I19" s="37">
        <v>140.20074515864036</v>
      </c>
      <c r="J19" s="37">
        <v>115.74712681701708</v>
      </c>
      <c r="K19" s="126">
        <v>306.71225153059839</v>
      </c>
      <c r="L19" s="37">
        <v>171.89367942923602</v>
      </c>
      <c r="M19" s="37">
        <v>134.81857210136135</v>
      </c>
      <c r="N19" s="40">
        <v>42.130803781675411</v>
      </c>
      <c r="O19" s="37">
        <v>26.963714420272268</v>
      </c>
      <c r="P19" s="38">
        <v>15.167089361403157</v>
      </c>
      <c r="Q19" s="37">
        <v>264.58144774892264</v>
      </c>
      <c r="R19" s="37">
        <v>144.92996500896353</v>
      </c>
      <c r="S19" s="39">
        <v>119.65148273995814</v>
      </c>
      <c r="T19" s="37">
        <v>317.02768354679245</v>
      </c>
      <c r="U19" s="37">
        <v>177.67485561413628</v>
      </c>
      <c r="V19" s="38">
        <v>139.35282793265611</v>
      </c>
      <c r="W19" s="37">
        <v>43.547758728955024</v>
      </c>
      <c r="X19" s="37">
        <v>27.870565586531203</v>
      </c>
      <c r="Y19" s="38">
        <v>15.677193142423802</v>
      </c>
      <c r="Z19" s="37">
        <v>273.479924817837</v>
      </c>
      <c r="AA19" s="37">
        <v>149.80429002760525</v>
      </c>
      <c r="AB19" s="37">
        <v>123.67563479023238</v>
      </c>
    </row>
    <row r="20" spans="1:80" s="5" customFormat="1" ht="12" customHeight="1" x14ac:dyDescent="0.2">
      <c r="A20" s="36" t="s">
        <v>19</v>
      </c>
      <c r="B20" s="37">
        <v>270.62004298063113</v>
      </c>
      <c r="C20" s="37">
        <v>143.46122760419013</v>
      </c>
      <c r="D20" s="38">
        <v>127.15881537644127</v>
      </c>
      <c r="E20" s="37">
        <v>30.974583232722939</v>
      </c>
      <c r="F20" s="37">
        <v>14.672171004974022</v>
      </c>
      <c r="G20" s="38">
        <v>16.302412227748913</v>
      </c>
      <c r="H20" s="37">
        <v>239.64545974790832</v>
      </c>
      <c r="I20" s="37">
        <v>128.78905659921617</v>
      </c>
      <c r="J20" s="37">
        <v>110.85640314869242</v>
      </c>
      <c r="K20" s="126">
        <v>279.74853711032591</v>
      </c>
      <c r="L20" s="37">
        <v>148.3004293114976</v>
      </c>
      <c r="M20" s="37">
        <v>131.44810779882729</v>
      </c>
      <c r="N20" s="40">
        <v>32.019410874073316</v>
      </c>
      <c r="O20" s="37">
        <v>15.167089361403157</v>
      </c>
      <c r="P20" s="38">
        <v>16.852321512670173</v>
      </c>
      <c r="Q20" s="37">
        <v>247.72912623625237</v>
      </c>
      <c r="R20" s="37">
        <v>133.13333995009432</v>
      </c>
      <c r="S20" s="39">
        <v>114.59578628615709</v>
      </c>
      <c r="T20" s="37">
        <v>289.15711796026096</v>
      </c>
      <c r="U20" s="37">
        <v>153.28811072592163</v>
      </c>
      <c r="V20" s="38">
        <v>135.86900723433973</v>
      </c>
      <c r="W20" s="37">
        <v>33.096296634005803</v>
      </c>
      <c r="X20" s="37">
        <v>15.677193142423802</v>
      </c>
      <c r="Y20" s="38">
        <v>17.419103491582003</v>
      </c>
      <c r="Z20" s="37">
        <v>256.06082132625482</v>
      </c>
      <c r="AA20" s="37">
        <v>137.61091758349792</v>
      </c>
      <c r="AB20" s="37">
        <v>118.44990374275777</v>
      </c>
    </row>
    <row r="21" spans="1:80" s="5" customFormat="1" ht="12" customHeight="1" x14ac:dyDescent="0.2">
      <c r="A21" s="36" t="s">
        <v>20</v>
      </c>
      <c r="B21" s="37">
        <v>158.13339860916409</v>
      </c>
      <c r="C21" s="37">
        <v>81.5120611387445</v>
      </c>
      <c r="D21" s="38">
        <v>76.621337470419846</v>
      </c>
      <c r="E21" s="37">
        <v>26.083859564398264</v>
      </c>
      <c r="F21" s="37">
        <v>9.7814473366493466</v>
      </c>
      <c r="G21" s="38">
        <v>16.302412227748913</v>
      </c>
      <c r="H21" s="37">
        <v>132.04953904476594</v>
      </c>
      <c r="I21" s="37">
        <v>71.730613802095192</v>
      </c>
      <c r="J21" s="37">
        <v>60.318925242670986</v>
      </c>
      <c r="K21" s="126">
        <v>163.46751867290087</v>
      </c>
      <c r="L21" s="37">
        <v>84.261607563350807</v>
      </c>
      <c r="M21" s="37">
        <v>79.20591110954976</v>
      </c>
      <c r="N21" s="40">
        <v>26.963714420272268</v>
      </c>
      <c r="O21" s="37">
        <v>10.111392907602104</v>
      </c>
      <c r="P21" s="38">
        <v>16.852321512670173</v>
      </c>
      <c r="Q21" s="37">
        <v>136.50380425262838</v>
      </c>
      <c r="R21" s="37">
        <v>74.150214655748712</v>
      </c>
      <c r="S21" s="39">
        <v>62.353589596879601</v>
      </c>
      <c r="T21" s="37">
        <v>168.96530386834533</v>
      </c>
      <c r="U21" s="37">
        <v>87.095517457910105</v>
      </c>
      <c r="V21" s="38">
        <v>81.869786410435495</v>
      </c>
      <c r="W21" s="37">
        <v>27.870565586531203</v>
      </c>
      <c r="X21" s="37">
        <v>10.451462094949202</v>
      </c>
      <c r="Y21" s="38">
        <v>17.419103491582003</v>
      </c>
      <c r="Z21" s="37">
        <v>141.0947382818143</v>
      </c>
      <c r="AA21" s="37">
        <v>76.644055362960884</v>
      </c>
      <c r="AB21" s="37">
        <v>64.45068291885346</v>
      </c>
    </row>
    <row r="22" spans="1:80" s="5" customFormat="1" ht="12" customHeight="1" x14ac:dyDescent="0.2">
      <c r="A22" s="36" t="s">
        <v>27</v>
      </c>
      <c r="B22" s="37">
        <v>177.6962932824627</v>
      </c>
      <c r="C22" s="37">
        <v>94.553990920943576</v>
      </c>
      <c r="D22" s="38">
        <v>83.142302361519384</v>
      </c>
      <c r="E22" s="37">
        <v>24.453618341623372</v>
      </c>
      <c r="F22" s="37">
        <v>9.7814473366493466</v>
      </c>
      <c r="G22" s="38">
        <v>14.672171004974022</v>
      </c>
      <c r="H22" s="37">
        <v>153.24267494083944</v>
      </c>
      <c r="I22" s="37">
        <v>84.772543584294269</v>
      </c>
      <c r="J22" s="37">
        <v>68.470131356545423</v>
      </c>
      <c r="K22" s="126">
        <v>183.69030448810523</v>
      </c>
      <c r="L22" s="37">
        <v>97.743464773486934</v>
      </c>
      <c r="M22" s="37">
        <v>85.946839714617823</v>
      </c>
      <c r="N22" s="40">
        <v>25.278482269005252</v>
      </c>
      <c r="O22" s="37">
        <v>10.111392907602104</v>
      </c>
      <c r="P22" s="38">
        <v>15.167089361403157</v>
      </c>
      <c r="Q22" s="37">
        <v>158.41182221909978</v>
      </c>
      <c r="R22" s="37">
        <v>87.632071865884839</v>
      </c>
      <c r="S22" s="39">
        <v>70.779750353214681</v>
      </c>
      <c r="T22" s="37">
        <v>189.8682280582436</v>
      </c>
      <c r="U22" s="37">
        <v>101.03080025117573</v>
      </c>
      <c r="V22" s="38">
        <v>88.837427807068309</v>
      </c>
      <c r="W22" s="37">
        <v>26.128655237373003</v>
      </c>
      <c r="X22" s="37">
        <v>10.451462094949202</v>
      </c>
      <c r="Y22" s="38">
        <v>15.677193142423802</v>
      </c>
      <c r="Z22" s="37">
        <v>163.73957282087076</v>
      </c>
      <c r="AA22" s="37">
        <v>90.579338156226513</v>
      </c>
      <c r="AB22" s="37">
        <v>73.160234664644477</v>
      </c>
    </row>
    <row r="23" spans="1:80" s="5" customFormat="1" ht="12" customHeight="1" x14ac:dyDescent="0.2">
      <c r="A23" s="36" t="s">
        <v>41</v>
      </c>
      <c r="B23" s="37">
        <v>17.932653450523805</v>
      </c>
      <c r="C23" s="37">
        <v>8.1512061138744549</v>
      </c>
      <c r="D23" s="38">
        <v>9.7814473366493466</v>
      </c>
      <c r="E23" s="37">
        <v>1.630241222774891</v>
      </c>
      <c r="F23" s="37">
        <v>1.630241222774891</v>
      </c>
      <c r="G23" s="160">
        <v>0</v>
      </c>
      <c r="H23" s="37">
        <v>16.302412227748913</v>
      </c>
      <c r="I23" s="37">
        <v>6.5209648910995641</v>
      </c>
      <c r="J23" s="37">
        <v>9.7814473366493466</v>
      </c>
      <c r="K23" s="126">
        <v>18.537553663937189</v>
      </c>
      <c r="L23" s="37">
        <v>8.4261607563350864</v>
      </c>
      <c r="M23" s="37">
        <v>10.111392907602104</v>
      </c>
      <c r="N23" s="162">
        <v>1.6852321512670174</v>
      </c>
      <c r="O23" s="37">
        <v>1.6852321512670174</v>
      </c>
      <c r="P23" s="160">
        <v>0</v>
      </c>
      <c r="Q23" s="37">
        <v>16.852321512670173</v>
      </c>
      <c r="R23" s="37">
        <v>6.7409286050680697</v>
      </c>
      <c r="S23" s="39">
        <v>10.111392907602104</v>
      </c>
      <c r="T23" s="37">
        <v>19.161013840740203</v>
      </c>
      <c r="U23" s="37">
        <v>8.7095517457910017</v>
      </c>
      <c r="V23" s="38">
        <v>10.451462094949202</v>
      </c>
      <c r="W23" s="37">
        <v>1.7419103491582002</v>
      </c>
      <c r="X23" s="37">
        <v>1.7419103491582002</v>
      </c>
      <c r="Y23" s="160">
        <v>0</v>
      </c>
      <c r="Z23" s="37">
        <v>17.419103491582003</v>
      </c>
      <c r="AA23" s="37">
        <v>6.9676413966328008</v>
      </c>
      <c r="AB23" s="37">
        <v>10.451462094949202</v>
      </c>
    </row>
    <row r="24" spans="1:80" s="5" customFormat="1" ht="12" customHeight="1" x14ac:dyDescent="0.2">
      <c r="A24" s="117" t="s">
        <v>32</v>
      </c>
      <c r="B24" s="37">
        <v>13.04192978219913</v>
      </c>
      <c r="C24" s="37">
        <v>4.8907236683246733</v>
      </c>
      <c r="D24" s="38">
        <v>8.1512061138744549</v>
      </c>
      <c r="E24" s="37">
        <v>1.630241222774891</v>
      </c>
      <c r="F24" s="159">
        <v>0</v>
      </c>
      <c r="G24" s="38">
        <v>1.630241222774891</v>
      </c>
      <c r="H24" s="37">
        <v>11.411688559424238</v>
      </c>
      <c r="I24" s="37">
        <v>4.8907236683246733</v>
      </c>
      <c r="J24" s="37">
        <v>6.5209648910995641</v>
      </c>
      <c r="K24" s="126">
        <v>13.481857210136139</v>
      </c>
      <c r="L24" s="37">
        <v>5.055696453801052</v>
      </c>
      <c r="M24" s="37">
        <v>8.4261607563350864</v>
      </c>
      <c r="N24" s="162">
        <v>1.6852321512670174</v>
      </c>
      <c r="O24" s="159">
        <v>0</v>
      </c>
      <c r="P24" s="38">
        <v>1.6852321512670174</v>
      </c>
      <c r="Q24" s="37">
        <v>11.796625058869122</v>
      </c>
      <c r="R24" s="37">
        <v>5.055696453801052</v>
      </c>
      <c r="S24" s="39">
        <v>6.7409286050680697</v>
      </c>
      <c r="T24" s="37">
        <v>13.935282793265602</v>
      </c>
      <c r="U24" s="37">
        <v>5.2257310474746008</v>
      </c>
      <c r="V24" s="38">
        <v>8.7095517457910017</v>
      </c>
      <c r="W24" s="37">
        <v>1.7419103491582002</v>
      </c>
      <c r="X24" s="159">
        <v>0</v>
      </c>
      <c r="Y24" s="38">
        <v>1.7419103491582002</v>
      </c>
      <c r="Z24" s="37">
        <v>12.193372444107402</v>
      </c>
      <c r="AA24" s="37">
        <v>5.2257310474746008</v>
      </c>
      <c r="AB24" s="37">
        <v>6.9676413966328008</v>
      </c>
    </row>
    <row r="25" spans="1:80" s="5" customFormat="1" ht="12" customHeight="1" thickBot="1" x14ac:dyDescent="0.25">
      <c r="A25" s="41" t="s">
        <v>30</v>
      </c>
      <c r="B25" s="42">
        <v>6.5209648910995641</v>
      </c>
      <c r="C25" s="42">
        <v>1.630241222774891</v>
      </c>
      <c r="D25" s="43">
        <v>4.8907236683246733</v>
      </c>
      <c r="E25" s="156">
        <v>0</v>
      </c>
      <c r="F25" s="156">
        <v>0</v>
      </c>
      <c r="G25" s="157">
        <v>0</v>
      </c>
      <c r="H25" s="42">
        <v>6.5209648910995641</v>
      </c>
      <c r="I25" s="42">
        <v>1.630241222774891</v>
      </c>
      <c r="J25" s="42">
        <v>4.8907236683246733</v>
      </c>
      <c r="K25" s="123">
        <v>6.7409286050680697</v>
      </c>
      <c r="L25" s="42">
        <v>1.6852321512670174</v>
      </c>
      <c r="M25" s="42">
        <v>5.055696453801052</v>
      </c>
      <c r="N25" s="163">
        <v>0</v>
      </c>
      <c r="O25" s="156">
        <v>0</v>
      </c>
      <c r="P25" s="157">
        <v>0</v>
      </c>
      <c r="Q25" s="42">
        <v>6.7409286050680697</v>
      </c>
      <c r="R25" s="42">
        <v>1.6852321512670174</v>
      </c>
      <c r="S25" s="44">
        <v>5.055696453801052</v>
      </c>
      <c r="T25" s="42">
        <v>6.9676413966328008</v>
      </c>
      <c r="U25" s="42">
        <v>1.7419103491582002</v>
      </c>
      <c r="V25" s="43">
        <v>5.2257310474746008</v>
      </c>
      <c r="W25" s="156">
        <v>0</v>
      </c>
      <c r="X25" s="156">
        <v>0</v>
      </c>
      <c r="Y25" s="157">
        <v>0</v>
      </c>
      <c r="Z25" s="42">
        <v>6.9676413966328008</v>
      </c>
      <c r="AA25" s="42">
        <v>1.7419103491582002</v>
      </c>
      <c r="AB25" s="42">
        <v>5.2257310474746008</v>
      </c>
    </row>
    <row r="26" spans="1:80" s="5" customFormat="1" ht="12" customHeight="1" x14ac:dyDescent="0.2">
      <c r="A26" s="209" t="s">
        <v>97</v>
      </c>
      <c r="B26" s="201">
        <v>10858.127975599493</v>
      </c>
      <c r="C26" s="201">
        <v>5611.7537306411014</v>
      </c>
      <c r="D26" s="202">
        <v>5246.3742449592182</v>
      </c>
      <c r="E26" s="201">
        <v>662.60322163515912</v>
      </c>
      <c r="F26" s="201">
        <v>322.16142490429399</v>
      </c>
      <c r="G26" s="202">
        <v>340.44179673086165</v>
      </c>
      <c r="H26" s="201">
        <v>10195.524753964526</v>
      </c>
      <c r="I26" s="201">
        <v>5289.5923057368345</v>
      </c>
      <c r="J26" s="201">
        <v>4905.9324482283791</v>
      </c>
      <c r="K26" s="205">
        <v>11224.391894535796</v>
      </c>
      <c r="L26" s="201">
        <v>5801.0481392268712</v>
      </c>
      <c r="M26" s="202">
        <v>5423.3437553097056</v>
      </c>
      <c r="N26" s="201">
        <v>684.95400375902909</v>
      </c>
      <c r="O26" s="201">
        <v>333.02850128068269</v>
      </c>
      <c r="P26" s="202">
        <v>351.92550247833987</v>
      </c>
      <c r="Q26" s="201">
        <v>10539.437890776971</v>
      </c>
      <c r="R26" s="201">
        <v>5468.0196379462141</v>
      </c>
      <c r="S26" s="204">
        <v>5071.4182528314068</v>
      </c>
      <c r="T26" s="201">
        <v>11601.893774340586</v>
      </c>
      <c r="U26" s="201">
        <v>5996.1506087383777</v>
      </c>
      <c r="V26" s="202">
        <v>5605.7431656016488</v>
      </c>
      <c r="W26" s="201">
        <v>707.99056791561134</v>
      </c>
      <c r="X26" s="201">
        <v>344.2290087507069</v>
      </c>
      <c r="Y26" s="202">
        <v>363.76155916490688</v>
      </c>
      <c r="Z26" s="201">
        <v>10893.903206424851</v>
      </c>
      <c r="AA26" s="201">
        <v>5651.9215999875632</v>
      </c>
      <c r="AB26" s="201">
        <v>5241.9816064366278</v>
      </c>
    </row>
    <row r="27" spans="1:80" s="5" customFormat="1" ht="12" customHeight="1" x14ac:dyDescent="0.2">
      <c r="A27" s="231" t="s">
        <v>23</v>
      </c>
      <c r="B27" s="47">
        <v>440.92864053074413</v>
      </c>
      <c r="C27" s="47">
        <v>236.26082919404561</v>
      </c>
      <c r="D27" s="48">
        <v>204.6678113367023</v>
      </c>
      <c r="E27" s="47">
        <v>13.736094720584035</v>
      </c>
      <c r="F27" s="47">
        <v>5.4944378882336151</v>
      </c>
      <c r="G27" s="48">
        <v>8.2416568323504222</v>
      </c>
      <c r="H27" s="47">
        <v>427.19254581016037</v>
      </c>
      <c r="I27" s="47">
        <v>230.76639130581199</v>
      </c>
      <c r="J27" s="47">
        <v>196.42615450435187</v>
      </c>
      <c r="K27" s="127">
        <v>455.80194578325739</v>
      </c>
      <c r="L27" s="47">
        <v>244.23032608947128</v>
      </c>
      <c r="M27" s="48">
        <v>211.57161969378618</v>
      </c>
      <c r="N27" s="47">
        <v>14.19943756334137</v>
      </c>
      <c r="O27" s="47">
        <v>5.6797750253365491</v>
      </c>
      <c r="P27" s="48">
        <v>8.5196625380048232</v>
      </c>
      <c r="Q27" s="47">
        <v>441.60250821991605</v>
      </c>
      <c r="R27" s="47">
        <v>238.55055106413474</v>
      </c>
      <c r="S27" s="49">
        <v>203.05195715578137</v>
      </c>
      <c r="T27" s="47">
        <v>471.13160399258106</v>
      </c>
      <c r="U27" s="47">
        <v>252.44434855677449</v>
      </c>
      <c r="V27" s="48">
        <v>218.68725543581041</v>
      </c>
      <c r="W27" s="47">
        <v>14.67699700911475</v>
      </c>
      <c r="X27" s="47">
        <v>5.8707988036459007</v>
      </c>
      <c r="Y27" s="48">
        <v>8.806198205468851</v>
      </c>
      <c r="Z27" s="47">
        <v>456.45460698346653</v>
      </c>
      <c r="AA27" s="47">
        <v>246.57354975312856</v>
      </c>
      <c r="AB27" s="47">
        <v>209.88105723034153</v>
      </c>
    </row>
    <row r="28" spans="1:80" s="5" customFormat="1" ht="12" customHeight="1" thickBot="1" x14ac:dyDescent="0.25">
      <c r="A28" s="195" t="s">
        <v>21</v>
      </c>
      <c r="B28" s="52">
        <v>10067.749682563945</v>
      </c>
      <c r="C28" s="52">
        <v>5057.5383409853248</v>
      </c>
      <c r="D28" s="53">
        <v>5010.2113415789709</v>
      </c>
      <c r="E28" s="52">
        <v>747.72217667831057</v>
      </c>
      <c r="F28" s="52">
        <v>363.49492772507944</v>
      </c>
      <c r="G28" s="53">
        <v>384.2272489532254</v>
      </c>
      <c r="H28" s="52">
        <v>9320.0275058857915</v>
      </c>
      <c r="I28" s="52">
        <v>4694.0434132602313</v>
      </c>
      <c r="J28" s="52">
        <v>4625.9840926257293</v>
      </c>
      <c r="K28" s="128">
        <v>10407.352739545226</v>
      </c>
      <c r="L28" s="52">
        <v>5228.1380812995694</v>
      </c>
      <c r="M28" s="53">
        <v>5179.2146582451287</v>
      </c>
      <c r="N28" s="52">
        <v>772.94417215680755</v>
      </c>
      <c r="O28" s="52">
        <v>375.75625647724837</v>
      </c>
      <c r="P28" s="53">
        <v>397.18791567955719</v>
      </c>
      <c r="Q28" s="52">
        <v>9634.408567388371</v>
      </c>
      <c r="R28" s="52">
        <v>4852.3818248223297</v>
      </c>
      <c r="S28" s="54">
        <v>4782.026742565562</v>
      </c>
      <c r="T28" s="52">
        <v>10757.37573053332</v>
      </c>
      <c r="U28" s="52">
        <v>5403.9722799006731</v>
      </c>
      <c r="V28" s="52">
        <v>5353.403450632406</v>
      </c>
      <c r="W28" s="55">
        <v>798.94004620620535</v>
      </c>
      <c r="X28" s="52">
        <v>388.39379573108687</v>
      </c>
      <c r="Y28" s="53">
        <v>410.5462504751211</v>
      </c>
      <c r="Z28" s="52">
        <v>9958.4356843269379</v>
      </c>
      <c r="AA28" s="52">
        <v>5015.5784841695267</v>
      </c>
      <c r="AB28" s="52">
        <v>4942.8572001572365</v>
      </c>
    </row>
    <row r="29" spans="1:80" customFormat="1" ht="15" x14ac:dyDescent="0.25">
      <c r="A29" s="60" t="s">
        <v>121</v>
      </c>
      <c r="B29" s="60"/>
      <c r="C29" s="5"/>
      <c r="D29" s="5"/>
      <c r="E29" s="5"/>
      <c r="F29" s="5"/>
      <c r="G29" s="5"/>
      <c r="H29" s="5"/>
      <c r="I29" s="5"/>
      <c r="J29" s="5"/>
      <c r="K29" s="56"/>
      <c r="L29" s="56"/>
      <c r="M29" s="56"/>
      <c r="N29" s="56"/>
      <c r="O29" s="56"/>
      <c r="P29" s="56"/>
      <c r="Q29" s="56"/>
      <c r="R29" s="56"/>
      <c r="S29" s="56"/>
      <c r="T29" s="56"/>
      <c r="U29" s="56"/>
      <c r="V29" s="56"/>
      <c r="W29" s="56"/>
      <c r="X29" s="56"/>
      <c r="Y29" s="56"/>
      <c r="Z29" s="56"/>
      <c r="AA29" s="56"/>
      <c r="AB29" s="56"/>
      <c r="AC29" s="234"/>
      <c r="AD29" s="234"/>
      <c r="AE29" s="234"/>
      <c r="AF29" s="234"/>
      <c r="AG29" s="234"/>
      <c r="AH29" s="234"/>
      <c r="AI29" s="234"/>
      <c r="AJ29" s="234"/>
      <c r="AK29" s="234"/>
      <c r="AL29" s="234"/>
      <c r="AM29" s="234"/>
      <c r="AN29" s="234"/>
      <c r="AO29" s="234"/>
      <c r="AP29" s="234"/>
      <c r="AQ29" s="234"/>
      <c r="AR29" s="234"/>
      <c r="AS29" s="234"/>
      <c r="AT29" s="234"/>
      <c r="AU29" s="234"/>
      <c r="AV29" s="234"/>
      <c r="AW29" s="234"/>
      <c r="AX29" s="234"/>
      <c r="AY29" s="234"/>
      <c r="AZ29" s="234"/>
      <c r="BA29" s="234"/>
      <c r="BB29" s="234"/>
      <c r="BC29" s="234"/>
      <c r="BD29" s="234"/>
      <c r="BE29" s="234"/>
      <c r="BF29" s="234"/>
      <c r="BG29" s="234"/>
      <c r="BH29" s="234"/>
      <c r="BI29" s="234"/>
      <c r="BJ29" s="234"/>
      <c r="BK29" s="234"/>
      <c r="BL29" s="234"/>
      <c r="BM29" s="234"/>
      <c r="BN29" s="234"/>
      <c r="BO29" s="234"/>
      <c r="BP29" s="234"/>
      <c r="BQ29" s="234"/>
      <c r="BR29" s="234"/>
      <c r="BS29" s="234"/>
      <c r="BT29" s="234"/>
      <c r="BU29" s="234"/>
      <c r="BV29" s="234"/>
      <c r="BW29" s="234"/>
      <c r="BX29" s="234"/>
      <c r="BY29" s="234"/>
      <c r="BZ29" s="234"/>
      <c r="CA29" s="234"/>
      <c r="CB29" s="234"/>
    </row>
    <row r="30" spans="1:80" x14ac:dyDescent="0.2">
      <c r="B30" s="194"/>
    </row>
    <row r="34" s="1" customFormat="1" ht="12" customHeight="1" x14ac:dyDescent="0.2"/>
  </sheetData>
  <mergeCells count="4">
    <mergeCell ref="A2:A4"/>
    <mergeCell ref="B2:J2"/>
    <mergeCell ref="K2:S2"/>
    <mergeCell ref="T2:AB2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B34"/>
  <sheetViews>
    <sheetView workbookViewId="0">
      <pane xSplit="1" topLeftCell="B1" activePane="topRight" state="frozen"/>
      <selection pane="topRight" activeCell="O24" sqref="O24"/>
    </sheetView>
  </sheetViews>
  <sheetFormatPr defaultColWidth="9.140625" defaultRowHeight="12" x14ac:dyDescent="0.2"/>
  <cols>
    <col min="1" max="1" width="13.28515625" style="1" bestFit="1" customWidth="1"/>
    <col min="2" max="6" width="9.140625" style="1"/>
    <col min="7" max="7" width="8.42578125" style="1" customWidth="1"/>
    <col min="8" max="16384" width="9.140625" style="1"/>
  </cols>
  <sheetData>
    <row r="1" spans="1:28" s="5" customFormat="1" ht="30" customHeight="1" thickBot="1" x14ac:dyDescent="0.25">
      <c r="A1" s="61" t="s">
        <v>112</v>
      </c>
      <c r="B1" s="59"/>
      <c r="C1" s="59"/>
      <c r="D1" s="59"/>
      <c r="E1" s="59"/>
      <c r="F1" s="59"/>
      <c r="G1" s="59"/>
      <c r="H1" s="59"/>
      <c r="I1" s="59"/>
      <c r="J1" s="59"/>
    </row>
    <row r="2" spans="1:28" s="5" customFormat="1" ht="13.5" customHeight="1" x14ac:dyDescent="0.2">
      <c r="A2" s="246" t="s">
        <v>36</v>
      </c>
      <c r="B2" s="236" t="s">
        <v>50</v>
      </c>
      <c r="C2" s="236"/>
      <c r="D2" s="236"/>
      <c r="E2" s="236"/>
      <c r="F2" s="236"/>
      <c r="G2" s="236"/>
      <c r="H2" s="236"/>
      <c r="I2" s="236"/>
      <c r="J2" s="237"/>
      <c r="K2" s="235" t="s">
        <v>51</v>
      </c>
      <c r="L2" s="236"/>
      <c r="M2" s="236"/>
      <c r="N2" s="236"/>
      <c r="O2" s="236"/>
      <c r="P2" s="236"/>
      <c r="Q2" s="236"/>
      <c r="R2" s="236"/>
      <c r="S2" s="237"/>
      <c r="T2" s="235" t="s">
        <v>52</v>
      </c>
      <c r="U2" s="236"/>
      <c r="V2" s="236"/>
      <c r="W2" s="236"/>
      <c r="X2" s="236"/>
      <c r="Y2" s="236"/>
      <c r="Z2" s="236"/>
      <c r="AA2" s="236"/>
      <c r="AB2" s="236"/>
    </row>
    <row r="3" spans="1:28" s="5" customFormat="1" ht="17.25" customHeight="1" thickBot="1" x14ac:dyDescent="0.25">
      <c r="A3" s="250"/>
      <c r="B3" s="11"/>
      <c r="C3" s="11" t="s">
        <v>0</v>
      </c>
      <c r="D3" s="12"/>
      <c r="E3" s="13"/>
      <c r="F3" s="13" t="s">
        <v>1</v>
      </c>
      <c r="G3" s="14"/>
      <c r="H3" s="11"/>
      <c r="I3" s="11" t="s">
        <v>2</v>
      </c>
      <c r="J3" s="15"/>
      <c r="K3" s="11"/>
      <c r="L3" s="11" t="s">
        <v>0</v>
      </c>
      <c r="M3" s="12"/>
      <c r="N3" s="13"/>
      <c r="O3" s="13" t="s">
        <v>1</v>
      </c>
      <c r="P3" s="14"/>
      <c r="Q3" s="11"/>
      <c r="R3" s="11" t="s">
        <v>2</v>
      </c>
      <c r="S3" s="15"/>
      <c r="T3" s="11"/>
      <c r="U3" s="11" t="s">
        <v>0</v>
      </c>
      <c r="V3" s="12"/>
      <c r="W3" s="13"/>
      <c r="X3" s="13" t="s">
        <v>1</v>
      </c>
      <c r="Y3" s="14"/>
      <c r="Z3" s="11"/>
      <c r="AA3" s="11" t="s">
        <v>2</v>
      </c>
      <c r="AB3" s="11"/>
    </row>
    <row r="4" spans="1:28" s="5" customFormat="1" ht="12.75" customHeight="1" thickBot="1" x14ac:dyDescent="0.25">
      <c r="A4" s="251"/>
      <c r="B4" s="9" t="s">
        <v>0</v>
      </c>
      <c r="C4" s="10" t="s">
        <v>3</v>
      </c>
      <c r="D4" s="16" t="s">
        <v>4</v>
      </c>
      <c r="E4" s="17" t="s">
        <v>0</v>
      </c>
      <c r="F4" s="10" t="s">
        <v>3</v>
      </c>
      <c r="G4" s="16" t="s">
        <v>4</v>
      </c>
      <c r="H4" s="17" t="s">
        <v>0</v>
      </c>
      <c r="I4" s="10" t="s">
        <v>3</v>
      </c>
      <c r="J4" s="18" t="s">
        <v>4</v>
      </c>
      <c r="K4" s="9" t="s">
        <v>0</v>
      </c>
      <c r="L4" s="10" t="s">
        <v>3</v>
      </c>
      <c r="M4" s="10" t="s">
        <v>4</v>
      </c>
      <c r="N4" s="19" t="s">
        <v>0</v>
      </c>
      <c r="O4" s="20" t="s">
        <v>3</v>
      </c>
      <c r="P4" s="21" t="s">
        <v>4</v>
      </c>
      <c r="Q4" s="17" t="s">
        <v>0</v>
      </c>
      <c r="R4" s="10" t="s">
        <v>3</v>
      </c>
      <c r="S4" s="18" t="s">
        <v>4</v>
      </c>
      <c r="T4" s="9" t="s">
        <v>0</v>
      </c>
      <c r="U4" s="10" t="s">
        <v>3</v>
      </c>
      <c r="V4" s="10" t="s">
        <v>4</v>
      </c>
      <c r="W4" s="19" t="s">
        <v>0</v>
      </c>
      <c r="X4" s="20" t="s">
        <v>3</v>
      </c>
      <c r="Y4" s="21" t="s">
        <v>4</v>
      </c>
      <c r="Z4" s="17" t="s">
        <v>0</v>
      </c>
      <c r="AA4" s="10" t="s">
        <v>3</v>
      </c>
      <c r="AB4" s="10" t="s">
        <v>4</v>
      </c>
    </row>
    <row r="5" spans="1:28" s="5" customFormat="1" ht="16.5" customHeight="1" thickBot="1" x14ac:dyDescent="0.25">
      <c r="A5" s="22" t="s">
        <v>64</v>
      </c>
      <c r="B5" s="30">
        <v>4225.0465542929414</v>
      </c>
      <c r="C5" s="23">
        <v>2239.2188889426907</v>
      </c>
      <c r="D5" s="24">
        <v>1985.8276653503149</v>
      </c>
      <c r="E5" s="164">
        <v>0</v>
      </c>
      <c r="F5" s="165">
        <v>0</v>
      </c>
      <c r="G5" s="166">
        <v>0</v>
      </c>
      <c r="H5" s="23">
        <v>4225.0465542929414</v>
      </c>
      <c r="I5" s="23">
        <v>2239.2188889426907</v>
      </c>
      <c r="J5" s="25">
        <v>1985.8276653503149</v>
      </c>
      <c r="K5" s="133">
        <v>4367.5648698018294</v>
      </c>
      <c r="L5" s="28">
        <v>2314.7517144410185</v>
      </c>
      <c r="M5" s="29">
        <v>2052.81315536084</v>
      </c>
      <c r="N5" s="164">
        <v>0</v>
      </c>
      <c r="O5" s="165">
        <v>0</v>
      </c>
      <c r="P5" s="166">
        <v>0</v>
      </c>
      <c r="Q5" s="28">
        <v>4367.5648698018294</v>
      </c>
      <c r="R5" s="28">
        <v>2314.7517144410185</v>
      </c>
      <c r="S5" s="132">
        <v>2052.81315536084</v>
      </c>
      <c r="T5" s="23">
        <v>4514.456030053736</v>
      </c>
      <c r="U5" s="23">
        <v>2392.6020899168047</v>
      </c>
      <c r="V5" s="132">
        <v>2121.8539401367757</v>
      </c>
      <c r="W5" s="177">
        <v>0</v>
      </c>
      <c r="X5" s="177">
        <v>0</v>
      </c>
      <c r="Y5" s="178">
        <v>0</v>
      </c>
      <c r="Z5" s="23">
        <v>4514.456030053736</v>
      </c>
      <c r="AA5" s="23">
        <v>2392.6020899168047</v>
      </c>
      <c r="AB5" s="23">
        <v>2121.8539401367757</v>
      </c>
    </row>
    <row r="6" spans="1:28" s="5" customFormat="1" ht="12" customHeight="1" x14ac:dyDescent="0.2">
      <c r="A6" s="31" t="s">
        <v>5</v>
      </c>
      <c r="B6" s="32">
        <v>800.23663919628916</v>
      </c>
      <c r="C6" s="32">
        <v>427.24498533360605</v>
      </c>
      <c r="D6" s="33">
        <v>372.99165386267208</v>
      </c>
      <c r="E6" s="168">
        <v>0</v>
      </c>
      <c r="F6" s="168">
        <v>0</v>
      </c>
      <c r="G6" s="169">
        <v>0</v>
      </c>
      <c r="H6" s="32">
        <v>800.23663919628916</v>
      </c>
      <c r="I6" s="32">
        <v>427.24498533360605</v>
      </c>
      <c r="J6" s="34">
        <v>372.99165386267208</v>
      </c>
      <c r="K6" s="32">
        <v>827.23004065617943</v>
      </c>
      <c r="L6" s="32">
        <v>441.65671662151289</v>
      </c>
      <c r="M6" s="32">
        <v>385.57332403465415</v>
      </c>
      <c r="N6" s="167">
        <v>0</v>
      </c>
      <c r="O6" s="168">
        <v>0</v>
      </c>
      <c r="P6" s="169">
        <v>0</v>
      </c>
      <c r="Q6" s="32">
        <v>827.23004065617943</v>
      </c>
      <c r="R6" s="32">
        <v>441.65671662151289</v>
      </c>
      <c r="S6" s="34">
        <v>385.57332403465415</v>
      </c>
      <c r="T6" s="32">
        <v>855.05167218068937</v>
      </c>
      <c r="U6" s="32">
        <v>456.51063853714999</v>
      </c>
      <c r="V6" s="32">
        <v>398.54103364354427</v>
      </c>
      <c r="W6" s="167">
        <v>0</v>
      </c>
      <c r="X6" s="168">
        <v>0</v>
      </c>
      <c r="Y6" s="169">
        <v>0</v>
      </c>
      <c r="Z6" s="32">
        <v>855.05167218068937</v>
      </c>
      <c r="AA6" s="32">
        <v>456.51063853714999</v>
      </c>
      <c r="AB6" s="32">
        <v>398.54103364354427</v>
      </c>
    </row>
    <row r="7" spans="1:28" s="5" customFormat="1" ht="12" customHeight="1" x14ac:dyDescent="0.2">
      <c r="A7" s="31" t="s">
        <v>6</v>
      </c>
      <c r="B7" s="32">
        <v>617.8177019619651</v>
      </c>
      <c r="C7" s="32">
        <v>335.57256232881474</v>
      </c>
      <c r="D7" s="33">
        <v>282.24513963314951</v>
      </c>
      <c r="E7" s="168">
        <v>0</v>
      </c>
      <c r="F7" s="168">
        <v>0</v>
      </c>
      <c r="G7" s="169">
        <v>0</v>
      </c>
      <c r="H7" s="32">
        <v>617.8177019619651</v>
      </c>
      <c r="I7" s="32">
        <v>335.57256232881474</v>
      </c>
      <c r="J7" s="34">
        <v>282.24513963314951</v>
      </c>
      <c r="K7" s="32">
        <v>638.65778905774505</v>
      </c>
      <c r="L7" s="32">
        <v>346.89202016188858</v>
      </c>
      <c r="M7" s="32">
        <v>291.7657688958522</v>
      </c>
      <c r="N7" s="167">
        <v>0</v>
      </c>
      <c r="O7" s="168">
        <v>0</v>
      </c>
      <c r="P7" s="169">
        <v>0</v>
      </c>
      <c r="Q7" s="32">
        <v>638.65778905774505</v>
      </c>
      <c r="R7" s="32">
        <v>346.89202016188858</v>
      </c>
      <c r="S7" s="34">
        <v>291.7657688958522</v>
      </c>
      <c r="T7" s="32">
        <v>660.13730600485599</v>
      </c>
      <c r="U7" s="32">
        <v>358.55878936684809</v>
      </c>
      <c r="V7" s="32">
        <v>301.5785166380079</v>
      </c>
      <c r="W7" s="167">
        <v>0</v>
      </c>
      <c r="X7" s="168">
        <v>0</v>
      </c>
      <c r="Y7" s="169">
        <v>0</v>
      </c>
      <c r="Z7" s="32">
        <v>660.13730600485599</v>
      </c>
      <c r="AA7" s="32">
        <v>358.55878936684809</v>
      </c>
      <c r="AB7" s="32">
        <v>301.5785166380079</v>
      </c>
    </row>
    <row r="8" spans="1:28" s="5" customFormat="1" ht="12" customHeight="1" x14ac:dyDescent="0.2">
      <c r="A8" s="31" t="s">
        <v>7</v>
      </c>
      <c r="B8" s="32">
        <v>417.5146996416662</v>
      </c>
      <c r="C8" s="32">
        <v>218.5123661675992</v>
      </c>
      <c r="D8" s="33">
        <v>199.00233347406356</v>
      </c>
      <c r="E8" s="168">
        <v>0</v>
      </c>
      <c r="F8" s="168">
        <v>0</v>
      </c>
      <c r="G8" s="169">
        <v>0</v>
      </c>
      <c r="H8" s="32">
        <v>417.5146996416662</v>
      </c>
      <c r="I8" s="32">
        <v>218.5123661675992</v>
      </c>
      <c r="J8" s="34">
        <v>199.00233347406356</v>
      </c>
      <c r="K8" s="32">
        <v>431.59821113165179</v>
      </c>
      <c r="L8" s="32">
        <v>225.88317591936968</v>
      </c>
      <c r="M8" s="32">
        <v>205.7150352122832</v>
      </c>
      <c r="N8" s="167">
        <v>0</v>
      </c>
      <c r="O8" s="168">
        <v>0</v>
      </c>
      <c r="P8" s="169">
        <v>0</v>
      </c>
      <c r="Q8" s="32">
        <v>431.59821113165179</v>
      </c>
      <c r="R8" s="32">
        <v>225.88317591936968</v>
      </c>
      <c r="S8" s="34">
        <v>205.7150352122832</v>
      </c>
      <c r="T8" s="32">
        <v>446.11384258433424</v>
      </c>
      <c r="U8" s="32">
        <v>233.48014191329642</v>
      </c>
      <c r="V8" s="32">
        <v>212.63370067103781</v>
      </c>
      <c r="W8" s="167">
        <v>0</v>
      </c>
      <c r="X8" s="168">
        <v>0</v>
      </c>
      <c r="Y8" s="169">
        <v>0</v>
      </c>
      <c r="Z8" s="32">
        <v>446.11384258433424</v>
      </c>
      <c r="AA8" s="32">
        <v>233.48014191329642</v>
      </c>
      <c r="AB8" s="32">
        <v>212.63370067103781</v>
      </c>
    </row>
    <row r="9" spans="1:28" s="5" customFormat="1" ht="12" customHeight="1" x14ac:dyDescent="0.2">
      <c r="A9" s="31" t="s">
        <v>8</v>
      </c>
      <c r="B9" s="32">
        <v>392.85230900870096</v>
      </c>
      <c r="C9" s="32">
        <v>197.79976397641028</v>
      </c>
      <c r="D9" s="33">
        <v>195.05254503229347</v>
      </c>
      <c r="E9" s="168">
        <v>0</v>
      </c>
      <c r="F9" s="168">
        <v>0</v>
      </c>
      <c r="G9" s="169">
        <v>0</v>
      </c>
      <c r="H9" s="32">
        <v>392.85230900870096</v>
      </c>
      <c r="I9" s="32">
        <v>197.79976397641028</v>
      </c>
      <c r="J9" s="34">
        <v>195.05254503229347</v>
      </c>
      <c r="K9" s="32">
        <v>406.10391431156268</v>
      </c>
      <c r="L9" s="32">
        <v>204.4719009121155</v>
      </c>
      <c r="M9" s="32">
        <v>201.63201339944723</v>
      </c>
      <c r="N9" s="167">
        <v>0</v>
      </c>
      <c r="O9" s="168">
        <v>0</v>
      </c>
      <c r="P9" s="169">
        <v>0</v>
      </c>
      <c r="Q9" s="32">
        <v>406.10391431156268</v>
      </c>
      <c r="R9" s="32">
        <v>204.4719009121155</v>
      </c>
      <c r="S9" s="34">
        <v>201.63201339944723</v>
      </c>
      <c r="T9" s="32">
        <v>419.76211446068021</v>
      </c>
      <c r="U9" s="32">
        <v>211.34875693125301</v>
      </c>
      <c r="V9" s="32">
        <v>208.41335752943004</v>
      </c>
      <c r="W9" s="167">
        <v>0</v>
      </c>
      <c r="X9" s="168">
        <v>0</v>
      </c>
      <c r="Y9" s="169">
        <v>0</v>
      </c>
      <c r="Z9" s="32">
        <v>419.76211446068021</v>
      </c>
      <c r="AA9" s="32">
        <v>211.34875693125301</v>
      </c>
      <c r="AB9" s="32">
        <v>208.41335752943004</v>
      </c>
    </row>
    <row r="10" spans="1:28" s="5" customFormat="1" ht="12" customHeight="1" x14ac:dyDescent="0.2">
      <c r="A10" s="31" t="s">
        <v>9</v>
      </c>
      <c r="B10" s="32">
        <v>325.84594396177619</v>
      </c>
      <c r="C10" s="32">
        <v>170.32856161638344</v>
      </c>
      <c r="D10" s="33">
        <v>155.51738234539366</v>
      </c>
      <c r="E10" s="168">
        <v>0</v>
      </c>
      <c r="F10" s="168">
        <v>0</v>
      </c>
      <c r="G10" s="169">
        <v>0</v>
      </c>
      <c r="H10" s="32">
        <v>325.84594396177619</v>
      </c>
      <c r="I10" s="32">
        <v>170.32856161638344</v>
      </c>
      <c r="J10" s="34">
        <v>155.51738234539366</v>
      </c>
      <c r="K10" s="32">
        <v>336.83730570231222</v>
      </c>
      <c r="L10" s="32">
        <v>176.07404616257253</v>
      </c>
      <c r="M10" s="32">
        <v>160.76325953974003</v>
      </c>
      <c r="N10" s="167">
        <v>0</v>
      </c>
      <c r="O10" s="168">
        <v>0</v>
      </c>
      <c r="P10" s="169">
        <v>0</v>
      </c>
      <c r="Q10" s="32">
        <v>336.83730570231222</v>
      </c>
      <c r="R10" s="32">
        <v>176.07404616257253</v>
      </c>
      <c r="S10" s="34">
        <v>160.76325953974003</v>
      </c>
      <c r="T10" s="32">
        <v>348.16591194529906</v>
      </c>
      <c r="U10" s="32">
        <v>181.99581760777048</v>
      </c>
      <c r="V10" s="32">
        <v>166.17009433752966</v>
      </c>
      <c r="W10" s="167">
        <v>0</v>
      </c>
      <c r="X10" s="168">
        <v>0</v>
      </c>
      <c r="Y10" s="169">
        <v>0</v>
      </c>
      <c r="Z10" s="32">
        <v>348.16591194529906</v>
      </c>
      <c r="AA10" s="32">
        <v>181.99581760777048</v>
      </c>
      <c r="AB10" s="32">
        <v>166.17009433752966</v>
      </c>
    </row>
    <row r="11" spans="1:28" s="5" customFormat="1" ht="12" customHeight="1" x14ac:dyDescent="0.2">
      <c r="A11" s="36" t="s">
        <v>10</v>
      </c>
      <c r="B11" s="32">
        <v>245.86557589843133</v>
      </c>
      <c r="C11" s="32">
        <v>127.37614173051305</v>
      </c>
      <c r="D11" s="33">
        <v>118.4894341679191</v>
      </c>
      <c r="E11" s="159">
        <v>0</v>
      </c>
      <c r="F11" s="159">
        <v>0</v>
      </c>
      <c r="G11" s="160">
        <v>0</v>
      </c>
      <c r="H11" s="37">
        <v>245.86557589843133</v>
      </c>
      <c r="I11" s="37">
        <v>127.37614173051305</v>
      </c>
      <c r="J11" s="39">
        <v>118.4894341679191</v>
      </c>
      <c r="K11" s="32">
        <v>254.15905793901825</v>
      </c>
      <c r="L11" s="32">
        <v>131.67276495635829</v>
      </c>
      <c r="M11" s="32">
        <v>122.48629298265885</v>
      </c>
      <c r="N11" s="170">
        <v>0</v>
      </c>
      <c r="O11" s="159">
        <v>0</v>
      </c>
      <c r="P11" s="160">
        <v>0</v>
      </c>
      <c r="Q11" s="37">
        <v>254.15905793901825</v>
      </c>
      <c r="R11" s="37">
        <v>131.67276495635829</v>
      </c>
      <c r="S11" s="39">
        <v>122.48629298265885</v>
      </c>
      <c r="T11" s="32">
        <v>262.70700628599866</v>
      </c>
      <c r="U11" s="32">
        <v>136.10122012407211</v>
      </c>
      <c r="V11" s="32">
        <v>126.60578616192763</v>
      </c>
      <c r="W11" s="170">
        <v>0</v>
      </c>
      <c r="X11" s="159">
        <v>0</v>
      </c>
      <c r="Y11" s="160">
        <v>0</v>
      </c>
      <c r="Z11" s="37">
        <v>262.70700628599866</v>
      </c>
      <c r="AA11" s="37">
        <v>136.10122012407211</v>
      </c>
      <c r="AB11" s="37">
        <v>126.60578616192763</v>
      </c>
    </row>
    <row r="12" spans="1:28" s="5" customFormat="1" ht="12" customHeight="1" x14ac:dyDescent="0.2">
      <c r="A12" s="36" t="s">
        <v>11</v>
      </c>
      <c r="B12" s="37">
        <v>235.20745164160218</v>
      </c>
      <c r="C12" s="37">
        <v>121.34906740745083</v>
      </c>
      <c r="D12" s="38">
        <v>113.8583842341514</v>
      </c>
      <c r="E12" s="168">
        <v>0</v>
      </c>
      <c r="F12" s="168">
        <v>0</v>
      </c>
      <c r="G12" s="169">
        <v>0</v>
      </c>
      <c r="H12" s="32">
        <v>235.20745164160218</v>
      </c>
      <c r="I12" s="32">
        <v>121.34906740745083</v>
      </c>
      <c r="J12" s="34">
        <v>113.8583842341514</v>
      </c>
      <c r="K12" s="37">
        <v>243.14141624349327</v>
      </c>
      <c r="L12" s="37">
        <v>125.44238672434962</v>
      </c>
      <c r="M12" s="37">
        <v>117.69902951914287</v>
      </c>
      <c r="N12" s="167">
        <v>0</v>
      </c>
      <c r="O12" s="168">
        <v>0</v>
      </c>
      <c r="P12" s="169">
        <v>0</v>
      </c>
      <c r="Q12" s="32">
        <v>243.14141624349327</v>
      </c>
      <c r="R12" s="32">
        <v>125.44238672434962</v>
      </c>
      <c r="S12" s="34">
        <v>117.69902951914287</v>
      </c>
      <c r="T12" s="37">
        <v>251.31881619104874</v>
      </c>
      <c r="U12" s="37">
        <v>129.66130007308888</v>
      </c>
      <c r="V12" s="37">
        <v>121.65751611795993</v>
      </c>
      <c r="W12" s="167">
        <v>0</v>
      </c>
      <c r="X12" s="168">
        <v>0</v>
      </c>
      <c r="Y12" s="169">
        <v>0</v>
      </c>
      <c r="Z12" s="32">
        <v>251.31881619104874</v>
      </c>
      <c r="AA12" s="32">
        <v>129.66130007308888</v>
      </c>
      <c r="AB12" s="32">
        <v>121.65751611795993</v>
      </c>
    </row>
    <row r="13" spans="1:28" s="5" customFormat="1" ht="12" customHeight="1" x14ac:dyDescent="0.2">
      <c r="A13" s="36" t="s">
        <v>12</v>
      </c>
      <c r="B13" s="37">
        <v>188.76521596714571</v>
      </c>
      <c r="C13" s="37">
        <v>110.86211096483163</v>
      </c>
      <c r="D13" s="38">
        <v>77.903105002314135</v>
      </c>
      <c r="E13" s="159">
        <v>0</v>
      </c>
      <c r="F13" s="159">
        <v>0</v>
      </c>
      <c r="G13" s="160">
        <v>0</v>
      </c>
      <c r="H13" s="37">
        <v>188.76521596714571</v>
      </c>
      <c r="I13" s="37">
        <v>110.86211096483163</v>
      </c>
      <c r="J13" s="39">
        <v>77.903105002314135</v>
      </c>
      <c r="K13" s="37">
        <v>195.13260157121098</v>
      </c>
      <c r="L13" s="37">
        <v>114.60168663706017</v>
      </c>
      <c r="M13" s="37">
        <v>80.530914934150474</v>
      </c>
      <c r="N13" s="170">
        <v>0</v>
      </c>
      <c r="O13" s="159">
        <v>0</v>
      </c>
      <c r="P13" s="160">
        <v>0</v>
      </c>
      <c r="Q13" s="37">
        <v>195.13260157121098</v>
      </c>
      <c r="R13" s="37">
        <v>114.60168663706017</v>
      </c>
      <c r="S13" s="39">
        <v>80.530914934150474</v>
      </c>
      <c r="T13" s="37">
        <v>201.69535566924932</v>
      </c>
      <c r="U13" s="37">
        <v>118.45600253590835</v>
      </c>
      <c r="V13" s="37">
        <v>83.239353133341027</v>
      </c>
      <c r="W13" s="170">
        <v>0</v>
      </c>
      <c r="X13" s="159">
        <v>0</v>
      </c>
      <c r="Y13" s="160">
        <v>0</v>
      </c>
      <c r="Z13" s="37">
        <v>201.69535566924932</v>
      </c>
      <c r="AA13" s="37">
        <v>118.45600253590835</v>
      </c>
      <c r="AB13" s="37">
        <v>83.239353133341027</v>
      </c>
    </row>
    <row r="14" spans="1:28" s="5" customFormat="1" ht="12" customHeight="1" x14ac:dyDescent="0.2">
      <c r="A14" s="36" t="s">
        <v>13</v>
      </c>
      <c r="B14" s="37">
        <v>188.76521596714571</v>
      </c>
      <c r="C14" s="37">
        <v>95.880744618232768</v>
      </c>
      <c r="D14" s="38">
        <v>92.884471348912996</v>
      </c>
      <c r="E14" s="159">
        <v>0</v>
      </c>
      <c r="F14" s="159">
        <v>0</v>
      </c>
      <c r="G14" s="160">
        <v>0</v>
      </c>
      <c r="H14" s="37">
        <v>188.76521596714571</v>
      </c>
      <c r="I14" s="37">
        <v>95.880744618232768</v>
      </c>
      <c r="J14" s="39">
        <v>92.884471348912996</v>
      </c>
      <c r="K14" s="37">
        <v>195.13260157121098</v>
      </c>
      <c r="L14" s="37">
        <v>99.114972226646671</v>
      </c>
      <c r="M14" s="37">
        <v>96.017629344563971</v>
      </c>
      <c r="N14" s="170">
        <v>0</v>
      </c>
      <c r="O14" s="159">
        <v>0</v>
      </c>
      <c r="P14" s="160">
        <v>0</v>
      </c>
      <c r="Q14" s="37">
        <v>195.13260157121098</v>
      </c>
      <c r="R14" s="37">
        <v>99.114972226646671</v>
      </c>
      <c r="S14" s="39">
        <v>96.017629344563971</v>
      </c>
      <c r="T14" s="37">
        <v>201.69535566924932</v>
      </c>
      <c r="U14" s="37">
        <v>102.44843462565048</v>
      </c>
      <c r="V14" s="37">
        <v>99.246921043598903</v>
      </c>
      <c r="W14" s="170">
        <v>0</v>
      </c>
      <c r="X14" s="159">
        <v>0</v>
      </c>
      <c r="Y14" s="160">
        <v>0</v>
      </c>
      <c r="Z14" s="37">
        <v>201.69535566924932</v>
      </c>
      <c r="AA14" s="37">
        <v>102.44843462565048</v>
      </c>
      <c r="AB14" s="37">
        <v>99.246921043598903</v>
      </c>
    </row>
    <row r="15" spans="1:28" s="5" customFormat="1" ht="12" customHeight="1" x14ac:dyDescent="0.2">
      <c r="A15" s="36" t="s">
        <v>14</v>
      </c>
      <c r="B15" s="37">
        <v>158.32621693856751</v>
      </c>
      <c r="C15" s="37">
        <v>85.699511920876006</v>
      </c>
      <c r="D15" s="38">
        <v>72.626705017691535</v>
      </c>
      <c r="E15" s="159">
        <v>0</v>
      </c>
      <c r="F15" s="159">
        <v>0</v>
      </c>
      <c r="G15" s="160">
        <v>0</v>
      </c>
      <c r="H15" s="37">
        <v>158.32621693856751</v>
      </c>
      <c r="I15" s="37">
        <v>85.699511920876006</v>
      </c>
      <c r="J15" s="39">
        <v>72.626705017691535</v>
      </c>
      <c r="K15" s="37">
        <v>163.66684110661453</v>
      </c>
      <c r="L15" s="37">
        <v>88.590308488901428</v>
      </c>
      <c r="M15" s="37">
        <v>75.07653261771307</v>
      </c>
      <c r="N15" s="170">
        <v>0</v>
      </c>
      <c r="O15" s="159">
        <v>0</v>
      </c>
      <c r="P15" s="160">
        <v>0</v>
      </c>
      <c r="Q15" s="37">
        <v>163.66684110661453</v>
      </c>
      <c r="R15" s="37">
        <v>88.590308488901428</v>
      </c>
      <c r="S15" s="39">
        <v>75.07653261771307</v>
      </c>
      <c r="T15" s="37">
        <v>169.17132996976042</v>
      </c>
      <c r="U15" s="37">
        <v>91.569802460696124</v>
      </c>
      <c r="V15" s="37">
        <v>77.601527509064553</v>
      </c>
      <c r="W15" s="170">
        <v>0</v>
      </c>
      <c r="X15" s="159">
        <v>0</v>
      </c>
      <c r="Y15" s="160">
        <v>0</v>
      </c>
      <c r="Z15" s="37">
        <v>169.17132996976042</v>
      </c>
      <c r="AA15" s="37">
        <v>91.569802460696124</v>
      </c>
      <c r="AB15" s="37">
        <v>77.601527509064553</v>
      </c>
    </row>
    <row r="16" spans="1:28" s="5" customFormat="1" ht="12" customHeight="1" x14ac:dyDescent="0.2">
      <c r="A16" s="36" t="s">
        <v>15</v>
      </c>
      <c r="B16" s="37">
        <v>133.6331372325524</v>
      </c>
      <c r="C16" s="37">
        <v>65.364034515922384</v>
      </c>
      <c r="D16" s="38">
        <v>68.269102716630044</v>
      </c>
      <c r="E16" s="159">
        <v>0</v>
      </c>
      <c r="F16" s="159">
        <v>0</v>
      </c>
      <c r="G16" s="160">
        <v>0</v>
      </c>
      <c r="H16" s="37">
        <v>133.6331372325524</v>
      </c>
      <c r="I16" s="37">
        <v>65.364034515922384</v>
      </c>
      <c r="J16" s="39">
        <v>68.269102716630044</v>
      </c>
      <c r="K16" s="37">
        <v>138.14082001659207</v>
      </c>
      <c r="L16" s="37">
        <v>67.56887935594176</v>
      </c>
      <c r="M16" s="37">
        <v>70.571940660650284</v>
      </c>
      <c r="N16" s="170">
        <v>0</v>
      </c>
      <c r="O16" s="159">
        <v>0</v>
      </c>
      <c r="P16" s="160">
        <v>0</v>
      </c>
      <c r="Q16" s="37">
        <v>138.14082001659207</v>
      </c>
      <c r="R16" s="37">
        <v>67.56887935594176</v>
      </c>
      <c r="S16" s="39">
        <v>70.571940660650284</v>
      </c>
      <c r="T16" s="37">
        <v>142.78681061667857</v>
      </c>
      <c r="U16" s="37">
        <v>69.841374758158125</v>
      </c>
      <c r="V16" s="37">
        <v>72.945435858520696</v>
      </c>
      <c r="W16" s="170">
        <v>0</v>
      </c>
      <c r="X16" s="159">
        <v>0</v>
      </c>
      <c r="Y16" s="160">
        <v>0</v>
      </c>
      <c r="Z16" s="37">
        <v>142.78681061667857</v>
      </c>
      <c r="AA16" s="37">
        <v>69.841374758158125</v>
      </c>
      <c r="AB16" s="37">
        <v>72.945435858520696</v>
      </c>
    </row>
    <row r="17" spans="1:80" s="5" customFormat="1" ht="12" customHeight="1" x14ac:dyDescent="0.2">
      <c r="A17" s="36" t="s">
        <v>16</v>
      </c>
      <c r="B17" s="37">
        <v>95.867250623352817</v>
      </c>
      <c r="C17" s="37">
        <v>56.648829913799396</v>
      </c>
      <c r="D17" s="38">
        <v>39.218420709553435</v>
      </c>
      <c r="E17" s="159">
        <v>0</v>
      </c>
      <c r="F17" s="159">
        <v>0</v>
      </c>
      <c r="G17" s="160">
        <v>0</v>
      </c>
      <c r="H17" s="37">
        <v>95.867250623352817</v>
      </c>
      <c r="I17" s="37">
        <v>56.648829913799396</v>
      </c>
      <c r="J17" s="39">
        <v>39.218420709553435</v>
      </c>
      <c r="K17" s="37">
        <v>99.101023055381262</v>
      </c>
      <c r="L17" s="37">
        <v>58.559695441816196</v>
      </c>
      <c r="M17" s="37">
        <v>40.541327613565052</v>
      </c>
      <c r="N17" s="170">
        <v>0</v>
      </c>
      <c r="O17" s="159">
        <v>0</v>
      </c>
      <c r="P17" s="160">
        <v>0</v>
      </c>
      <c r="Q17" s="37">
        <v>99.101023055381262</v>
      </c>
      <c r="R17" s="37">
        <v>58.559695441816196</v>
      </c>
      <c r="S17" s="39">
        <v>40.541327613565052</v>
      </c>
      <c r="T17" s="37">
        <v>102.43401631196512</v>
      </c>
      <c r="U17" s="37">
        <v>60.529191457070397</v>
      </c>
      <c r="V17" s="37">
        <v>41.904824854894883</v>
      </c>
      <c r="W17" s="170">
        <v>0</v>
      </c>
      <c r="X17" s="159">
        <v>0</v>
      </c>
      <c r="Y17" s="160">
        <v>0</v>
      </c>
      <c r="Z17" s="37">
        <v>102.43401631196512</v>
      </c>
      <c r="AA17" s="37">
        <v>60.529191457070397</v>
      </c>
      <c r="AB17" s="37">
        <v>41.904824854894883</v>
      </c>
    </row>
    <row r="18" spans="1:80" s="5" customFormat="1" ht="12" customHeight="1" x14ac:dyDescent="0.2">
      <c r="A18" s="36" t="s">
        <v>17</v>
      </c>
      <c r="B18" s="37">
        <v>129.27553493149091</v>
      </c>
      <c r="C18" s="37">
        <v>66.816568616276214</v>
      </c>
      <c r="D18" s="38">
        <v>62.458966315214717</v>
      </c>
      <c r="E18" s="159">
        <v>0</v>
      </c>
      <c r="F18" s="159">
        <v>0</v>
      </c>
      <c r="G18" s="160">
        <v>0</v>
      </c>
      <c r="H18" s="37">
        <v>129.27553493149091</v>
      </c>
      <c r="I18" s="37">
        <v>66.816568616276214</v>
      </c>
      <c r="J18" s="39">
        <v>62.458966315214717</v>
      </c>
      <c r="K18" s="37">
        <v>133.63622805952929</v>
      </c>
      <c r="L18" s="37">
        <v>69.070410008296022</v>
      </c>
      <c r="M18" s="37">
        <v>64.565818051233236</v>
      </c>
      <c r="N18" s="170">
        <v>0</v>
      </c>
      <c r="O18" s="159">
        <v>0</v>
      </c>
      <c r="P18" s="160">
        <v>0</v>
      </c>
      <c r="Q18" s="37">
        <v>133.63622805952929</v>
      </c>
      <c r="R18" s="37">
        <v>69.070410008296022</v>
      </c>
      <c r="S18" s="39">
        <v>64.565818051233236</v>
      </c>
      <c r="T18" s="37">
        <v>138.13071896613471</v>
      </c>
      <c r="U18" s="37">
        <v>71.39340530833941</v>
      </c>
      <c r="V18" s="37">
        <v>66.737313657795553</v>
      </c>
      <c r="W18" s="170">
        <v>0</v>
      </c>
      <c r="X18" s="159">
        <v>0</v>
      </c>
      <c r="Y18" s="160">
        <v>0</v>
      </c>
      <c r="Z18" s="37">
        <v>138.13071896613471</v>
      </c>
      <c r="AA18" s="37">
        <v>71.39340530833941</v>
      </c>
      <c r="AB18" s="37">
        <v>66.737313657795553</v>
      </c>
    </row>
    <row r="19" spans="1:80" s="5" customFormat="1" ht="12" customHeight="1" x14ac:dyDescent="0.2">
      <c r="A19" s="36" t="s">
        <v>18</v>
      </c>
      <c r="B19" s="37">
        <v>68.470131356545423</v>
      </c>
      <c r="C19" s="37">
        <v>34.235065678272719</v>
      </c>
      <c r="D19" s="38">
        <v>34.235065678272719</v>
      </c>
      <c r="E19" s="159">
        <v>0</v>
      </c>
      <c r="F19" s="159">
        <v>0</v>
      </c>
      <c r="G19" s="160">
        <v>0</v>
      </c>
      <c r="H19" s="37">
        <v>68.470131356545423</v>
      </c>
      <c r="I19" s="37">
        <v>34.235065678272719</v>
      </c>
      <c r="J19" s="39">
        <v>34.235065678272719</v>
      </c>
      <c r="K19" s="37">
        <v>70.779750353214681</v>
      </c>
      <c r="L19" s="37">
        <v>35.389875176607347</v>
      </c>
      <c r="M19" s="37">
        <v>35.389875176607347</v>
      </c>
      <c r="N19" s="170">
        <v>0</v>
      </c>
      <c r="O19" s="159">
        <v>0</v>
      </c>
      <c r="P19" s="160">
        <v>0</v>
      </c>
      <c r="Q19" s="37">
        <v>70.779750353214681</v>
      </c>
      <c r="R19" s="37">
        <v>35.389875176607347</v>
      </c>
      <c r="S19" s="39">
        <v>35.389875176607347</v>
      </c>
      <c r="T19" s="37">
        <v>73.160234664644477</v>
      </c>
      <c r="U19" s="37">
        <v>36.58011733232221</v>
      </c>
      <c r="V19" s="37">
        <v>36.58011733232221</v>
      </c>
      <c r="W19" s="170">
        <v>0</v>
      </c>
      <c r="X19" s="159">
        <v>0</v>
      </c>
      <c r="Y19" s="160">
        <v>0</v>
      </c>
      <c r="Z19" s="37">
        <v>73.160234664644477</v>
      </c>
      <c r="AA19" s="37">
        <v>36.58011733232221</v>
      </c>
      <c r="AB19" s="37">
        <v>36.58011733232221</v>
      </c>
    </row>
    <row r="20" spans="1:80" s="5" customFormat="1" ht="12" customHeight="1" x14ac:dyDescent="0.2">
      <c r="A20" s="36" t="s">
        <v>19</v>
      </c>
      <c r="B20" s="37">
        <v>89.663267252618922</v>
      </c>
      <c r="C20" s="37">
        <v>47.276995460471852</v>
      </c>
      <c r="D20" s="38">
        <v>42.386271792147177</v>
      </c>
      <c r="E20" s="159">
        <v>0</v>
      </c>
      <c r="F20" s="159">
        <v>0</v>
      </c>
      <c r="G20" s="160">
        <v>0</v>
      </c>
      <c r="H20" s="37">
        <v>89.663267252618922</v>
      </c>
      <c r="I20" s="37">
        <v>47.276995460471852</v>
      </c>
      <c r="J20" s="39">
        <v>42.386271792147177</v>
      </c>
      <c r="K20" s="37">
        <v>92.687768319685887</v>
      </c>
      <c r="L20" s="37">
        <v>48.871732386743474</v>
      </c>
      <c r="M20" s="37">
        <v>43.816035932942427</v>
      </c>
      <c r="N20" s="170">
        <v>0</v>
      </c>
      <c r="O20" s="159">
        <v>0</v>
      </c>
      <c r="P20" s="160">
        <v>0</v>
      </c>
      <c r="Q20" s="37">
        <v>92.687768319685887</v>
      </c>
      <c r="R20" s="37">
        <v>48.871732386743474</v>
      </c>
      <c r="S20" s="39">
        <v>43.816035932942427</v>
      </c>
      <c r="T20" s="37">
        <v>95.805069203701123</v>
      </c>
      <c r="U20" s="37">
        <v>50.515400125587838</v>
      </c>
      <c r="V20" s="37">
        <v>45.289669078113228</v>
      </c>
      <c r="W20" s="170">
        <v>0</v>
      </c>
      <c r="X20" s="159">
        <v>0</v>
      </c>
      <c r="Y20" s="160">
        <v>0</v>
      </c>
      <c r="Z20" s="37">
        <v>95.805069203701123</v>
      </c>
      <c r="AA20" s="37">
        <v>50.515400125587838</v>
      </c>
      <c r="AB20" s="37">
        <v>45.289669078113228</v>
      </c>
    </row>
    <row r="21" spans="1:80" s="5" customFormat="1" ht="12" customHeight="1" x14ac:dyDescent="0.2">
      <c r="A21" s="36" t="s">
        <v>20</v>
      </c>
      <c r="B21" s="37">
        <v>44.016513014922069</v>
      </c>
      <c r="C21" s="37">
        <v>22.82337711884848</v>
      </c>
      <c r="D21" s="38">
        <v>21.193135896073588</v>
      </c>
      <c r="E21" s="159">
        <v>0</v>
      </c>
      <c r="F21" s="159">
        <v>0</v>
      </c>
      <c r="G21" s="160">
        <v>0</v>
      </c>
      <c r="H21" s="37">
        <v>44.016513014922069</v>
      </c>
      <c r="I21" s="37">
        <v>22.82337711884848</v>
      </c>
      <c r="J21" s="39">
        <v>21.193135896073588</v>
      </c>
      <c r="K21" s="37">
        <v>45.501268084209443</v>
      </c>
      <c r="L21" s="37">
        <v>23.593250117738236</v>
      </c>
      <c r="M21" s="37">
        <v>21.90801796647122</v>
      </c>
      <c r="N21" s="170">
        <v>0</v>
      </c>
      <c r="O21" s="159">
        <v>0</v>
      </c>
      <c r="P21" s="160">
        <v>0</v>
      </c>
      <c r="Q21" s="37">
        <v>45.501268084209443</v>
      </c>
      <c r="R21" s="37">
        <v>23.593250117738236</v>
      </c>
      <c r="S21" s="39">
        <v>21.90801796647122</v>
      </c>
      <c r="T21" s="37">
        <v>47.031579427271431</v>
      </c>
      <c r="U21" s="37">
        <v>24.386744888214803</v>
      </c>
      <c r="V21" s="37">
        <v>22.644834539056603</v>
      </c>
      <c r="W21" s="170">
        <v>0</v>
      </c>
      <c r="X21" s="159">
        <v>0</v>
      </c>
      <c r="Y21" s="160">
        <v>0</v>
      </c>
      <c r="Z21" s="37">
        <v>47.031579427271431</v>
      </c>
      <c r="AA21" s="37">
        <v>24.386744888214803</v>
      </c>
      <c r="AB21" s="37">
        <v>22.644834539056603</v>
      </c>
    </row>
    <row r="22" spans="1:80" s="5" customFormat="1" ht="12" customHeight="1" x14ac:dyDescent="0.2">
      <c r="A22" s="36" t="s">
        <v>53</v>
      </c>
      <c r="B22" s="37">
        <v>60.318925242670986</v>
      </c>
      <c r="C22" s="37">
        <v>40.756030569372285</v>
      </c>
      <c r="D22" s="38">
        <v>19.562894673298697</v>
      </c>
      <c r="E22" s="159">
        <v>0</v>
      </c>
      <c r="F22" s="159">
        <v>0</v>
      </c>
      <c r="G22" s="160">
        <v>0</v>
      </c>
      <c r="H22" s="37">
        <v>60.318925242670986</v>
      </c>
      <c r="I22" s="37">
        <v>40.756030569372285</v>
      </c>
      <c r="J22" s="39">
        <v>19.562894673298697</v>
      </c>
      <c r="K22" s="37">
        <v>62.353589596879601</v>
      </c>
      <c r="L22" s="37">
        <v>42.130803781675411</v>
      </c>
      <c r="M22" s="37">
        <v>20.222785815204205</v>
      </c>
      <c r="N22" s="170">
        <v>0</v>
      </c>
      <c r="O22" s="159">
        <v>0</v>
      </c>
      <c r="P22" s="160">
        <v>0</v>
      </c>
      <c r="Q22" s="37">
        <v>62.353589596879601</v>
      </c>
      <c r="R22" s="37">
        <v>42.130803781675411</v>
      </c>
      <c r="S22" s="39">
        <v>20.222785815204205</v>
      </c>
      <c r="T22" s="37">
        <v>64.45068291885346</v>
      </c>
      <c r="U22" s="37">
        <v>43.547758728955024</v>
      </c>
      <c r="V22" s="37">
        <v>20.902924189898403</v>
      </c>
      <c r="W22" s="170">
        <v>0</v>
      </c>
      <c r="X22" s="159">
        <v>0</v>
      </c>
      <c r="Y22" s="160">
        <v>0</v>
      </c>
      <c r="Z22" s="37">
        <v>64.45068291885346</v>
      </c>
      <c r="AA22" s="37">
        <v>43.547758728955024</v>
      </c>
      <c r="AB22" s="37">
        <v>20.902924189898403</v>
      </c>
    </row>
    <row r="23" spans="1:80" s="5" customFormat="1" ht="12" customHeight="1" x14ac:dyDescent="0.2">
      <c r="A23" s="36" t="s">
        <v>28</v>
      </c>
      <c r="B23" s="37">
        <v>14.672171004974022</v>
      </c>
      <c r="C23" s="37">
        <v>4.8907236683246733</v>
      </c>
      <c r="D23" s="38">
        <v>9.7814473366493466</v>
      </c>
      <c r="E23" s="159">
        <v>0</v>
      </c>
      <c r="F23" s="159">
        <v>0</v>
      </c>
      <c r="G23" s="160">
        <v>0</v>
      </c>
      <c r="H23" s="37">
        <v>14.672171004974022</v>
      </c>
      <c r="I23" s="37">
        <v>4.8907236683246733</v>
      </c>
      <c r="J23" s="39">
        <v>9.7814473366493466</v>
      </c>
      <c r="K23" s="37">
        <v>15.167089361403157</v>
      </c>
      <c r="L23" s="37">
        <v>5.055696453801052</v>
      </c>
      <c r="M23" s="37">
        <v>10.111392907602104</v>
      </c>
      <c r="N23" s="170">
        <v>0</v>
      </c>
      <c r="O23" s="159">
        <v>0</v>
      </c>
      <c r="P23" s="160">
        <v>0</v>
      </c>
      <c r="Q23" s="37">
        <v>15.167089361403157</v>
      </c>
      <c r="R23" s="37">
        <v>5.055696453801052</v>
      </c>
      <c r="S23" s="39">
        <v>10.111392907602104</v>
      </c>
      <c r="T23" s="37">
        <v>15.677193142423802</v>
      </c>
      <c r="U23" s="37">
        <v>5.2257310474746008</v>
      </c>
      <c r="V23" s="37">
        <v>10.451462094949202</v>
      </c>
      <c r="W23" s="170">
        <v>0</v>
      </c>
      <c r="X23" s="159">
        <v>0</v>
      </c>
      <c r="Y23" s="160">
        <v>0</v>
      </c>
      <c r="Z23" s="37">
        <v>15.677193142423802</v>
      </c>
      <c r="AA23" s="37">
        <v>5.2257310474746008</v>
      </c>
      <c r="AB23" s="37">
        <v>10.451462094949202</v>
      </c>
    </row>
    <row r="24" spans="1:80" s="5" customFormat="1" ht="12" customHeight="1" x14ac:dyDescent="0.2">
      <c r="A24" s="117" t="s">
        <v>32</v>
      </c>
      <c r="B24" s="37">
        <v>14.672171004974022</v>
      </c>
      <c r="C24" s="37">
        <v>9.7814473366493466</v>
      </c>
      <c r="D24" s="38">
        <v>4.8907236683246733</v>
      </c>
      <c r="E24" s="159">
        <v>0</v>
      </c>
      <c r="F24" s="159">
        <v>0</v>
      </c>
      <c r="G24" s="160">
        <v>0</v>
      </c>
      <c r="H24" s="37">
        <v>14.672171004974022</v>
      </c>
      <c r="I24" s="37">
        <v>9.7814473366493466</v>
      </c>
      <c r="J24" s="39">
        <v>4.8907236683246733</v>
      </c>
      <c r="K24" s="37">
        <v>15.167089361403157</v>
      </c>
      <c r="L24" s="37">
        <v>10.111392907602104</v>
      </c>
      <c r="M24" s="37">
        <v>5.055696453801052</v>
      </c>
      <c r="N24" s="170">
        <v>0</v>
      </c>
      <c r="O24" s="159">
        <v>0</v>
      </c>
      <c r="P24" s="160">
        <v>0</v>
      </c>
      <c r="Q24" s="37">
        <v>15.167089361403157</v>
      </c>
      <c r="R24" s="37">
        <v>10.111392907602104</v>
      </c>
      <c r="S24" s="39">
        <v>5.055696453801052</v>
      </c>
      <c r="T24" s="37">
        <v>15.677193142423802</v>
      </c>
      <c r="U24" s="37">
        <v>10.451462094949202</v>
      </c>
      <c r="V24" s="37">
        <v>5.2257310474746008</v>
      </c>
      <c r="W24" s="170">
        <v>0</v>
      </c>
      <c r="X24" s="159">
        <v>0</v>
      </c>
      <c r="Y24" s="160">
        <v>0</v>
      </c>
      <c r="Z24" s="37">
        <v>15.677193142423802</v>
      </c>
      <c r="AA24" s="37">
        <v>10.451462094949202</v>
      </c>
      <c r="AB24" s="37">
        <v>5.2257310474746008</v>
      </c>
    </row>
    <row r="25" spans="1:80" s="5" customFormat="1" ht="12" customHeight="1" thickBot="1" x14ac:dyDescent="0.25">
      <c r="A25" s="41" t="s">
        <v>30</v>
      </c>
      <c r="B25" s="42">
        <v>3.2604824455497821</v>
      </c>
      <c r="C25" s="156">
        <v>0</v>
      </c>
      <c r="D25" s="43">
        <v>3.2604824455497821</v>
      </c>
      <c r="E25" s="156">
        <v>0</v>
      </c>
      <c r="F25" s="156">
        <v>0</v>
      </c>
      <c r="G25" s="157">
        <v>0</v>
      </c>
      <c r="H25" s="42">
        <v>3.2604824455497821</v>
      </c>
      <c r="I25" s="184">
        <v>0</v>
      </c>
      <c r="J25" s="44">
        <v>3.2604824455497821</v>
      </c>
      <c r="K25" s="42">
        <v>3.3704643025340348</v>
      </c>
      <c r="L25" s="42">
        <v>0</v>
      </c>
      <c r="M25" s="42">
        <v>3.3704643025340348</v>
      </c>
      <c r="N25" s="161">
        <v>0</v>
      </c>
      <c r="O25" s="156">
        <v>0</v>
      </c>
      <c r="P25" s="157">
        <v>0</v>
      </c>
      <c r="Q25" s="42">
        <v>3.3704643025340348</v>
      </c>
      <c r="R25" s="156">
        <v>0</v>
      </c>
      <c r="S25" s="44">
        <v>3.3704643025340348</v>
      </c>
      <c r="T25" s="42">
        <v>3.4838206983164004</v>
      </c>
      <c r="U25" s="156">
        <v>0</v>
      </c>
      <c r="V25" s="42">
        <v>3.4838206983164004</v>
      </c>
      <c r="W25" s="161">
        <v>0</v>
      </c>
      <c r="X25" s="156">
        <v>0</v>
      </c>
      <c r="Y25" s="157">
        <v>0</v>
      </c>
      <c r="Z25" s="42">
        <v>3.4838206983164004</v>
      </c>
      <c r="AA25" s="156">
        <v>0</v>
      </c>
      <c r="AB25" s="42">
        <v>3.4838206983164004</v>
      </c>
    </row>
    <row r="26" spans="1:80" s="5" customFormat="1" ht="12" customHeight="1" x14ac:dyDescent="0.2">
      <c r="A26" s="46" t="s">
        <v>97</v>
      </c>
      <c r="B26" s="47">
        <v>2081.4451362984141</v>
      </c>
      <c r="C26" s="47">
        <v>1098.0867189549908</v>
      </c>
      <c r="D26" s="48">
        <v>983.35841734337839</v>
      </c>
      <c r="E26" s="172">
        <v>0</v>
      </c>
      <c r="F26" s="172">
        <v>0</v>
      </c>
      <c r="G26" s="173">
        <v>0</v>
      </c>
      <c r="H26" s="47">
        <v>2081.4451362984141</v>
      </c>
      <c r="I26" s="47">
        <v>1098.0867189549908</v>
      </c>
      <c r="J26" s="49">
        <v>983.35841734337839</v>
      </c>
      <c r="K26" s="47">
        <v>2151.6559732294281</v>
      </c>
      <c r="L26" s="47">
        <v>1135.1271319911955</v>
      </c>
      <c r="M26" s="47">
        <v>1016.5288412382173</v>
      </c>
      <c r="N26" s="171">
        <v>0</v>
      </c>
      <c r="O26" s="172">
        <v>0</v>
      </c>
      <c r="P26" s="173">
        <v>0</v>
      </c>
      <c r="Q26" s="47">
        <v>2151.6559732294281</v>
      </c>
      <c r="R26" s="47">
        <v>1135.1271319911955</v>
      </c>
      <c r="S26" s="49">
        <v>1016.5288412382173</v>
      </c>
      <c r="T26" s="47">
        <v>2224.0210672330272</v>
      </c>
      <c r="U26" s="47">
        <v>1173.3040443947655</v>
      </c>
      <c r="V26" s="47">
        <v>1050.717022838264</v>
      </c>
      <c r="W26" s="171">
        <v>0</v>
      </c>
      <c r="X26" s="172">
        <v>0</v>
      </c>
      <c r="Y26" s="173">
        <v>0</v>
      </c>
      <c r="Z26" s="47">
        <v>2224.0210672330272</v>
      </c>
      <c r="AA26" s="47">
        <v>1173.3040443947655</v>
      </c>
      <c r="AB26" s="47">
        <v>1050.717022838264</v>
      </c>
    </row>
    <row r="27" spans="1:80" s="5" customFormat="1" ht="12" customHeight="1" x14ac:dyDescent="0.2">
      <c r="A27" s="46" t="s">
        <v>22</v>
      </c>
      <c r="B27" s="47">
        <v>76.922130435270645</v>
      </c>
      <c r="C27" s="47">
        <v>37.087455745576911</v>
      </c>
      <c r="D27" s="48">
        <v>39.83467468969372</v>
      </c>
      <c r="E27" s="172">
        <v>0</v>
      </c>
      <c r="F27" s="172">
        <v>0</v>
      </c>
      <c r="G27" s="173">
        <v>0</v>
      </c>
      <c r="H27" s="47">
        <v>76.922130435270645</v>
      </c>
      <c r="I27" s="47">
        <v>37.087455745576911</v>
      </c>
      <c r="J27" s="49">
        <v>39.83467468969372</v>
      </c>
      <c r="K27" s="47">
        <v>79.516850354711622</v>
      </c>
      <c r="L27" s="47">
        <v>38.338481421021704</v>
      </c>
      <c r="M27" s="47">
        <v>41.178368933689974</v>
      </c>
      <c r="N27" s="171">
        <v>0</v>
      </c>
      <c r="O27" s="172">
        <v>0</v>
      </c>
      <c r="P27" s="173">
        <v>0</v>
      </c>
      <c r="Q27" s="47">
        <v>79.516850354711622</v>
      </c>
      <c r="R27" s="47">
        <v>38.338481421021704</v>
      </c>
      <c r="S27" s="49">
        <v>41.178368933689974</v>
      </c>
      <c r="T27" s="47">
        <v>82.191183251042659</v>
      </c>
      <c r="U27" s="47">
        <v>39.627891924609813</v>
      </c>
      <c r="V27" s="47">
        <v>42.563291326432761</v>
      </c>
      <c r="W27" s="171">
        <v>0</v>
      </c>
      <c r="X27" s="172">
        <v>0</v>
      </c>
      <c r="Y27" s="173">
        <v>0</v>
      </c>
      <c r="Z27" s="47">
        <v>82.191183251042659</v>
      </c>
      <c r="AA27" s="47">
        <v>39.627891924609813</v>
      </c>
      <c r="AB27" s="47">
        <v>42.563291326432761</v>
      </c>
    </row>
    <row r="28" spans="1:80" s="5" customFormat="1" ht="12" customHeight="1" thickBot="1" x14ac:dyDescent="0.25">
      <c r="A28" s="196" t="s">
        <v>21</v>
      </c>
      <c r="B28" s="52">
        <v>2143.6014179945819</v>
      </c>
      <c r="C28" s="52">
        <v>1141.1321699876785</v>
      </c>
      <c r="D28" s="53">
        <v>1002.4692480069091</v>
      </c>
      <c r="E28" s="175">
        <v>0</v>
      </c>
      <c r="F28" s="175">
        <v>0</v>
      </c>
      <c r="G28" s="176">
        <v>0</v>
      </c>
      <c r="H28" s="52">
        <v>2143.6014179945819</v>
      </c>
      <c r="I28" s="52">
        <v>1141.1321699876785</v>
      </c>
      <c r="J28" s="54">
        <v>1002.4692480069091</v>
      </c>
      <c r="K28" s="52">
        <v>2215.9088965724204</v>
      </c>
      <c r="L28" s="52">
        <v>1179.6245824498271</v>
      </c>
      <c r="M28" s="52">
        <v>1036.2843141226215</v>
      </c>
      <c r="N28" s="174">
        <v>0</v>
      </c>
      <c r="O28" s="175">
        <v>0</v>
      </c>
      <c r="P28" s="176">
        <v>0</v>
      </c>
      <c r="Q28" s="52">
        <v>2215.9088965724204</v>
      </c>
      <c r="R28" s="52">
        <v>1179.6245824498271</v>
      </c>
      <c r="S28" s="54">
        <v>1036.2843141226215</v>
      </c>
      <c r="T28" s="52">
        <v>2290.4349628205637</v>
      </c>
      <c r="U28" s="52">
        <v>1219.2980455220304</v>
      </c>
      <c r="V28" s="52">
        <v>1071.1369172985089</v>
      </c>
      <c r="W28" s="174">
        <v>0</v>
      </c>
      <c r="X28" s="175">
        <v>0</v>
      </c>
      <c r="Y28" s="176">
        <v>0</v>
      </c>
      <c r="Z28" s="52">
        <v>2290.4349628205637</v>
      </c>
      <c r="AA28" s="52">
        <v>1219.2980455220304</v>
      </c>
      <c r="AB28" s="52">
        <v>1071.1369172985089</v>
      </c>
    </row>
    <row r="29" spans="1:80" customFormat="1" ht="15" x14ac:dyDescent="0.25">
      <c r="A29" s="60" t="s">
        <v>121</v>
      </c>
      <c r="B29" s="60"/>
      <c r="C29" s="5"/>
      <c r="D29" s="5"/>
      <c r="E29" s="5"/>
      <c r="F29" s="5"/>
      <c r="G29" s="5"/>
      <c r="H29" s="5"/>
      <c r="I29" s="5"/>
      <c r="J29" s="5"/>
      <c r="K29" s="56"/>
      <c r="L29" s="56"/>
      <c r="M29" s="56"/>
      <c r="N29" s="56"/>
      <c r="O29" s="56"/>
      <c r="P29" s="56"/>
      <c r="Q29" s="56"/>
      <c r="R29" s="56"/>
      <c r="S29" s="56"/>
      <c r="T29" s="56"/>
      <c r="U29" s="56"/>
      <c r="V29" s="56"/>
      <c r="W29" s="56"/>
      <c r="X29" s="56"/>
      <c r="Y29" s="56"/>
      <c r="Z29" s="56"/>
      <c r="AA29" s="56"/>
      <c r="AB29" s="56"/>
      <c r="AC29" s="234"/>
      <c r="AD29" s="234"/>
      <c r="AE29" s="234"/>
      <c r="AF29" s="234"/>
      <c r="AG29" s="234"/>
      <c r="AH29" s="234"/>
      <c r="AI29" s="234"/>
      <c r="AJ29" s="234"/>
      <c r="AK29" s="234"/>
      <c r="AL29" s="234"/>
      <c r="AM29" s="234"/>
      <c r="AN29" s="234"/>
      <c r="AO29" s="234"/>
      <c r="AP29" s="234"/>
      <c r="AQ29" s="234"/>
      <c r="AR29" s="234"/>
      <c r="AS29" s="234"/>
      <c r="AT29" s="234"/>
      <c r="AU29" s="234"/>
      <c r="AV29" s="234"/>
      <c r="AW29" s="234"/>
      <c r="AX29" s="234"/>
      <c r="AY29" s="234"/>
      <c r="AZ29" s="234"/>
      <c r="BA29" s="234"/>
      <c r="BB29" s="234"/>
      <c r="BC29" s="234"/>
      <c r="BD29" s="234"/>
      <c r="BE29" s="234"/>
      <c r="BF29" s="234"/>
      <c r="BG29" s="234"/>
      <c r="BH29" s="234"/>
      <c r="BI29" s="234"/>
      <c r="BJ29" s="234"/>
      <c r="BK29" s="234"/>
      <c r="BL29" s="234"/>
      <c r="BM29" s="234"/>
      <c r="BN29" s="234"/>
      <c r="BO29" s="234"/>
      <c r="BP29" s="234"/>
      <c r="BQ29" s="234"/>
      <c r="BR29" s="234"/>
      <c r="BS29" s="234"/>
      <c r="BT29" s="234"/>
      <c r="BU29" s="234"/>
      <c r="BV29" s="234"/>
      <c r="BW29" s="234"/>
      <c r="BX29" s="234"/>
      <c r="BY29" s="234"/>
      <c r="BZ29" s="234"/>
      <c r="CA29" s="234"/>
      <c r="CB29" s="234"/>
    </row>
    <row r="34" s="1" customFormat="1" ht="12" customHeight="1" x14ac:dyDescent="0.2"/>
  </sheetData>
  <mergeCells count="4">
    <mergeCell ref="A2:A4"/>
    <mergeCell ref="B2:J2"/>
    <mergeCell ref="K2:S2"/>
    <mergeCell ref="T2:AB2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B34"/>
  <sheetViews>
    <sheetView workbookViewId="0">
      <pane xSplit="1" topLeftCell="B1" activePane="topRight" state="frozen"/>
      <selection pane="topRight" activeCell="Y16" sqref="Y16"/>
    </sheetView>
  </sheetViews>
  <sheetFormatPr defaultColWidth="9.140625" defaultRowHeight="12" x14ac:dyDescent="0.2"/>
  <cols>
    <col min="1" max="1" width="14" style="1" customWidth="1"/>
    <col min="2" max="2" width="7.7109375" style="1" customWidth="1"/>
    <col min="3" max="3" width="8.5703125" style="1" customWidth="1"/>
    <col min="4" max="4" width="8.42578125" style="1" customWidth="1"/>
    <col min="5" max="5" width="7.85546875" style="1" customWidth="1"/>
    <col min="6" max="6" width="8.140625" style="1" customWidth="1"/>
    <col min="7" max="7" width="8.85546875" style="1" customWidth="1"/>
    <col min="8" max="8" width="7.7109375" style="1" customWidth="1"/>
    <col min="9" max="9" width="8.140625" style="1" customWidth="1"/>
    <col min="10" max="10" width="8.7109375" style="1" customWidth="1"/>
    <col min="11" max="16384" width="9.140625" style="1"/>
  </cols>
  <sheetData>
    <row r="1" spans="1:28" s="5" customFormat="1" ht="30" customHeight="1" thickBot="1" x14ac:dyDescent="0.25">
      <c r="A1" s="61" t="s">
        <v>113</v>
      </c>
      <c r="B1" s="59"/>
      <c r="C1" s="59"/>
      <c r="D1" s="59"/>
      <c r="E1" s="59"/>
      <c r="F1" s="59"/>
      <c r="G1" s="59"/>
      <c r="H1" s="59"/>
    </row>
    <row r="2" spans="1:28" s="5" customFormat="1" ht="13.5" customHeight="1" x14ac:dyDescent="0.2">
      <c r="A2" s="246" t="s">
        <v>36</v>
      </c>
      <c r="B2" s="236" t="s">
        <v>54</v>
      </c>
      <c r="C2" s="236"/>
      <c r="D2" s="236"/>
      <c r="E2" s="236"/>
      <c r="F2" s="236"/>
      <c r="G2" s="236"/>
      <c r="H2" s="236"/>
      <c r="I2" s="236"/>
      <c r="J2" s="236"/>
      <c r="K2" s="235" t="s">
        <v>55</v>
      </c>
      <c r="L2" s="236"/>
      <c r="M2" s="236"/>
      <c r="N2" s="236"/>
      <c r="O2" s="236"/>
      <c r="P2" s="236"/>
      <c r="Q2" s="236"/>
      <c r="R2" s="236"/>
      <c r="S2" s="237"/>
      <c r="T2" s="236" t="s">
        <v>56</v>
      </c>
      <c r="U2" s="236"/>
      <c r="V2" s="236"/>
      <c r="W2" s="236"/>
      <c r="X2" s="236"/>
      <c r="Y2" s="236"/>
      <c r="Z2" s="236"/>
      <c r="AA2" s="236"/>
      <c r="AB2" s="236"/>
    </row>
    <row r="3" spans="1:28" s="5" customFormat="1" ht="17.25" customHeight="1" thickBot="1" x14ac:dyDescent="0.25">
      <c r="A3" s="250"/>
      <c r="B3" s="11"/>
      <c r="C3" s="11" t="s">
        <v>0</v>
      </c>
      <c r="D3" s="12"/>
      <c r="E3" s="13"/>
      <c r="F3" s="13" t="s">
        <v>1</v>
      </c>
      <c r="G3" s="14"/>
      <c r="H3" s="11"/>
      <c r="I3" s="11" t="s">
        <v>2</v>
      </c>
      <c r="J3" s="11"/>
      <c r="K3" s="88"/>
      <c r="L3" s="11" t="s">
        <v>0</v>
      </c>
      <c r="M3" s="12"/>
      <c r="N3" s="13"/>
      <c r="O3" s="13" t="s">
        <v>1</v>
      </c>
      <c r="P3" s="14"/>
      <c r="Q3" s="11"/>
      <c r="R3" s="11" t="s">
        <v>2</v>
      </c>
      <c r="S3" s="15"/>
      <c r="T3" s="11"/>
      <c r="U3" s="11" t="s">
        <v>0</v>
      </c>
      <c r="V3" s="12"/>
      <c r="W3" s="13"/>
      <c r="X3" s="13" t="s">
        <v>1</v>
      </c>
      <c r="Y3" s="14"/>
      <c r="Z3" s="11"/>
      <c r="AA3" s="11" t="s">
        <v>2</v>
      </c>
      <c r="AB3" s="11"/>
    </row>
    <row r="4" spans="1:28" s="5" customFormat="1" ht="12.75" customHeight="1" thickBot="1" x14ac:dyDescent="0.25">
      <c r="A4" s="251"/>
      <c r="B4" s="9" t="s">
        <v>0</v>
      </c>
      <c r="C4" s="10" t="s">
        <v>3</v>
      </c>
      <c r="D4" s="16" t="s">
        <v>4</v>
      </c>
      <c r="E4" s="17" t="s">
        <v>0</v>
      </c>
      <c r="F4" s="10" t="s">
        <v>3</v>
      </c>
      <c r="G4" s="16" t="s">
        <v>4</v>
      </c>
      <c r="H4" s="17" t="s">
        <v>0</v>
      </c>
      <c r="I4" s="10" t="s">
        <v>3</v>
      </c>
      <c r="J4" s="10" t="s">
        <v>4</v>
      </c>
      <c r="K4" s="124" t="s">
        <v>0</v>
      </c>
      <c r="L4" s="10" t="s">
        <v>3</v>
      </c>
      <c r="M4" s="10" t="s">
        <v>4</v>
      </c>
      <c r="N4" s="19" t="s">
        <v>0</v>
      </c>
      <c r="O4" s="20" t="s">
        <v>3</v>
      </c>
      <c r="P4" s="21" t="s">
        <v>4</v>
      </c>
      <c r="Q4" s="17" t="s">
        <v>0</v>
      </c>
      <c r="R4" s="10" t="s">
        <v>3</v>
      </c>
      <c r="S4" s="18" t="s">
        <v>4</v>
      </c>
      <c r="T4" s="9" t="s">
        <v>0</v>
      </c>
      <c r="U4" s="10" t="s">
        <v>3</v>
      </c>
      <c r="V4" s="10" t="s">
        <v>4</v>
      </c>
      <c r="W4" s="19" t="s">
        <v>0</v>
      </c>
      <c r="X4" s="20" t="s">
        <v>3</v>
      </c>
      <c r="Y4" s="21" t="s">
        <v>4</v>
      </c>
      <c r="Z4" s="17" t="s">
        <v>0</v>
      </c>
      <c r="AA4" s="10" t="s">
        <v>3</v>
      </c>
      <c r="AB4" s="10" t="s">
        <v>4</v>
      </c>
    </row>
    <row r="5" spans="1:28" s="5" customFormat="1" ht="16.5" customHeight="1" thickBot="1" x14ac:dyDescent="0.25">
      <c r="A5" s="22" t="s">
        <v>63</v>
      </c>
      <c r="B5" s="30">
        <v>11523.299354288292</v>
      </c>
      <c r="C5" s="23">
        <v>5905.2174900491846</v>
      </c>
      <c r="D5" s="24">
        <v>5618.0818642398972</v>
      </c>
      <c r="E5" s="27">
        <v>3117.0325943846797</v>
      </c>
      <c r="F5" s="28">
        <v>1555.372388633509</v>
      </c>
      <c r="G5" s="29">
        <v>1561.6602057512175</v>
      </c>
      <c r="H5" s="23">
        <v>8406.2667599041833</v>
      </c>
      <c r="I5" s="23">
        <v>4349.8451014157354</v>
      </c>
      <c r="J5" s="23">
        <v>4056.4216584887572</v>
      </c>
      <c r="K5" s="133">
        <v>11912.000683842096</v>
      </c>
      <c r="L5" s="28">
        <v>6104.4109518443347</v>
      </c>
      <c r="M5" s="29">
        <v>5807.5897319979231</v>
      </c>
      <c r="N5" s="28">
        <v>3222.1756334091569</v>
      </c>
      <c r="O5" s="28">
        <v>1607.8378585327332</v>
      </c>
      <c r="P5" s="29">
        <v>1614.3377748764099</v>
      </c>
      <c r="Q5" s="28">
        <v>8689.8250504331463</v>
      </c>
      <c r="R5" s="28">
        <v>4496.5730933116092</v>
      </c>
      <c r="S5" s="132">
        <v>4193.2519571215616</v>
      </c>
      <c r="T5" s="23">
        <v>12312.628414290741</v>
      </c>
      <c r="U5" s="23">
        <v>6309.7162041079382</v>
      </c>
      <c r="V5" s="132">
        <v>6002.9122101824714</v>
      </c>
      <c r="W5" s="133">
        <v>3330.5447432988922</v>
      </c>
      <c r="X5" s="28">
        <v>1661.9131099776341</v>
      </c>
      <c r="Y5" s="132">
        <v>1668.6316333212544</v>
      </c>
      <c r="Z5" s="23">
        <v>8982.0836709914329</v>
      </c>
      <c r="AA5" s="23">
        <v>4647.8030941299858</v>
      </c>
      <c r="AB5" s="23">
        <v>4334.2805768608632</v>
      </c>
    </row>
    <row r="6" spans="1:28" s="5" customFormat="1" ht="12" customHeight="1" x14ac:dyDescent="0.2">
      <c r="A6" s="31" t="s">
        <v>5</v>
      </c>
      <c r="B6" s="32">
        <v>2045.350596454276</v>
      </c>
      <c r="C6" s="32">
        <v>1028.1006313742214</v>
      </c>
      <c r="D6" s="33">
        <v>1017.2499650800341</v>
      </c>
      <c r="E6" s="32">
        <v>547.95864785643562</v>
      </c>
      <c r="F6" s="32">
        <v>252.27799133984399</v>
      </c>
      <c r="G6" s="33">
        <v>295.68065651659117</v>
      </c>
      <c r="H6" s="32">
        <v>1497.3919485978199</v>
      </c>
      <c r="I6" s="32">
        <v>775.82264003436785</v>
      </c>
      <c r="J6" s="32">
        <v>721.5693085634316</v>
      </c>
      <c r="K6" s="125">
        <v>2114.3439005246396</v>
      </c>
      <c r="L6" s="32">
        <v>1062.7802895209957</v>
      </c>
      <c r="M6" s="32">
        <v>1051.5636110036235</v>
      </c>
      <c r="N6" s="35">
        <v>566.44226512727573</v>
      </c>
      <c r="O6" s="32">
        <v>260.78777552889346</v>
      </c>
      <c r="P6" s="33">
        <v>305.65448959838045</v>
      </c>
      <c r="Q6" s="32">
        <v>1547.9016353973434</v>
      </c>
      <c r="R6" s="32">
        <v>801.99251399209197</v>
      </c>
      <c r="S6" s="34">
        <v>745.90912140523096</v>
      </c>
      <c r="T6" s="32">
        <v>2185.4541044889406</v>
      </c>
      <c r="U6" s="32">
        <v>1098.5240127338334</v>
      </c>
      <c r="V6" s="32">
        <v>1086.9300917551122</v>
      </c>
      <c r="W6" s="35">
        <v>585.49300942542277</v>
      </c>
      <c r="X6" s="32">
        <v>269.55866275527154</v>
      </c>
      <c r="Y6" s="33">
        <v>315.93434667015612</v>
      </c>
      <c r="Z6" s="32">
        <v>1599.9610950635229</v>
      </c>
      <c r="AA6" s="32">
        <v>828.96534997856679</v>
      </c>
      <c r="AB6" s="32">
        <v>770.99574508496107</v>
      </c>
    </row>
    <row r="7" spans="1:28" s="5" customFormat="1" ht="12" customHeight="1" x14ac:dyDescent="0.2">
      <c r="A7" s="31" t="s">
        <v>6</v>
      </c>
      <c r="B7" s="32">
        <v>1766.3082931881358</v>
      </c>
      <c r="C7" s="32">
        <v>903.96484813381483</v>
      </c>
      <c r="D7" s="33">
        <v>862.34344505427305</v>
      </c>
      <c r="E7" s="32">
        <v>411.01135541048751</v>
      </c>
      <c r="F7" s="32">
        <v>204.2050088590064</v>
      </c>
      <c r="G7" s="33">
        <v>206.80634655147782</v>
      </c>
      <c r="H7" s="32">
        <v>1355.2969377776249</v>
      </c>
      <c r="I7" s="32">
        <v>699.75983927481298</v>
      </c>
      <c r="J7" s="32">
        <v>655.53709850279984</v>
      </c>
      <c r="K7" s="125">
        <v>1825.889005348286</v>
      </c>
      <c r="L7" s="32">
        <v>934.45718609502592</v>
      </c>
      <c r="M7" s="32">
        <v>891.43181925323961</v>
      </c>
      <c r="N7" s="35">
        <v>424.87549756262297</v>
      </c>
      <c r="O7" s="32">
        <v>211.09320606750626</v>
      </c>
      <c r="P7" s="33">
        <v>213.78229149511779</v>
      </c>
      <c r="Q7" s="32">
        <v>1401.0135077856462</v>
      </c>
      <c r="R7" s="32">
        <v>723.36398002751184</v>
      </c>
      <c r="S7" s="34">
        <v>677.64952775811389</v>
      </c>
      <c r="T7" s="32">
        <v>1887.2978137991461</v>
      </c>
      <c r="U7" s="32">
        <v>965.88511089131555</v>
      </c>
      <c r="V7" s="32">
        <v>921.41270290783052</v>
      </c>
      <c r="W7" s="35">
        <v>439.1650288369147</v>
      </c>
      <c r="X7" s="32">
        <v>218.19275166897344</v>
      </c>
      <c r="Y7" s="33">
        <v>220.97227716794126</v>
      </c>
      <c r="Z7" s="32">
        <v>1448.1327849622314</v>
      </c>
      <c r="AA7" s="32">
        <v>747.69235922234213</v>
      </c>
      <c r="AB7" s="32">
        <v>700.44042573988929</v>
      </c>
    </row>
    <row r="8" spans="1:28" s="5" customFormat="1" ht="12" customHeight="1" x14ac:dyDescent="0.2">
      <c r="A8" s="31" t="s">
        <v>7</v>
      </c>
      <c r="B8" s="32">
        <v>1582.9139858688889</v>
      </c>
      <c r="C8" s="32">
        <v>803.81334697366742</v>
      </c>
      <c r="D8" s="33">
        <v>779.10063889518949</v>
      </c>
      <c r="E8" s="32">
        <v>433.12272579649505</v>
      </c>
      <c r="F8" s="32">
        <v>209.40768424394923</v>
      </c>
      <c r="G8" s="33">
        <v>223.71504155254203</v>
      </c>
      <c r="H8" s="32">
        <v>1149.7912600723694</v>
      </c>
      <c r="I8" s="32">
        <v>594.40566272972285</v>
      </c>
      <c r="J8" s="32">
        <v>555.38559734265243</v>
      </c>
      <c r="K8" s="125">
        <v>1636.3084827016651</v>
      </c>
      <c r="L8" s="32">
        <v>830.92739713197761</v>
      </c>
      <c r="M8" s="32">
        <v>805.38108556966699</v>
      </c>
      <c r="N8" s="35">
        <v>447.73272369732098</v>
      </c>
      <c r="O8" s="32">
        <v>216.47137692272932</v>
      </c>
      <c r="P8" s="33">
        <v>231.26134677459274</v>
      </c>
      <c r="Q8" s="32">
        <v>1188.5757590043263</v>
      </c>
      <c r="R8" s="32">
        <v>614.45602020924025</v>
      </c>
      <c r="S8" s="34">
        <v>574.11973879506559</v>
      </c>
      <c r="T8" s="32">
        <v>1691.3412661219152</v>
      </c>
      <c r="U8" s="32">
        <v>858.8733791810547</v>
      </c>
      <c r="V8" s="32">
        <v>832.46788694086047</v>
      </c>
      <c r="W8" s="35">
        <v>462.79099557814112</v>
      </c>
      <c r="X8" s="32">
        <v>223.75180266690907</v>
      </c>
      <c r="Y8" s="33">
        <v>239.03919291123205</v>
      </c>
      <c r="Z8" s="32">
        <v>1228.5502705437741</v>
      </c>
      <c r="AA8" s="32">
        <v>635.12157651414566</v>
      </c>
      <c r="AB8" s="32">
        <v>593.42869402962845</v>
      </c>
    </row>
    <row r="9" spans="1:28" s="5" customFormat="1" ht="12" customHeight="1" x14ac:dyDescent="0.2">
      <c r="A9" s="31" t="s">
        <v>8</v>
      </c>
      <c r="B9" s="32">
        <v>1401.0816614995861</v>
      </c>
      <c r="C9" s="32">
        <v>739.00189596742121</v>
      </c>
      <c r="D9" s="33">
        <v>662.07976553214894</v>
      </c>
      <c r="E9" s="32">
        <v>458.78556366750303</v>
      </c>
      <c r="F9" s="32">
        <v>247.24970497051285</v>
      </c>
      <c r="G9" s="33">
        <v>211.53585869699432</v>
      </c>
      <c r="H9" s="32">
        <v>942.29609783206934</v>
      </c>
      <c r="I9" s="32">
        <v>491.75219099690406</v>
      </c>
      <c r="J9" s="32">
        <v>450.54390683515277</v>
      </c>
      <c r="K9" s="125">
        <v>1448.3426314608212</v>
      </c>
      <c r="L9" s="32">
        <v>763.92974090777477</v>
      </c>
      <c r="M9" s="32">
        <v>684.41289055306004</v>
      </c>
      <c r="N9" s="35">
        <v>474.26121461560115</v>
      </c>
      <c r="O9" s="32">
        <v>255.58987614014436</v>
      </c>
      <c r="P9" s="33">
        <v>218.67133847545685</v>
      </c>
      <c r="Q9" s="32">
        <v>974.08141684523514</v>
      </c>
      <c r="R9" s="32">
        <v>508.33986476762038</v>
      </c>
      <c r="S9" s="34">
        <v>465.74155207759634</v>
      </c>
      <c r="T9" s="32">
        <v>1497.0536949296868</v>
      </c>
      <c r="U9" s="32">
        <v>789.62243909036636</v>
      </c>
      <c r="V9" s="32">
        <v>707.43125583932499</v>
      </c>
      <c r="W9" s="35">
        <v>490.21170010442995</v>
      </c>
      <c r="X9" s="32">
        <v>264.18594616406619</v>
      </c>
      <c r="Y9" s="33">
        <v>226.02575394036782</v>
      </c>
      <c r="Z9" s="32">
        <v>1006.8419948252614</v>
      </c>
      <c r="AA9" s="32">
        <v>525.43649292630482</v>
      </c>
      <c r="AB9" s="32">
        <v>481.40550189896123</v>
      </c>
    </row>
    <row r="10" spans="1:28" s="5" customFormat="1" ht="12" customHeight="1" x14ac:dyDescent="0.2">
      <c r="A10" s="31" t="s">
        <v>9</v>
      </c>
      <c r="B10" s="32">
        <v>1017.5280159170185</v>
      </c>
      <c r="C10" s="32">
        <v>508.02344899495051</v>
      </c>
      <c r="D10" s="33">
        <v>509.50456692204949</v>
      </c>
      <c r="E10" s="32">
        <v>271.04458065911399</v>
      </c>
      <c r="F10" s="32">
        <v>133.30061343890898</v>
      </c>
      <c r="G10" s="33">
        <v>137.74396722020592</v>
      </c>
      <c r="H10" s="32">
        <v>746.48343525789505</v>
      </c>
      <c r="I10" s="32">
        <v>374.72283555604247</v>
      </c>
      <c r="J10" s="32">
        <v>371.76059970184451</v>
      </c>
      <c r="K10" s="125">
        <v>1051.8510409885787</v>
      </c>
      <c r="L10" s="32">
        <v>525.15998116314847</v>
      </c>
      <c r="M10" s="32">
        <v>526.69105982543169</v>
      </c>
      <c r="N10" s="35">
        <v>280.18739519783304</v>
      </c>
      <c r="O10" s="32">
        <v>137.79707960549129</v>
      </c>
      <c r="P10" s="33">
        <v>142.39031559234104</v>
      </c>
      <c r="Q10" s="32">
        <v>771.66364579074707</v>
      </c>
      <c r="R10" s="32">
        <v>387.36290155765852</v>
      </c>
      <c r="S10" s="34">
        <v>384.30074423309208</v>
      </c>
      <c r="T10" s="32">
        <v>1087.2271886655451</v>
      </c>
      <c r="U10" s="32">
        <v>542.82230816926108</v>
      </c>
      <c r="V10" s="32">
        <v>544.40488049628516</v>
      </c>
      <c r="W10" s="35">
        <v>289.61073584540804</v>
      </c>
      <c r="X10" s="32">
        <v>142.43150943216844</v>
      </c>
      <c r="Y10" s="33">
        <v>147.17922641324068</v>
      </c>
      <c r="Z10" s="32">
        <v>797.61645282013819</v>
      </c>
      <c r="AA10" s="32">
        <v>400.39079873709375</v>
      </c>
      <c r="AB10" s="32">
        <v>397.22565408304558</v>
      </c>
    </row>
    <row r="11" spans="1:28" s="5" customFormat="1" ht="12" customHeight="1" x14ac:dyDescent="0.2">
      <c r="A11" s="36" t="s">
        <v>10</v>
      </c>
      <c r="B11" s="32">
        <v>813.13374197735163</v>
      </c>
      <c r="C11" s="32">
        <v>442.85426020259547</v>
      </c>
      <c r="D11" s="33">
        <v>370.27948177474553</v>
      </c>
      <c r="E11" s="37">
        <v>241.4222221171344</v>
      </c>
      <c r="F11" s="37">
        <v>130.33837758471103</v>
      </c>
      <c r="G11" s="38">
        <v>111.08384453242414</v>
      </c>
      <c r="H11" s="37">
        <v>571.71151986020891</v>
      </c>
      <c r="I11" s="37">
        <v>312.51588261788538</v>
      </c>
      <c r="J11" s="37">
        <v>259.19563724232216</v>
      </c>
      <c r="K11" s="125">
        <v>840.56218559349202</v>
      </c>
      <c r="L11" s="32">
        <v>457.79252002268669</v>
      </c>
      <c r="M11" s="32">
        <v>382.76966557080885</v>
      </c>
      <c r="N11" s="40">
        <v>249.56582195216851</v>
      </c>
      <c r="O11" s="37">
        <v>134.73492228092479</v>
      </c>
      <c r="P11" s="38">
        <v>114.83089967124268</v>
      </c>
      <c r="Q11" s="37">
        <v>590.99636364132698</v>
      </c>
      <c r="R11" s="37">
        <v>323.05759774176323</v>
      </c>
      <c r="S11" s="39">
        <v>267.93876589956727</v>
      </c>
      <c r="T11" s="32">
        <v>868.83220753622186</v>
      </c>
      <c r="U11" s="32">
        <v>473.18912578020149</v>
      </c>
      <c r="V11" s="32">
        <v>395.6430817560215</v>
      </c>
      <c r="W11" s="40">
        <v>257.95928930492641</v>
      </c>
      <c r="X11" s="37">
        <v>139.26636477812028</v>
      </c>
      <c r="Y11" s="38">
        <v>118.69292452680715</v>
      </c>
      <c r="Z11" s="37">
        <v>610.87291823129658</v>
      </c>
      <c r="AA11" s="37">
        <v>333.92276100208232</v>
      </c>
      <c r="AB11" s="37">
        <v>276.95015722921539</v>
      </c>
    </row>
    <row r="12" spans="1:28" s="5" customFormat="1" ht="12" customHeight="1" x14ac:dyDescent="0.2">
      <c r="A12" s="36" t="s">
        <v>11</v>
      </c>
      <c r="B12" s="37">
        <v>515.35900232300094</v>
      </c>
      <c r="C12" s="37">
        <v>280.15155068139876</v>
      </c>
      <c r="D12" s="38">
        <v>235.20745164160218</v>
      </c>
      <c r="E12" s="32">
        <v>136.33043375404969</v>
      </c>
      <c r="F12" s="32">
        <v>73.408695098334476</v>
      </c>
      <c r="G12" s="33">
        <v>62.921738655715274</v>
      </c>
      <c r="H12" s="32">
        <v>379.02856856895124</v>
      </c>
      <c r="I12" s="32">
        <v>206.74285558306434</v>
      </c>
      <c r="J12" s="32">
        <v>172.28571298588696</v>
      </c>
      <c r="K12" s="126">
        <v>532.74297571822399</v>
      </c>
      <c r="L12" s="37">
        <v>289.60155947473356</v>
      </c>
      <c r="M12" s="37">
        <v>243.14141624349327</v>
      </c>
      <c r="N12" s="35">
        <v>140.92910113476324</v>
      </c>
      <c r="O12" s="32">
        <v>75.884900611026424</v>
      </c>
      <c r="P12" s="33">
        <v>65.044200523736976</v>
      </c>
      <c r="Q12" s="32">
        <v>391.81387458346171</v>
      </c>
      <c r="R12" s="32">
        <v>213.71665886370735</v>
      </c>
      <c r="S12" s="34">
        <v>178.09721571975598</v>
      </c>
      <c r="T12" s="37">
        <v>550.66033611287105</v>
      </c>
      <c r="U12" s="37">
        <v>299.3415199218224</v>
      </c>
      <c r="V12" s="37">
        <v>251.31881619104874</v>
      </c>
      <c r="W12" s="35">
        <v>145.66886798334676</v>
      </c>
      <c r="X12" s="32">
        <v>78.437082760263664</v>
      </c>
      <c r="Y12" s="33">
        <v>67.231785223083151</v>
      </c>
      <c r="Z12" s="32">
        <v>404.99146812952438</v>
      </c>
      <c r="AA12" s="32">
        <v>220.90443716155877</v>
      </c>
      <c r="AB12" s="32">
        <v>184.08703096796566</v>
      </c>
    </row>
    <row r="13" spans="1:28" s="5" customFormat="1" ht="12" customHeight="1" x14ac:dyDescent="0.2">
      <c r="A13" s="36" t="s">
        <v>12</v>
      </c>
      <c r="B13" s="37">
        <v>524.34782213096025</v>
      </c>
      <c r="C13" s="37">
        <v>242.69813481490161</v>
      </c>
      <c r="D13" s="38">
        <v>281.64968731605865</v>
      </c>
      <c r="E13" s="37">
        <v>122.84720404211072</v>
      </c>
      <c r="F13" s="37">
        <v>53.932918847755957</v>
      </c>
      <c r="G13" s="38">
        <v>68.914285194354818</v>
      </c>
      <c r="H13" s="37">
        <v>401.50061808884954</v>
      </c>
      <c r="I13" s="37">
        <v>188.76521596714571</v>
      </c>
      <c r="J13" s="37">
        <v>212.73540212170388</v>
      </c>
      <c r="K13" s="126">
        <v>542.03500436447234</v>
      </c>
      <c r="L13" s="37">
        <v>250.88477344870009</v>
      </c>
      <c r="M13" s="37">
        <v>291.1502309157749</v>
      </c>
      <c r="N13" s="40">
        <v>126.99105816539097</v>
      </c>
      <c r="O13" s="37">
        <v>55.752171877488841</v>
      </c>
      <c r="P13" s="38">
        <v>71.238886287902375</v>
      </c>
      <c r="Q13" s="37">
        <v>415.04394619908174</v>
      </c>
      <c r="R13" s="37">
        <v>195.13260157121098</v>
      </c>
      <c r="S13" s="39">
        <v>219.91134462787281</v>
      </c>
      <c r="T13" s="37">
        <v>560.26487685902578</v>
      </c>
      <c r="U13" s="37">
        <v>259.32260014617771</v>
      </c>
      <c r="V13" s="37">
        <v>300.94227671284818</v>
      </c>
      <c r="W13" s="40">
        <v>131.26205686411467</v>
      </c>
      <c r="X13" s="37">
        <v>57.627244476928425</v>
      </c>
      <c r="Y13" s="38">
        <v>73.634812387186301</v>
      </c>
      <c r="Z13" s="37">
        <v>429.00281999491119</v>
      </c>
      <c r="AA13" s="37">
        <v>201.69535566924932</v>
      </c>
      <c r="AB13" s="37">
        <v>227.30746432566193</v>
      </c>
    </row>
    <row r="14" spans="1:28" s="5" customFormat="1" ht="12" customHeight="1" x14ac:dyDescent="0.2">
      <c r="A14" s="36" t="s">
        <v>13</v>
      </c>
      <c r="B14" s="37">
        <v>425.47080424340771</v>
      </c>
      <c r="C14" s="37">
        <v>200.7503090444248</v>
      </c>
      <c r="D14" s="38">
        <v>224.72049519898297</v>
      </c>
      <c r="E14" s="37">
        <v>109.36397433017174</v>
      </c>
      <c r="F14" s="37">
        <v>58.427328751735615</v>
      </c>
      <c r="G14" s="38">
        <v>50.936645578436185</v>
      </c>
      <c r="H14" s="37">
        <v>316.10682991323603</v>
      </c>
      <c r="I14" s="37">
        <v>142.32298029268924</v>
      </c>
      <c r="J14" s="37">
        <v>173.78384962054685</v>
      </c>
      <c r="K14" s="126">
        <v>439.82268925574311</v>
      </c>
      <c r="L14" s="37">
        <v>207.5219730995419</v>
      </c>
      <c r="M14" s="37">
        <v>232.30071615620372</v>
      </c>
      <c r="N14" s="40">
        <v>113.05301519601882</v>
      </c>
      <c r="O14" s="37">
        <v>60.398186200612912</v>
      </c>
      <c r="P14" s="38">
        <v>52.654828995406127</v>
      </c>
      <c r="Q14" s="37">
        <v>326.76967405972562</v>
      </c>
      <c r="R14" s="37">
        <v>147.1237868989287</v>
      </c>
      <c r="S14" s="39">
        <v>179.64588716079734</v>
      </c>
      <c r="T14" s="37">
        <v>454.61492865132379</v>
      </c>
      <c r="U14" s="37">
        <v>214.50140999745562</v>
      </c>
      <c r="V14" s="37">
        <v>240.11351865386823</v>
      </c>
      <c r="W14" s="40">
        <v>116.85524574488257</v>
      </c>
      <c r="X14" s="37">
        <v>62.429514850005788</v>
      </c>
      <c r="Y14" s="38">
        <v>54.42573089487685</v>
      </c>
      <c r="Z14" s="37">
        <v>337.7596829064413</v>
      </c>
      <c r="AA14" s="37">
        <v>152.07189514744991</v>
      </c>
      <c r="AB14" s="37">
        <v>185.68778775899145</v>
      </c>
    </row>
    <row r="15" spans="1:28" s="5" customFormat="1" ht="12" customHeight="1" x14ac:dyDescent="0.2">
      <c r="A15" s="36" t="s">
        <v>14</v>
      </c>
      <c r="B15" s="37">
        <v>286.14921776970459</v>
      </c>
      <c r="C15" s="37">
        <v>155.42114873785985</v>
      </c>
      <c r="D15" s="38">
        <v>130.72806903184474</v>
      </c>
      <c r="E15" s="37">
        <v>65.364034515922384</v>
      </c>
      <c r="F15" s="37">
        <v>29.05068200707662</v>
      </c>
      <c r="G15" s="38">
        <v>36.313352508845774</v>
      </c>
      <c r="H15" s="37">
        <v>220.78518325378221</v>
      </c>
      <c r="I15" s="37">
        <v>126.37046673078325</v>
      </c>
      <c r="J15" s="37">
        <v>94.414716522998987</v>
      </c>
      <c r="K15" s="126">
        <v>295.80153851378884</v>
      </c>
      <c r="L15" s="37">
        <v>160.663779801906</v>
      </c>
      <c r="M15" s="37">
        <v>135.13775871188355</v>
      </c>
      <c r="N15" s="40">
        <v>67.56887935594176</v>
      </c>
      <c r="O15" s="37">
        <v>30.030613047085222</v>
      </c>
      <c r="P15" s="38">
        <v>37.538266308856528</v>
      </c>
      <c r="Q15" s="37">
        <v>228.23265915784779</v>
      </c>
      <c r="R15" s="37">
        <v>130.63316675482076</v>
      </c>
      <c r="S15" s="39">
        <v>97.599492403027</v>
      </c>
      <c r="T15" s="37">
        <v>305.7500183857145</v>
      </c>
      <c r="U15" s="37">
        <v>166.06726886939785</v>
      </c>
      <c r="V15" s="37">
        <v>139.68274951631599</v>
      </c>
      <c r="W15" s="40">
        <v>69.841374758158125</v>
      </c>
      <c r="X15" s="37">
        <v>31.040611003625834</v>
      </c>
      <c r="Y15" s="38">
        <v>38.800763754532298</v>
      </c>
      <c r="Z15" s="37">
        <v>235.9086436275557</v>
      </c>
      <c r="AA15" s="37">
        <v>135.02665786577214</v>
      </c>
      <c r="AB15" s="37">
        <v>100.88198576178384</v>
      </c>
    </row>
    <row r="16" spans="1:28" s="5" customFormat="1" ht="12" customHeight="1" x14ac:dyDescent="0.2">
      <c r="A16" s="36" t="s">
        <v>15</v>
      </c>
      <c r="B16" s="37">
        <v>265.81374036475097</v>
      </c>
      <c r="C16" s="37">
        <v>126.37046673078325</v>
      </c>
      <c r="D16" s="38">
        <v>139.44327363396772</v>
      </c>
      <c r="E16" s="37">
        <v>63.911500415568547</v>
      </c>
      <c r="F16" s="37">
        <v>34.860818408491944</v>
      </c>
      <c r="G16" s="38">
        <v>29.05068200707662</v>
      </c>
      <c r="H16" s="37">
        <v>201.90223994918242</v>
      </c>
      <c r="I16" s="37">
        <v>91.509648322291326</v>
      </c>
      <c r="J16" s="37">
        <v>110.39259162689112</v>
      </c>
      <c r="K16" s="126">
        <v>274.78010938082957</v>
      </c>
      <c r="L16" s="37">
        <v>130.63316675482076</v>
      </c>
      <c r="M16" s="37">
        <v>144.14694262600912</v>
      </c>
      <c r="N16" s="40">
        <v>66.067348703587498</v>
      </c>
      <c r="O16" s="37">
        <v>36.036735656502266</v>
      </c>
      <c r="P16" s="38">
        <v>30.030613047085222</v>
      </c>
      <c r="Q16" s="37">
        <v>208.71276067724239</v>
      </c>
      <c r="R16" s="37">
        <v>94.596431098318476</v>
      </c>
      <c r="S16" s="39">
        <v>114.11632957892388</v>
      </c>
      <c r="T16" s="37">
        <v>284.0215906831761</v>
      </c>
      <c r="U16" s="37">
        <v>135.02665786577214</v>
      </c>
      <c r="V16" s="37">
        <v>148.99493281740371</v>
      </c>
      <c r="W16" s="40">
        <v>68.289344207976839</v>
      </c>
      <c r="X16" s="37">
        <v>37.248733204351005</v>
      </c>
      <c r="Y16" s="38">
        <v>31.040611003625834</v>
      </c>
      <c r="Z16" s="37">
        <v>215.73224647519899</v>
      </c>
      <c r="AA16" s="37">
        <v>97.777924661421267</v>
      </c>
      <c r="AB16" s="37">
        <v>117.95432181377798</v>
      </c>
    </row>
    <row r="17" spans="1:80" s="5" customFormat="1" ht="12" customHeight="1" x14ac:dyDescent="0.2">
      <c r="A17" s="36" t="s">
        <v>16</v>
      </c>
      <c r="B17" s="37">
        <v>280.33908136828927</v>
      </c>
      <c r="C17" s="37">
        <v>132.18060313219857</v>
      </c>
      <c r="D17" s="38">
        <v>148.1584782360907</v>
      </c>
      <c r="E17" s="37">
        <v>62.458966315214717</v>
      </c>
      <c r="F17" s="37">
        <v>23.2405456056613</v>
      </c>
      <c r="G17" s="38">
        <v>39.218420709553435</v>
      </c>
      <c r="H17" s="37">
        <v>217.88011505307455</v>
      </c>
      <c r="I17" s="37">
        <v>108.94005752653729</v>
      </c>
      <c r="J17" s="37">
        <v>108.94005752653729</v>
      </c>
      <c r="K17" s="126">
        <v>289.79541590437191</v>
      </c>
      <c r="L17" s="37">
        <v>136.63928936423781</v>
      </c>
      <c r="M17" s="37">
        <v>153.15612654013469</v>
      </c>
      <c r="N17" s="40">
        <v>64.565818051233236</v>
      </c>
      <c r="O17" s="37">
        <v>24.024490437668174</v>
      </c>
      <c r="P17" s="38">
        <v>40.541327613565052</v>
      </c>
      <c r="Q17" s="37">
        <v>225.22959785313927</v>
      </c>
      <c r="R17" s="37">
        <v>112.61479892656962</v>
      </c>
      <c r="S17" s="39">
        <v>112.61479892656962</v>
      </c>
      <c r="T17" s="37">
        <v>299.54189618498924</v>
      </c>
      <c r="U17" s="37">
        <v>141.23478006649728</v>
      </c>
      <c r="V17" s="37">
        <v>158.30711611849142</v>
      </c>
      <c r="W17" s="40">
        <v>66.737313657795553</v>
      </c>
      <c r="X17" s="37">
        <v>24.832488802900663</v>
      </c>
      <c r="Y17" s="38">
        <v>41.904824854894883</v>
      </c>
      <c r="Z17" s="37">
        <v>232.80458252719313</v>
      </c>
      <c r="AA17" s="37">
        <v>116.40229126359669</v>
      </c>
      <c r="AB17" s="37">
        <v>116.40229126359669</v>
      </c>
    </row>
    <row r="18" spans="1:80" s="5" customFormat="1" ht="12" customHeight="1" x14ac:dyDescent="0.2">
      <c r="A18" s="36" t="s">
        <v>17</v>
      </c>
      <c r="B18" s="37">
        <v>203.35477404953625</v>
      </c>
      <c r="C18" s="37">
        <v>110.39259162689112</v>
      </c>
      <c r="D18" s="38">
        <v>92.962182422645157</v>
      </c>
      <c r="E18" s="37">
        <v>58.101364014153226</v>
      </c>
      <c r="F18" s="37">
        <v>29.05068200707662</v>
      </c>
      <c r="G18" s="38">
        <v>29.05068200707662</v>
      </c>
      <c r="H18" s="37">
        <v>145.25341003538304</v>
      </c>
      <c r="I18" s="37">
        <v>81.341909619814516</v>
      </c>
      <c r="J18" s="37">
        <v>63.911500415568547</v>
      </c>
      <c r="K18" s="126">
        <v>210.21429132959665</v>
      </c>
      <c r="L18" s="37">
        <v>114.11632957892388</v>
      </c>
      <c r="M18" s="37">
        <v>96.097961750672738</v>
      </c>
      <c r="N18" s="40">
        <v>60.061226094170458</v>
      </c>
      <c r="O18" s="37">
        <v>30.030613047085222</v>
      </c>
      <c r="P18" s="38">
        <v>30.030613047085222</v>
      </c>
      <c r="Q18" s="37">
        <v>150.15306523542617</v>
      </c>
      <c r="R18" s="37">
        <v>84.085716531838642</v>
      </c>
      <c r="S18" s="39">
        <v>66.067348703587498</v>
      </c>
      <c r="T18" s="37">
        <v>217.28427702538028</v>
      </c>
      <c r="U18" s="37">
        <v>117.95432181377798</v>
      </c>
      <c r="V18" s="37">
        <v>99.329955211602552</v>
      </c>
      <c r="W18" s="40">
        <v>62.081222007251689</v>
      </c>
      <c r="X18" s="37">
        <v>31.040611003625834</v>
      </c>
      <c r="Y18" s="38">
        <v>31.040611003625834</v>
      </c>
      <c r="Z18" s="37">
        <v>155.20305501812885</v>
      </c>
      <c r="AA18" s="37">
        <v>86.913710810152267</v>
      </c>
      <c r="AB18" s="37">
        <v>68.289344207976839</v>
      </c>
    </row>
    <row r="19" spans="1:80" s="5" customFormat="1" ht="12" customHeight="1" x14ac:dyDescent="0.2">
      <c r="A19" s="36" t="s">
        <v>18</v>
      </c>
      <c r="B19" s="37">
        <v>132.04953904476594</v>
      </c>
      <c r="C19" s="37">
        <v>84.772543584294269</v>
      </c>
      <c r="D19" s="38">
        <v>47.276995460471852</v>
      </c>
      <c r="E19" s="37">
        <v>30.974583232722939</v>
      </c>
      <c r="F19" s="37">
        <v>16.302412227748913</v>
      </c>
      <c r="G19" s="38">
        <v>14.672171004974022</v>
      </c>
      <c r="H19" s="37">
        <v>101.07495581204311</v>
      </c>
      <c r="I19" s="37">
        <v>68.470131356545423</v>
      </c>
      <c r="J19" s="37">
        <v>32.604824455497827</v>
      </c>
      <c r="K19" s="126">
        <v>136.50380425262838</v>
      </c>
      <c r="L19" s="37">
        <v>87.632071865884839</v>
      </c>
      <c r="M19" s="37">
        <v>48.871732386743474</v>
      </c>
      <c r="N19" s="40">
        <v>32.019410874073316</v>
      </c>
      <c r="O19" s="37">
        <v>16.852321512670173</v>
      </c>
      <c r="P19" s="38">
        <v>15.167089361403157</v>
      </c>
      <c r="Q19" s="37">
        <v>104.484393378555</v>
      </c>
      <c r="R19" s="37">
        <v>70.779750353214681</v>
      </c>
      <c r="S19" s="39">
        <v>33.704643025340332</v>
      </c>
      <c r="T19" s="37">
        <v>141.0947382818143</v>
      </c>
      <c r="U19" s="37">
        <v>90.579338156226513</v>
      </c>
      <c r="V19" s="37">
        <v>50.515400125587838</v>
      </c>
      <c r="W19" s="40">
        <v>33.096296634005803</v>
      </c>
      <c r="X19" s="37">
        <v>17.419103491582003</v>
      </c>
      <c r="Y19" s="38">
        <v>15.677193142423802</v>
      </c>
      <c r="Z19" s="37">
        <v>107.99844164780855</v>
      </c>
      <c r="AA19" s="37">
        <v>73.160234664644477</v>
      </c>
      <c r="AB19" s="37">
        <v>34.838206983164007</v>
      </c>
    </row>
    <row r="20" spans="1:80" s="5" customFormat="1" ht="12" customHeight="1" x14ac:dyDescent="0.2">
      <c r="A20" s="36" t="s">
        <v>19</v>
      </c>
      <c r="B20" s="37">
        <v>94.553990920943576</v>
      </c>
      <c r="C20" s="37">
        <v>53.797960351571419</v>
      </c>
      <c r="D20" s="38">
        <v>40.756030569372285</v>
      </c>
      <c r="E20" s="37">
        <v>32.604824455497827</v>
      </c>
      <c r="F20" s="37">
        <v>19.562894673298697</v>
      </c>
      <c r="G20" s="38">
        <v>13.04192978219913</v>
      </c>
      <c r="H20" s="37">
        <v>61.949166465445877</v>
      </c>
      <c r="I20" s="37">
        <v>34.235065678272719</v>
      </c>
      <c r="J20" s="37">
        <v>27.714100787173155</v>
      </c>
      <c r="K20" s="126">
        <v>97.743464773486934</v>
      </c>
      <c r="L20" s="37">
        <v>55.612660991811538</v>
      </c>
      <c r="M20" s="37">
        <v>42.130803781675411</v>
      </c>
      <c r="N20" s="40">
        <v>33.704643025340332</v>
      </c>
      <c r="O20" s="37">
        <v>20.222785815204205</v>
      </c>
      <c r="P20" s="38">
        <v>13.481857210136139</v>
      </c>
      <c r="Q20" s="37">
        <v>64.038821748146617</v>
      </c>
      <c r="R20" s="37">
        <v>35.389875176607347</v>
      </c>
      <c r="S20" s="39">
        <v>28.648946571539284</v>
      </c>
      <c r="T20" s="37">
        <v>101.03080025117573</v>
      </c>
      <c r="U20" s="37">
        <v>57.483041522220653</v>
      </c>
      <c r="V20" s="37">
        <v>43.547758728955024</v>
      </c>
      <c r="W20" s="40">
        <v>34.838206983164007</v>
      </c>
      <c r="X20" s="37">
        <v>20.902924189898403</v>
      </c>
      <c r="Y20" s="38">
        <v>13.935282793265602</v>
      </c>
      <c r="Z20" s="37">
        <v>66.192593268011663</v>
      </c>
      <c r="AA20" s="37">
        <v>36.58011733232221</v>
      </c>
      <c r="AB20" s="37">
        <v>29.612475935689403</v>
      </c>
    </row>
    <row r="21" spans="1:80" s="5" customFormat="1" ht="12" customHeight="1" x14ac:dyDescent="0.2">
      <c r="A21" s="36" t="s">
        <v>20</v>
      </c>
      <c r="B21" s="37">
        <v>47.276995460471852</v>
      </c>
      <c r="C21" s="37">
        <v>26.083859564398264</v>
      </c>
      <c r="D21" s="38">
        <v>21.193135896073588</v>
      </c>
      <c r="E21" s="37">
        <v>19.562894673298697</v>
      </c>
      <c r="F21" s="37">
        <v>11.411688559424238</v>
      </c>
      <c r="G21" s="38">
        <v>8.1512061138744549</v>
      </c>
      <c r="H21" s="37">
        <v>27.714100787173155</v>
      </c>
      <c r="I21" s="37">
        <v>14.672171004974022</v>
      </c>
      <c r="J21" s="37">
        <v>13.04192978219913</v>
      </c>
      <c r="K21" s="126">
        <v>48.871732386743474</v>
      </c>
      <c r="L21" s="37">
        <v>26.963714420272268</v>
      </c>
      <c r="M21" s="37">
        <v>21.90801796647122</v>
      </c>
      <c r="N21" s="40">
        <v>20.222785815204205</v>
      </c>
      <c r="O21" s="37">
        <v>11.796625058869122</v>
      </c>
      <c r="P21" s="38">
        <v>8.4261607563350864</v>
      </c>
      <c r="Q21" s="37">
        <v>28.648946571539284</v>
      </c>
      <c r="R21" s="37">
        <v>15.167089361403157</v>
      </c>
      <c r="S21" s="39">
        <v>13.481857210136139</v>
      </c>
      <c r="T21" s="37">
        <v>50.515400125587838</v>
      </c>
      <c r="U21" s="37">
        <v>27.870565586531203</v>
      </c>
      <c r="V21" s="37">
        <v>22.644834539056603</v>
      </c>
      <c r="W21" s="40">
        <v>20.902924189898403</v>
      </c>
      <c r="X21" s="37">
        <v>12.193372444107402</v>
      </c>
      <c r="Y21" s="38">
        <v>8.7095517457910017</v>
      </c>
      <c r="Z21" s="37">
        <v>29.612475935689403</v>
      </c>
      <c r="AA21" s="37">
        <v>15.677193142423802</v>
      </c>
      <c r="AB21" s="37">
        <v>13.935282793265602</v>
      </c>
    </row>
    <row r="22" spans="1:80" s="5" customFormat="1" ht="12" customHeight="1" x14ac:dyDescent="0.2">
      <c r="A22" s="36" t="s">
        <v>53</v>
      </c>
      <c r="B22" s="37">
        <v>73.360855024870077</v>
      </c>
      <c r="C22" s="37">
        <v>45.64675423769696</v>
      </c>
      <c r="D22" s="38">
        <v>27.714100787173155</v>
      </c>
      <c r="E22" s="37">
        <v>35.86530690104761</v>
      </c>
      <c r="F22" s="37">
        <v>22.82337711884848</v>
      </c>
      <c r="G22" s="38">
        <v>13.04192978219913</v>
      </c>
      <c r="H22" s="37">
        <v>37.495548123822502</v>
      </c>
      <c r="I22" s="37">
        <v>22.82337711884848</v>
      </c>
      <c r="J22" s="37">
        <v>14.672171004974022</v>
      </c>
      <c r="K22" s="126">
        <v>75.835446807015728</v>
      </c>
      <c r="L22" s="37">
        <v>47.186500235476458</v>
      </c>
      <c r="M22" s="37">
        <v>28.648946571539284</v>
      </c>
      <c r="N22" s="40">
        <v>37.075107327874363</v>
      </c>
      <c r="O22" s="37">
        <v>23.593250117738236</v>
      </c>
      <c r="P22" s="38">
        <v>13.481857210136139</v>
      </c>
      <c r="Q22" s="37">
        <v>38.760339479141379</v>
      </c>
      <c r="R22" s="37">
        <v>23.593250117738236</v>
      </c>
      <c r="S22" s="39">
        <v>15.167089361403157</v>
      </c>
      <c r="T22" s="37">
        <v>78.385965712119088</v>
      </c>
      <c r="U22" s="37">
        <v>48.773489776429635</v>
      </c>
      <c r="V22" s="37">
        <v>29.612475935689403</v>
      </c>
      <c r="W22" s="40">
        <v>38.322027681480414</v>
      </c>
      <c r="X22" s="37">
        <v>24.386744888214803</v>
      </c>
      <c r="Y22" s="38">
        <v>13.935282793265602</v>
      </c>
      <c r="Z22" s="37">
        <v>40.063938030638617</v>
      </c>
      <c r="AA22" s="37">
        <v>24.386744888214803</v>
      </c>
      <c r="AB22" s="37">
        <v>15.677193142423802</v>
      </c>
    </row>
    <row r="23" spans="1:80" s="5" customFormat="1" ht="12" customHeight="1" x14ac:dyDescent="0.2">
      <c r="A23" s="36" t="s">
        <v>57</v>
      </c>
      <c r="B23" s="37">
        <v>14.672171004974022</v>
      </c>
      <c r="C23" s="37">
        <v>9.7814473366493466</v>
      </c>
      <c r="D23" s="38">
        <v>4.8907236683246733</v>
      </c>
      <c r="E23" s="37">
        <v>1.630241222774891</v>
      </c>
      <c r="F23" s="37">
        <v>1.630241222774891</v>
      </c>
      <c r="G23" s="160">
        <v>0</v>
      </c>
      <c r="H23" s="37">
        <v>13.04192978219913</v>
      </c>
      <c r="I23" s="37">
        <v>8.1512061138744549</v>
      </c>
      <c r="J23" s="37">
        <v>4.8907236683246733</v>
      </c>
      <c r="K23" s="126">
        <v>15.167089361403157</v>
      </c>
      <c r="L23" s="37">
        <v>10.111392907602104</v>
      </c>
      <c r="M23" s="37">
        <v>5.055696453801052</v>
      </c>
      <c r="N23" s="40">
        <v>1.6852321512670174</v>
      </c>
      <c r="O23" s="37">
        <v>1.6852321512670174</v>
      </c>
      <c r="P23" s="160">
        <v>0</v>
      </c>
      <c r="Q23" s="37">
        <v>13.481857210136139</v>
      </c>
      <c r="R23" s="37">
        <v>8.4261607563350864</v>
      </c>
      <c r="S23" s="39">
        <v>5.055696453801052</v>
      </c>
      <c r="T23" s="37">
        <v>15.677193142423802</v>
      </c>
      <c r="U23" s="37">
        <v>10.451462094949202</v>
      </c>
      <c r="V23" s="37">
        <v>5.2257310474746008</v>
      </c>
      <c r="W23" s="40">
        <v>1.7419103491582002</v>
      </c>
      <c r="X23" s="37">
        <v>1.7419103491582002</v>
      </c>
      <c r="Y23" s="160">
        <v>0</v>
      </c>
      <c r="Z23" s="37">
        <v>13.935282793265602</v>
      </c>
      <c r="AA23" s="37">
        <v>8.7095517457910017</v>
      </c>
      <c r="AB23" s="37">
        <v>5.2257310474746008</v>
      </c>
    </row>
    <row r="24" spans="1:80" s="5" customFormat="1" ht="12" customHeight="1" x14ac:dyDescent="0.2">
      <c r="A24" s="36" t="s">
        <v>32</v>
      </c>
      <c r="B24" s="37">
        <v>26.083859564398264</v>
      </c>
      <c r="C24" s="37">
        <v>8.1512061138744549</v>
      </c>
      <c r="D24" s="38">
        <v>17.932653450523805</v>
      </c>
      <c r="E24" s="37">
        <v>11.411688559424238</v>
      </c>
      <c r="F24" s="37">
        <v>4.8907236683246733</v>
      </c>
      <c r="G24" s="38">
        <v>6.5209648910995641</v>
      </c>
      <c r="H24" s="37">
        <v>14.672171004974022</v>
      </c>
      <c r="I24" s="37">
        <v>3.2604824455497821</v>
      </c>
      <c r="J24" s="37">
        <v>11.411688559424238</v>
      </c>
      <c r="K24" s="126">
        <v>26.963714420272268</v>
      </c>
      <c r="L24" s="37">
        <v>8.4261607563350864</v>
      </c>
      <c r="M24" s="37">
        <v>18.537553663937189</v>
      </c>
      <c r="N24" s="40">
        <v>11.796625058869122</v>
      </c>
      <c r="O24" s="37">
        <v>5.055696453801052</v>
      </c>
      <c r="P24" s="38">
        <v>6.7409286050680697</v>
      </c>
      <c r="Q24" s="37">
        <v>15.167089361403157</v>
      </c>
      <c r="R24" s="37">
        <v>3.3704643025340348</v>
      </c>
      <c r="S24" s="39">
        <v>11.796625058869122</v>
      </c>
      <c r="T24" s="37">
        <v>27.870565586531203</v>
      </c>
      <c r="U24" s="37">
        <v>8.7095517457910017</v>
      </c>
      <c r="V24" s="37">
        <v>19.161013840740203</v>
      </c>
      <c r="W24" s="40">
        <v>12.193372444107402</v>
      </c>
      <c r="X24" s="37">
        <v>5.2257310474746008</v>
      </c>
      <c r="Y24" s="38">
        <v>6.9676413966328008</v>
      </c>
      <c r="Z24" s="37">
        <v>15.677193142423802</v>
      </c>
      <c r="AA24" s="37">
        <v>3.4838206983164004</v>
      </c>
      <c r="AB24" s="37">
        <v>12.193372444107402</v>
      </c>
    </row>
    <row r="25" spans="1:80" s="5" customFormat="1" ht="12" customHeight="1" thickBot="1" x14ac:dyDescent="0.25">
      <c r="A25" s="41" t="s">
        <v>58</v>
      </c>
      <c r="B25" s="42">
        <v>8.1512061138744549</v>
      </c>
      <c r="C25" s="42">
        <v>3.2604824455497821</v>
      </c>
      <c r="D25" s="43">
        <v>4.8907236683246733</v>
      </c>
      <c r="E25" s="42">
        <v>3.2604824455497821</v>
      </c>
      <c r="F25" s="156">
        <v>0</v>
      </c>
      <c r="G25" s="43">
        <v>3.2604824455497821</v>
      </c>
      <c r="H25" s="42">
        <v>4.8907236683246733</v>
      </c>
      <c r="I25" s="42">
        <v>3.2604824455497821</v>
      </c>
      <c r="J25" s="42">
        <v>1.630241222774891</v>
      </c>
      <c r="K25" s="123">
        <v>8.4261607563350864</v>
      </c>
      <c r="L25" s="42">
        <v>3.3704643025340348</v>
      </c>
      <c r="M25" s="42">
        <v>5.055696453801052</v>
      </c>
      <c r="N25" s="45">
        <v>3.3704643025340348</v>
      </c>
      <c r="O25" s="156">
        <v>0</v>
      </c>
      <c r="P25" s="43">
        <v>3.3704643025340348</v>
      </c>
      <c r="Q25" s="42">
        <v>5.055696453801052</v>
      </c>
      <c r="R25" s="42">
        <v>3.3704643025340348</v>
      </c>
      <c r="S25" s="44">
        <v>1.6852321512670174</v>
      </c>
      <c r="T25" s="42">
        <v>8.7095517457910017</v>
      </c>
      <c r="U25" s="42">
        <v>3.4838206983164004</v>
      </c>
      <c r="V25" s="42">
        <v>5.2257310474746008</v>
      </c>
      <c r="W25" s="45">
        <v>3.4838206983164004</v>
      </c>
      <c r="X25" s="156">
        <v>0</v>
      </c>
      <c r="Y25" s="43">
        <v>3.4838206983164004</v>
      </c>
      <c r="Z25" s="42">
        <v>5.2257310474746008</v>
      </c>
      <c r="AA25" s="42">
        <v>3.4838206983164004</v>
      </c>
      <c r="AB25" s="42">
        <v>1.7419103491582002</v>
      </c>
    </row>
    <row r="26" spans="1:80" s="5" customFormat="1" ht="12" customHeight="1" x14ac:dyDescent="0.2">
      <c r="A26" s="229" t="s">
        <v>97</v>
      </c>
      <c r="B26" s="201">
        <v>6298.4079081253703</v>
      </c>
      <c r="C26" s="201">
        <v>3208.4004848697818</v>
      </c>
      <c r="D26" s="202">
        <v>3090.0074232558304</v>
      </c>
      <c r="E26" s="201">
        <v>1666.8146234751252</v>
      </c>
      <c r="F26" s="201">
        <v>816.98772636922831</v>
      </c>
      <c r="G26" s="202">
        <v>849.82689710587147</v>
      </c>
      <c r="H26" s="201">
        <v>4631.5932846504365</v>
      </c>
      <c r="I26" s="201">
        <v>2391.4127585005981</v>
      </c>
      <c r="J26" s="201">
        <v>2240.180526149999</v>
      </c>
      <c r="K26" s="205">
        <v>6510.8643802422057</v>
      </c>
      <c r="L26" s="201">
        <v>3316.625524927003</v>
      </c>
      <c r="M26" s="202">
        <v>3194.2388553155115</v>
      </c>
      <c r="N26" s="201">
        <v>1723.0392376540847</v>
      </c>
      <c r="O26" s="201">
        <v>844.54617171589575</v>
      </c>
      <c r="P26" s="202">
        <v>878.4930659381763</v>
      </c>
      <c r="Q26" s="201">
        <v>4787.8251425883291</v>
      </c>
      <c r="R26" s="201">
        <v>2472.0793532110774</v>
      </c>
      <c r="S26" s="204">
        <v>2315.7457893772985</v>
      </c>
      <c r="T26" s="201">
        <v>6729.8395876105778</v>
      </c>
      <c r="U26" s="201">
        <v>3428.171199919741</v>
      </c>
      <c r="V26" s="202">
        <v>3301.6683876899965</v>
      </c>
      <c r="W26" s="201">
        <v>1780.9889740227666</v>
      </c>
      <c r="X26" s="201">
        <v>872.95018419141115</v>
      </c>
      <c r="Y26" s="202">
        <v>908.0387898313578</v>
      </c>
      <c r="Z26" s="201">
        <v>4948.850613587244</v>
      </c>
      <c r="AA26" s="201">
        <v>2555.2210157283321</v>
      </c>
      <c r="AB26" s="201">
        <v>2393.6295978586413</v>
      </c>
    </row>
    <row r="27" spans="1:80" s="5" customFormat="1" ht="12" customHeight="1" x14ac:dyDescent="0.2">
      <c r="A27" s="180" t="s">
        <v>22</v>
      </c>
      <c r="B27" s="47">
        <v>255.49136180286328</v>
      </c>
      <c r="C27" s="47">
        <v>146.97621351024929</v>
      </c>
      <c r="D27" s="48">
        <v>108.51514829261396</v>
      </c>
      <c r="E27" s="47">
        <v>108.51514829261396</v>
      </c>
      <c r="F27" s="47">
        <v>63.186035714686604</v>
      </c>
      <c r="G27" s="48">
        <v>45.32911257792734</v>
      </c>
      <c r="H27" s="47">
        <v>146.97621351024929</v>
      </c>
      <c r="I27" s="47">
        <v>83.79017779556267</v>
      </c>
      <c r="J27" s="47">
        <v>63.186035714686604</v>
      </c>
      <c r="K27" s="127">
        <v>264.10953867814919</v>
      </c>
      <c r="L27" s="47">
        <v>151.93398192775251</v>
      </c>
      <c r="M27" s="48">
        <v>112.17555675039672</v>
      </c>
      <c r="N27" s="47">
        <v>112.17555675039672</v>
      </c>
      <c r="O27" s="47">
        <v>65.317412791370273</v>
      </c>
      <c r="P27" s="48">
        <v>46.858143959026513</v>
      </c>
      <c r="Q27" s="47">
        <v>151.93398192775251</v>
      </c>
      <c r="R27" s="47">
        <v>86.616569136382296</v>
      </c>
      <c r="S27" s="49">
        <v>65.317412791370273</v>
      </c>
      <c r="T27" s="47">
        <v>272.99214436953491</v>
      </c>
      <c r="U27" s="47">
        <v>157.0438679975282</v>
      </c>
      <c r="V27" s="48">
        <v>115.94827637200673</v>
      </c>
      <c r="W27" s="47">
        <v>115.94827637200673</v>
      </c>
      <c r="X27" s="47">
        <v>67.514186241927845</v>
      </c>
      <c r="Y27" s="48">
        <v>48.434090130078658</v>
      </c>
      <c r="Z27" s="47">
        <v>157.0438679975282</v>
      </c>
      <c r="AA27" s="47">
        <v>89.529681755600066</v>
      </c>
      <c r="AB27" s="47">
        <v>67.514186241927845</v>
      </c>
    </row>
    <row r="28" spans="1:80" s="5" customFormat="1" ht="12" customHeight="1" thickBot="1" x14ac:dyDescent="0.25">
      <c r="A28" s="196" t="s">
        <v>21</v>
      </c>
      <c r="B28" s="52">
        <v>5224.8914461636341</v>
      </c>
      <c r="C28" s="52">
        <v>2696.8170051794236</v>
      </c>
      <c r="D28" s="53">
        <v>2528.0744409841072</v>
      </c>
      <c r="E28" s="52">
        <v>1450.2179709095869</v>
      </c>
      <c r="F28" s="52">
        <v>738.38466226426408</v>
      </c>
      <c r="G28" s="53">
        <v>711.83330864532536</v>
      </c>
      <c r="H28" s="52">
        <v>3774.6734752539828</v>
      </c>
      <c r="I28" s="52">
        <v>1958.432342915115</v>
      </c>
      <c r="J28" s="52">
        <v>1816.2411323387494</v>
      </c>
      <c r="K28" s="128">
        <v>5401.1363035999684</v>
      </c>
      <c r="L28" s="52">
        <v>2787.7854269173963</v>
      </c>
      <c r="M28" s="53">
        <v>2613.3508766824862</v>
      </c>
      <c r="N28" s="52">
        <v>1499.1363957550461</v>
      </c>
      <c r="O28" s="52">
        <v>763.29168681682506</v>
      </c>
      <c r="P28" s="53">
        <v>735.84470893821856</v>
      </c>
      <c r="Q28" s="52">
        <v>3901.9999078448209</v>
      </c>
      <c r="R28" s="52">
        <v>2024.4937401006114</v>
      </c>
      <c r="S28" s="54">
        <v>1877.5061677442941</v>
      </c>
      <c r="T28" s="52">
        <v>5582.7888266799027</v>
      </c>
      <c r="U28" s="52">
        <v>2881.5450041877039</v>
      </c>
      <c r="V28" s="53">
        <v>2701.243822492032</v>
      </c>
      <c r="W28" s="52">
        <v>1549.5557692761238</v>
      </c>
      <c r="X28" s="52">
        <v>788.96292578622524</v>
      </c>
      <c r="Y28" s="53">
        <v>760.592843489899</v>
      </c>
      <c r="Z28" s="52">
        <v>4033.2330574036323</v>
      </c>
      <c r="AA28" s="52">
        <v>2092.5820784014331</v>
      </c>
      <c r="AB28" s="52">
        <v>1940.6509790020946</v>
      </c>
    </row>
    <row r="29" spans="1:80" customFormat="1" ht="15" x14ac:dyDescent="0.25">
      <c r="A29" s="60" t="s">
        <v>121</v>
      </c>
      <c r="B29" s="60"/>
      <c r="C29" s="5"/>
      <c r="D29" s="5"/>
      <c r="E29" s="5"/>
      <c r="F29" s="5"/>
      <c r="G29" s="5"/>
      <c r="H29" s="5"/>
      <c r="I29" s="5"/>
      <c r="J29" s="5"/>
      <c r="K29" s="56"/>
      <c r="L29" s="56"/>
      <c r="M29" s="56"/>
      <c r="N29" s="56"/>
      <c r="O29" s="56"/>
      <c r="P29" s="56"/>
      <c r="Q29" s="56"/>
      <c r="R29" s="56"/>
      <c r="S29" s="56"/>
      <c r="T29" s="56"/>
      <c r="U29" s="56"/>
      <c r="V29" s="56"/>
      <c r="W29" s="56"/>
      <c r="X29" s="56"/>
      <c r="Y29" s="56"/>
      <c r="Z29" s="56"/>
      <c r="AA29" s="56"/>
      <c r="AB29" s="56"/>
      <c r="AC29" s="234"/>
      <c r="AD29" s="234"/>
      <c r="AE29" s="234"/>
      <c r="AF29" s="234"/>
      <c r="AG29" s="234"/>
      <c r="AH29" s="234"/>
      <c r="AI29" s="234"/>
      <c r="AJ29" s="234"/>
      <c r="AK29" s="234"/>
      <c r="AL29" s="234"/>
      <c r="AM29" s="234"/>
      <c r="AN29" s="234"/>
      <c r="AO29" s="234"/>
      <c r="AP29" s="234"/>
      <c r="AQ29" s="234"/>
      <c r="AR29" s="234"/>
      <c r="AS29" s="234"/>
      <c r="AT29" s="234"/>
      <c r="AU29" s="234"/>
      <c r="AV29" s="234"/>
      <c r="AW29" s="234"/>
      <c r="AX29" s="234"/>
      <c r="AY29" s="234"/>
      <c r="AZ29" s="234"/>
      <c r="BA29" s="234"/>
      <c r="BB29" s="234"/>
      <c r="BC29" s="234"/>
      <c r="BD29" s="234"/>
      <c r="BE29" s="234"/>
      <c r="BF29" s="234"/>
      <c r="BG29" s="234"/>
      <c r="BH29" s="234"/>
      <c r="BI29" s="234"/>
      <c r="BJ29" s="234"/>
      <c r="BK29" s="234"/>
      <c r="BL29" s="234"/>
      <c r="BM29" s="234"/>
      <c r="BN29" s="234"/>
      <c r="BO29" s="234"/>
      <c r="BP29" s="234"/>
      <c r="BQ29" s="234"/>
      <c r="BR29" s="234"/>
      <c r="BS29" s="234"/>
      <c r="BT29" s="234"/>
      <c r="BU29" s="234"/>
      <c r="BV29" s="234"/>
      <c r="BW29" s="234"/>
      <c r="BX29" s="234"/>
      <c r="BY29" s="234"/>
      <c r="BZ29" s="234"/>
      <c r="CA29" s="234"/>
      <c r="CB29" s="234"/>
    </row>
    <row r="34" s="1" customFormat="1" ht="11.25" customHeight="1" x14ac:dyDescent="0.2"/>
  </sheetData>
  <mergeCells count="4">
    <mergeCell ref="A2:A4"/>
    <mergeCell ref="B2:J2"/>
    <mergeCell ref="K2:S2"/>
    <mergeCell ref="T2:AB2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B36"/>
  <sheetViews>
    <sheetView zoomScaleNormal="100" workbookViewId="0">
      <pane xSplit="1" topLeftCell="B1" activePane="topRight" state="frozen"/>
      <selection pane="topRight" activeCell="A26" sqref="A26:A28"/>
    </sheetView>
  </sheetViews>
  <sheetFormatPr defaultColWidth="9.140625" defaultRowHeight="12" x14ac:dyDescent="0.2"/>
  <cols>
    <col min="1" max="1" width="13.7109375" style="1" customWidth="1"/>
    <col min="2" max="18" width="9.140625" style="1"/>
    <col min="19" max="19" width="12" style="1" customWidth="1"/>
    <col min="20" max="20" width="8.7109375" style="1" customWidth="1"/>
    <col min="21" max="21" width="9.140625" style="1"/>
    <col min="22" max="22" width="7.140625" style="1" customWidth="1"/>
    <col min="23" max="31" width="9.140625" style="1"/>
    <col min="32" max="32" width="0.85546875" style="1" customWidth="1"/>
    <col min="33" max="16384" width="9.140625" style="1"/>
  </cols>
  <sheetData>
    <row r="1" spans="1:28" s="5" customFormat="1" ht="30" customHeight="1" thickBot="1" x14ac:dyDescent="0.25">
      <c r="A1" s="61" t="s">
        <v>114</v>
      </c>
      <c r="B1" s="59"/>
      <c r="C1" s="59"/>
      <c r="D1" s="59"/>
      <c r="E1" s="59"/>
      <c r="F1" s="59"/>
      <c r="G1" s="59"/>
    </row>
    <row r="2" spans="1:28" s="5" customFormat="1" ht="13.5" customHeight="1" x14ac:dyDescent="0.2">
      <c r="A2" s="246" t="s">
        <v>36</v>
      </c>
      <c r="B2" s="236" t="s">
        <v>59</v>
      </c>
      <c r="C2" s="236"/>
      <c r="D2" s="236"/>
      <c r="E2" s="236"/>
      <c r="F2" s="236"/>
      <c r="G2" s="236"/>
      <c r="H2" s="236"/>
      <c r="I2" s="236"/>
      <c r="J2" s="236"/>
      <c r="K2" s="235" t="s">
        <v>60</v>
      </c>
      <c r="L2" s="236"/>
      <c r="M2" s="236"/>
      <c r="N2" s="236"/>
      <c r="O2" s="236"/>
      <c r="P2" s="236"/>
      <c r="Q2" s="236"/>
      <c r="R2" s="236"/>
      <c r="S2" s="237"/>
      <c r="T2" s="236" t="s">
        <v>61</v>
      </c>
      <c r="U2" s="236"/>
      <c r="V2" s="236"/>
      <c r="W2" s="236"/>
      <c r="X2" s="236"/>
      <c r="Y2" s="236"/>
      <c r="Z2" s="236"/>
      <c r="AA2" s="236"/>
      <c r="AB2" s="236"/>
    </row>
    <row r="3" spans="1:28" s="5" customFormat="1" ht="17.25" customHeight="1" thickBot="1" x14ac:dyDescent="0.25">
      <c r="A3" s="250"/>
      <c r="B3" s="11"/>
      <c r="C3" s="11" t="s">
        <v>0</v>
      </c>
      <c r="D3" s="12"/>
      <c r="E3" s="13"/>
      <c r="F3" s="13" t="s">
        <v>1</v>
      </c>
      <c r="G3" s="14"/>
      <c r="H3" s="11"/>
      <c r="I3" s="11" t="s">
        <v>2</v>
      </c>
      <c r="J3" s="11"/>
      <c r="K3" s="88"/>
      <c r="L3" s="11" t="s">
        <v>0</v>
      </c>
      <c r="M3" s="12"/>
      <c r="N3" s="13"/>
      <c r="O3" s="13" t="s">
        <v>1</v>
      </c>
      <c r="P3" s="14"/>
      <c r="Q3" s="11"/>
      <c r="R3" s="11" t="s">
        <v>2</v>
      </c>
      <c r="S3" s="15"/>
      <c r="T3" s="11"/>
      <c r="U3" s="11" t="s">
        <v>0</v>
      </c>
      <c r="V3" s="12"/>
      <c r="W3" s="13"/>
      <c r="X3" s="13" t="s">
        <v>1</v>
      </c>
      <c r="Y3" s="14"/>
      <c r="Z3" s="11"/>
      <c r="AA3" s="11" t="s">
        <v>2</v>
      </c>
      <c r="AB3" s="11"/>
    </row>
    <row r="4" spans="1:28" s="5" customFormat="1" ht="12.75" customHeight="1" thickBot="1" x14ac:dyDescent="0.25">
      <c r="A4" s="251"/>
      <c r="B4" s="9" t="s">
        <v>0</v>
      </c>
      <c r="C4" s="10" t="s">
        <v>3</v>
      </c>
      <c r="D4" s="16" t="s">
        <v>4</v>
      </c>
      <c r="E4" s="17" t="s">
        <v>0</v>
      </c>
      <c r="F4" s="10" t="s">
        <v>3</v>
      </c>
      <c r="G4" s="16" t="s">
        <v>4</v>
      </c>
      <c r="H4" s="17" t="s">
        <v>0</v>
      </c>
      <c r="I4" s="10" t="s">
        <v>3</v>
      </c>
      <c r="J4" s="10" t="s">
        <v>4</v>
      </c>
      <c r="K4" s="124" t="s">
        <v>0</v>
      </c>
      <c r="L4" s="10" t="s">
        <v>3</v>
      </c>
      <c r="M4" s="10" t="s">
        <v>4</v>
      </c>
      <c r="N4" s="19" t="s">
        <v>0</v>
      </c>
      <c r="O4" s="20" t="s">
        <v>3</v>
      </c>
      <c r="P4" s="21" t="s">
        <v>4</v>
      </c>
      <c r="Q4" s="17" t="s">
        <v>0</v>
      </c>
      <c r="R4" s="10" t="s">
        <v>3</v>
      </c>
      <c r="S4" s="18" t="s">
        <v>4</v>
      </c>
      <c r="T4" s="9" t="s">
        <v>0</v>
      </c>
      <c r="U4" s="10" t="s">
        <v>3</v>
      </c>
      <c r="V4" s="10" t="s">
        <v>4</v>
      </c>
      <c r="W4" s="19" t="s">
        <v>0</v>
      </c>
      <c r="X4" s="20" t="s">
        <v>3</v>
      </c>
      <c r="Y4" s="21" t="s">
        <v>4</v>
      </c>
      <c r="Z4" s="17" t="s">
        <v>0</v>
      </c>
      <c r="AA4" s="10" t="s">
        <v>3</v>
      </c>
      <c r="AB4" s="10" t="s">
        <v>4</v>
      </c>
    </row>
    <row r="5" spans="1:28" s="5" customFormat="1" ht="16.5" customHeight="1" thickBot="1" x14ac:dyDescent="0.25">
      <c r="A5" s="22" t="s">
        <v>62</v>
      </c>
      <c r="B5" s="30">
        <v>2805.4002116554188</v>
      </c>
      <c r="C5" s="23">
        <v>1453.6529243733285</v>
      </c>
      <c r="D5" s="24">
        <v>1351.7472872821093</v>
      </c>
      <c r="E5" s="27">
        <v>1275.2370140367505</v>
      </c>
      <c r="F5" s="28">
        <v>641.09191124270365</v>
      </c>
      <c r="G5" s="29">
        <v>634.1451027940343</v>
      </c>
      <c r="H5" s="23">
        <v>1530.1631976186852</v>
      </c>
      <c r="I5" s="23">
        <v>812.5610131306089</v>
      </c>
      <c r="J5" s="23">
        <v>717.60218448806086</v>
      </c>
      <c r="K5" s="133">
        <v>2900.0313375745377</v>
      </c>
      <c r="L5" s="28">
        <v>1502.6872162927211</v>
      </c>
      <c r="M5" s="29">
        <v>1397.3441212818195</v>
      </c>
      <c r="N5" s="27">
        <v>1318.2530207906755</v>
      </c>
      <c r="O5" s="28">
        <v>662.71707870597288</v>
      </c>
      <c r="P5" s="29">
        <v>655.53594208469053</v>
      </c>
      <c r="Q5" s="28">
        <v>1581.7783167838693</v>
      </c>
      <c r="R5" s="28">
        <v>839.97013758674382</v>
      </c>
      <c r="S5" s="132">
        <v>741.80817919711853</v>
      </c>
      <c r="T5" s="23">
        <v>2997.5660006285716</v>
      </c>
      <c r="U5" s="23">
        <v>1553.2260120007927</v>
      </c>
      <c r="V5" s="132">
        <v>1444.3399886277548</v>
      </c>
      <c r="W5" s="23">
        <v>1362.5888741784731</v>
      </c>
      <c r="X5" s="23">
        <v>685.00576439507142</v>
      </c>
      <c r="Y5" s="132">
        <v>677.58310978340467</v>
      </c>
      <c r="Z5" s="23">
        <v>1634.9771264500723</v>
      </c>
      <c r="AA5" s="23">
        <v>868.22024760572037</v>
      </c>
      <c r="AB5" s="23">
        <v>766.75687884435183</v>
      </c>
    </row>
    <row r="6" spans="1:28" s="5" customFormat="1" ht="12" customHeight="1" x14ac:dyDescent="0.2">
      <c r="A6" s="31" t="s">
        <v>5</v>
      </c>
      <c r="B6" s="32">
        <v>496.41798295904687</v>
      </c>
      <c r="C6" s="32">
        <v>241.4273250456572</v>
      </c>
      <c r="D6" s="33">
        <v>254.99065791339069</v>
      </c>
      <c r="E6" s="32">
        <v>265.84132420757749</v>
      </c>
      <c r="F6" s="32">
        <v>123.42632909637577</v>
      </c>
      <c r="G6" s="33">
        <v>142.4149951112027</v>
      </c>
      <c r="H6" s="32">
        <v>230.5766587514704</v>
      </c>
      <c r="I6" s="32">
        <v>118.00099594928231</v>
      </c>
      <c r="J6" s="32">
        <v>112.57566280218886</v>
      </c>
      <c r="K6" s="125">
        <v>513.16304216975777</v>
      </c>
      <c r="L6" s="32">
        <v>249.57109701152169</v>
      </c>
      <c r="M6" s="32">
        <v>263.5919451582364</v>
      </c>
      <c r="N6" s="35">
        <v>274.80862367560815</v>
      </c>
      <c r="O6" s="32">
        <v>127.58971813510392</v>
      </c>
      <c r="P6" s="33">
        <v>147.21890554050449</v>
      </c>
      <c r="Q6" s="32">
        <v>238.35441849414994</v>
      </c>
      <c r="R6" s="32">
        <v>121.98137887641805</v>
      </c>
      <c r="S6" s="34">
        <v>116.37303961773218</v>
      </c>
      <c r="T6" s="32">
        <v>530.42188477649734</v>
      </c>
      <c r="U6" s="32">
        <v>257.9647417765504</v>
      </c>
      <c r="V6" s="32">
        <v>272.45714299995183</v>
      </c>
      <c r="W6" s="35">
        <v>284.05106397867297</v>
      </c>
      <c r="X6" s="32">
        <v>131.88085113295551</v>
      </c>
      <c r="Y6" s="33">
        <v>152.17021284571791</v>
      </c>
      <c r="Z6" s="32">
        <v>246.37082079782905</v>
      </c>
      <c r="AA6" s="32">
        <v>126.08389064359483</v>
      </c>
      <c r="AB6" s="32">
        <v>120.28693015423414</v>
      </c>
    </row>
    <row r="7" spans="1:28" s="5" customFormat="1" ht="12" customHeight="1" x14ac:dyDescent="0.2">
      <c r="A7" s="31" t="s">
        <v>6</v>
      </c>
      <c r="B7" s="32">
        <v>417.5146996416662</v>
      </c>
      <c r="C7" s="32">
        <v>212.00902193642065</v>
      </c>
      <c r="D7" s="33">
        <v>205.50567770524211</v>
      </c>
      <c r="E7" s="32">
        <v>208.10701539771352</v>
      </c>
      <c r="F7" s="32">
        <v>85.844143851556879</v>
      </c>
      <c r="G7" s="33">
        <v>122.26287154615673</v>
      </c>
      <c r="H7" s="32">
        <v>209.40768424394923</v>
      </c>
      <c r="I7" s="32">
        <v>126.16487808486386</v>
      </c>
      <c r="J7" s="32">
        <v>83.242806159085461</v>
      </c>
      <c r="K7" s="125">
        <v>431.59821113165179</v>
      </c>
      <c r="L7" s="32">
        <v>219.16046235034085</v>
      </c>
      <c r="M7" s="32">
        <v>212.43774878131202</v>
      </c>
      <c r="N7" s="35">
        <v>215.12683420892355</v>
      </c>
      <c r="O7" s="32">
        <v>88.739819111181191</v>
      </c>
      <c r="P7" s="33">
        <v>126.38701509774302</v>
      </c>
      <c r="Q7" s="32">
        <v>216.47137692272932</v>
      </c>
      <c r="R7" s="32">
        <v>130.42064323916034</v>
      </c>
      <c r="S7" s="34">
        <v>86.050733683569632</v>
      </c>
      <c r="T7" s="32">
        <v>446.11384258433424</v>
      </c>
      <c r="U7" s="32">
        <v>226.53132816587689</v>
      </c>
      <c r="V7" s="32">
        <v>219.58251441845735</v>
      </c>
      <c r="W7" s="35">
        <v>222.36203991742516</v>
      </c>
      <c r="X7" s="32">
        <v>91.724341465937897</v>
      </c>
      <c r="Y7" s="33">
        <v>130.6376984514873</v>
      </c>
      <c r="Z7" s="32">
        <v>223.75180266690907</v>
      </c>
      <c r="AA7" s="32">
        <v>134.80698669993902</v>
      </c>
      <c r="AB7" s="32">
        <v>88.944815966970083</v>
      </c>
    </row>
    <row r="8" spans="1:28" s="5" customFormat="1" ht="12" customHeight="1" x14ac:dyDescent="0.2">
      <c r="A8" s="31" t="s">
        <v>7</v>
      </c>
      <c r="B8" s="32">
        <v>388.89998502447997</v>
      </c>
      <c r="C8" s="32">
        <v>205.50567770524211</v>
      </c>
      <c r="D8" s="33">
        <v>183.39430731923505</v>
      </c>
      <c r="E8" s="32">
        <v>166.48561231817084</v>
      </c>
      <c r="F8" s="32">
        <v>93.648156928971133</v>
      </c>
      <c r="G8" s="33">
        <v>72.837455389199789</v>
      </c>
      <c r="H8" s="32">
        <v>222.41437270630632</v>
      </c>
      <c r="I8" s="32">
        <v>111.85752077627106</v>
      </c>
      <c r="J8" s="32">
        <v>110.55685193003535</v>
      </c>
      <c r="K8" s="125">
        <v>402.01827142792496</v>
      </c>
      <c r="L8" s="32">
        <v>212.43774878131202</v>
      </c>
      <c r="M8" s="32">
        <v>189.58052264661401</v>
      </c>
      <c r="N8" s="35">
        <v>172.10146736713907</v>
      </c>
      <c r="O8" s="32">
        <v>96.807075394015868</v>
      </c>
      <c r="P8" s="33">
        <v>75.294391973123396</v>
      </c>
      <c r="Q8" s="32">
        <v>229.91680406078697</v>
      </c>
      <c r="R8" s="32">
        <v>115.63067338729678</v>
      </c>
      <c r="S8" s="34">
        <v>114.286130673491</v>
      </c>
      <c r="T8" s="32">
        <v>415.53906209568828</v>
      </c>
      <c r="U8" s="32">
        <v>219.58251441845735</v>
      </c>
      <c r="V8" s="32">
        <v>195.95654767723093</v>
      </c>
      <c r="W8" s="35">
        <v>177.88963193394014</v>
      </c>
      <c r="X8" s="32">
        <v>100.06291796284134</v>
      </c>
      <c r="Y8" s="33">
        <v>77.826713971098826</v>
      </c>
      <c r="Z8" s="32">
        <v>237.64943016174814</v>
      </c>
      <c r="AA8" s="32">
        <v>119.51959645561604</v>
      </c>
      <c r="AB8" s="32">
        <v>118.12983370613213</v>
      </c>
    </row>
    <row r="9" spans="1:28" s="5" customFormat="1" ht="12" customHeight="1" x14ac:dyDescent="0.2">
      <c r="A9" s="31" t="s">
        <v>8</v>
      </c>
      <c r="B9" s="32">
        <v>277.46911335579733</v>
      </c>
      <c r="C9" s="32">
        <v>142.85538509407408</v>
      </c>
      <c r="D9" s="33">
        <v>134.61372826172365</v>
      </c>
      <c r="E9" s="32">
        <v>108.51514829261396</v>
      </c>
      <c r="F9" s="32">
        <v>61.812426242628199</v>
      </c>
      <c r="G9" s="33">
        <v>46.702722049985745</v>
      </c>
      <c r="H9" s="32">
        <v>168.95396506318377</v>
      </c>
      <c r="I9" s="32">
        <v>81.04295885144586</v>
      </c>
      <c r="J9" s="32">
        <v>87.911006211737885</v>
      </c>
      <c r="K9" s="125">
        <v>286.82863877949535</v>
      </c>
      <c r="L9" s="32">
        <v>147.67415065875011</v>
      </c>
      <c r="M9" s="32">
        <v>139.1544881207453</v>
      </c>
      <c r="N9" s="35">
        <v>112.17555675039672</v>
      </c>
      <c r="O9" s="32">
        <v>63.897469035036131</v>
      </c>
      <c r="P9" s="33">
        <v>48.278087715360648</v>
      </c>
      <c r="Q9" s="32">
        <v>174.65308202909867</v>
      </c>
      <c r="R9" s="32">
        <v>83.776681623714026</v>
      </c>
      <c r="S9" s="34">
        <v>90.8764004053847</v>
      </c>
      <c r="T9" s="32">
        <v>296.47533958411816</v>
      </c>
      <c r="U9" s="32">
        <v>152.64076889479375</v>
      </c>
      <c r="V9" s="32">
        <v>143.83457068932486</v>
      </c>
      <c r="W9" s="35">
        <v>115.94827637200673</v>
      </c>
      <c r="X9" s="32">
        <v>66.046486541016364</v>
      </c>
      <c r="Y9" s="33">
        <v>49.901789830990133</v>
      </c>
      <c r="Z9" s="32">
        <v>180.5270632121119</v>
      </c>
      <c r="AA9" s="32">
        <v>86.594282353777103</v>
      </c>
      <c r="AB9" s="32">
        <v>93.93278085833451</v>
      </c>
    </row>
    <row r="10" spans="1:28" s="5" customFormat="1" ht="12" customHeight="1" x14ac:dyDescent="0.2">
      <c r="A10" s="31" t="s">
        <v>9</v>
      </c>
      <c r="B10" s="32">
        <v>205.87539186675892</v>
      </c>
      <c r="C10" s="32">
        <v>91.829311480137235</v>
      </c>
      <c r="D10" s="33">
        <v>114.04608038662212</v>
      </c>
      <c r="E10" s="32">
        <v>117.00831624082011</v>
      </c>
      <c r="F10" s="32">
        <v>50.35800952136551</v>
      </c>
      <c r="G10" s="33">
        <v>66.650306719454363</v>
      </c>
      <c r="H10" s="32">
        <v>88.86707562593925</v>
      </c>
      <c r="I10" s="32">
        <v>41.471301958771598</v>
      </c>
      <c r="J10" s="32">
        <v>47.395773667167539</v>
      </c>
      <c r="K10" s="125">
        <v>212.81993405737052</v>
      </c>
      <c r="L10" s="32">
        <v>94.926877061560617</v>
      </c>
      <c r="M10" s="32">
        <v>117.89305699580915</v>
      </c>
      <c r="N10" s="35">
        <v>120.95521432037562</v>
      </c>
      <c r="O10" s="32">
        <v>52.056674517630022</v>
      </c>
      <c r="P10" s="33">
        <v>68.898539802745617</v>
      </c>
      <c r="Q10" s="32">
        <v>91.864719736994147</v>
      </c>
      <c r="R10" s="32">
        <v>42.87020254393061</v>
      </c>
      <c r="S10" s="34">
        <v>48.994517193063551</v>
      </c>
      <c r="T10" s="32">
        <v>219.97755345634843</v>
      </c>
      <c r="U10" s="32">
        <v>98.119484275493903</v>
      </c>
      <c r="V10" s="32">
        <v>121.85806918085534</v>
      </c>
      <c r="W10" s="35">
        <v>125.02321383490353</v>
      </c>
      <c r="X10" s="32">
        <v>53.807459118819231</v>
      </c>
      <c r="Y10" s="33">
        <v>71.215754716084277</v>
      </c>
      <c r="Z10" s="32">
        <v>94.954339621445712</v>
      </c>
      <c r="AA10" s="32">
        <v>44.312025156674657</v>
      </c>
      <c r="AB10" s="32">
        <v>50.64231446477104</v>
      </c>
    </row>
    <row r="11" spans="1:28" s="5" customFormat="1" ht="12" customHeight="1" x14ac:dyDescent="0.2">
      <c r="A11" s="36" t="s">
        <v>10</v>
      </c>
      <c r="B11" s="32">
        <v>168.84744368928446</v>
      </c>
      <c r="C11" s="32">
        <v>87.385957698840258</v>
      </c>
      <c r="D11" s="33">
        <v>81.461485990444288</v>
      </c>
      <c r="E11" s="37">
        <v>81.461485990444288</v>
      </c>
      <c r="F11" s="37">
        <v>41.471301958771598</v>
      </c>
      <c r="G11" s="38">
        <v>39.990184031672612</v>
      </c>
      <c r="H11" s="37">
        <v>87.385957698840258</v>
      </c>
      <c r="I11" s="37">
        <v>45.914655740068554</v>
      </c>
      <c r="J11" s="37">
        <v>41.471301958771598</v>
      </c>
      <c r="K11" s="125">
        <v>174.54296750028928</v>
      </c>
      <c r="L11" s="32">
        <v>90.333641074710911</v>
      </c>
      <c r="M11" s="32">
        <v>84.20932642557797</v>
      </c>
      <c r="N11" s="40">
        <v>84.20932642557797</v>
      </c>
      <c r="O11" s="37">
        <v>42.87020254393061</v>
      </c>
      <c r="P11" s="38">
        <v>41.339123881647375</v>
      </c>
      <c r="Q11" s="37">
        <v>90.333641074710911</v>
      </c>
      <c r="R11" s="37">
        <v>47.463438530780316</v>
      </c>
      <c r="S11" s="39">
        <v>42.87020254393061</v>
      </c>
      <c r="T11" s="32">
        <v>180.41324528074639</v>
      </c>
      <c r="U11" s="32">
        <v>93.371767294421616</v>
      </c>
      <c r="V11" s="32">
        <v>87.041477986325233</v>
      </c>
      <c r="W11" s="40">
        <v>87.041477986325233</v>
      </c>
      <c r="X11" s="37">
        <v>44.312025156674657</v>
      </c>
      <c r="Y11" s="38">
        <v>42.729452829650562</v>
      </c>
      <c r="Z11" s="37">
        <v>93.371767294421616</v>
      </c>
      <c r="AA11" s="37">
        <v>49.059742137746944</v>
      </c>
      <c r="AB11" s="37">
        <v>44.312025156674657</v>
      </c>
    </row>
    <row r="12" spans="1:28" s="5" customFormat="1" ht="12" customHeight="1" x14ac:dyDescent="0.2">
      <c r="A12" s="36" t="s">
        <v>11</v>
      </c>
      <c r="B12" s="37">
        <v>107.86583769551186</v>
      </c>
      <c r="C12" s="37">
        <v>59.925465386395501</v>
      </c>
      <c r="D12" s="38">
        <v>47.940372309116412</v>
      </c>
      <c r="E12" s="32">
        <v>41.947825770476868</v>
      </c>
      <c r="F12" s="32">
        <v>19.475776250578548</v>
      </c>
      <c r="G12" s="33">
        <v>22.472049519898327</v>
      </c>
      <c r="H12" s="32">
        <v>65.918011925035046</v>
      </c>
      <c r="I12" s="32">
        <v>40.449689135816982</v>
      </c>
      <c r="J12" s="32">
        <v>25.468322789218107</v>
      </c>
      <c r="K12" s="126">
        <v>111.50434375497747</v>
      </c>
      <c r="L12" s="37">
        <v>61.946857641654269</v>
      </c>
      <c r="M12" s="37">
        <v>49.557486113323414</v>
      </c>
      <c r="N12" s="35">
        <v>43.362800349157986</v>
      </c>
      <c r="O12" s="32">
        <v>20.132728733537633</v>
      </c>
      <c r="P12" s="33">
        <v>23.230071615620346</v>
      </c>
      <c r="Q12" s="32">
        <v>68.141543405819675</v>
      </c>
      <c r="R12" s="32">
        <v>41.814128908116629</v>
      </c>
      <c r="S12" s="34">
        <v>26.32741449770306</v>
      </c>
      <c r="T12" s="37">
        <v>115.25448895385678</v>
      </c>
      <c r="U12" s="37">
        <v>64.030271641031575</v>
      </c>
      <c r="V12" s="37">
        <v>51.224217312825274</v>
      </c>
      <c r="W12" s="35">
        <v>44.821190148722124</v>
      </c>
      <c r="X12" s="32">
        <v>20.809838283335285</v>
      </c>
      <c r="Y12" s="33">
        <v>24.011351865386867</v>
      </c>
      <c r="Z12" s="32">
        <v>70.433298805134726</v>
      </c>
      <c r="AA12" s="32">
        <v>43.220433357696336</v>
      </c>
      <c r="AB12" s="32">
        <v>27.21286544743845</v>
      </c>
    </row>
    <row r="13" spans="1:28" s="5" customFormat="1" ht="12" customHeight="1" x14ac:dyDescent="0.2">
      <c r="A13" s="36" t="s">
        <v>12</v>
      </c>
      <c r="B13" s="37">
        <v>140.82484365802935</v>
      </c>
      <c r="C13" s="37">
        <v>77.903105002314135</v>
      </c>
      <c r="D13" s="38">
        <v>62.921738655715274</v>
      </c>
      <c r="E13" s="37">
        <v>59.925465386395501</v>
      </c>
      <c r="F13" s="37">
        <v>32.959005962517551</v>
      </c>
      <c r="G13" s="38">
        <v>26.966459423877996</v>
      </c>
      <c r="H13" s="37">
        <v>80.899378271633907</v>
      </c>
      <c r="I13" s="37">
        <v>44.94409903979664</v>
      </c>
      <c r="J13" s="37">
        <v>35.955279231837324</v>
      </c>
      <c r="K13" s="126">
        <v>145.57511545788734</v>
      </c>
      <c r="L13" s="37">
        <v>80.530914934150474</v>
      </c>
      <c r="M13" s="37">
        <v>65.044200523736976</v>
      </c>
      <c r="N13" s="40">
        <v>61.946857641654269</v>
      </c>
      <c r="O13" s="37">
        <v>34.070771702909845</v>
      </c>
      <c r="P13" s="38">
        <v>27.876085938744417</v>
      </c>
      <c r="Q13" s="37">
        <v>83.628257816233173</v>
      </c>
      <c r="R13" s="37">
        <v>46.4601432312407</v>
      </c>
      <c r="S13" s="39">
        <v>37.168114584992558</v>
      </c>
      <c r="T13" s="37">
        <v>150.47113835642412</v>
      </c>
      <c r="U13" s="37">
        <v>83.239353133341027</v>
      </c>
      <c r="V13" s="37">
        <v>67.231785223083151</v>
      </c>
      <c r="W13" s="40">
        <v>64.030271641031575</v>
      </c>
      <c r="X13" s="37">
        <v>35.216649402567398</v>
      </c>
      <c r="Y13" s="38">
        <v>28.813622238464241</v>
      </c>
      <c r="Z13" s="37">
        <v>86.440866715392602</v>
      </c>
      <c r="AA13" s="37">
        <v>48.022703730773699</v>
      </c>
      <c r="AB13" s="37">
        <v>38.418162984618974</v>
      </c>
    </row>
    <row r="14" spans="1:28" s="5" customFormat="1" ht="12" customHeight="1" x14ac:dyDescent="0.2">
      <c r="A14" s="36" t="s">
        <v>13</v>
      </c>
      <c r="B14" s="37">
        <v>146.8173901966689</v>
      </c>
      <c r="C14" s="37">
        <v>71.91055846367459</v>
      </c>
      <c r="D14" s="38">
        <v>74.906831732994362</v>
      </c>
      <c r="E14" s="37">
        <v>64.41987529037516</v>
      </c>
      <c r="F14" s="37">
        <v>28.464596058537886</v>
      </c>
      <c r="G14" s="38">
        <v>35.955279231837324</v>
      </c>
      <c r="H14" s="37">
        <v>82.397514906293793</v>
      </c>
      <c r="I14" s="37">
        <v>43.445962405136754</v>
      </c>
      <c r="J14" s="37">
        <v>38.951552501157096</v>
      </c>
      <c r="K14" s="126">
        <v>151.76980122205279</v>
      </c>
      <c r="L14" s="37">
        <v>74.336229169985074</v>
      </c>
      <c r="M14" s="37">
        <v>77.433572052067774</v>
      </c>
      <c r="N14" s="40">
        <v>66.592871964778325</v>
      </c>
      <c r="O14" s="37">
        <v>29.424757379785774</v>
      </c>
      <c r="P14" s="38">
        <v>37.168114584992558</v>
      </c>
      <c r="Q14" s="37">
        <v>85.176929257274523</v>
      </c>
      <c r="R14" s="37">
        <v>44.911471790199343</v>
      </c>
      <c r="S14" s="39">
        <v>40.265457467075272</v>
      </c>
      <c r="T14" s="37">
        <v>156.87416552052727</v>
      </c>
      <c r="U14" s="37">
        <v>76.836325969237876</v>
      </c>
      <c r="V14" s="37">
        <v>80.037839551289451</v>
      </c>
      <c r="W14" s="40">
        <v>68.832542014108938</v>
      </c>
      <c r="X14" s="37">
        <v>30.414379029490032</v>
      </c>
      <c r="Y14" s="38">
        <v>38.418162984618974</v>
      </c>
      <c r="Z14" s="37">
        <v>88.041623506418389</v>
      </c>
      <c r="AA14" s="37">
        <v>46.421946939747912</v>
      </c>
      <c r="AB14" s="37">
        <v>41.619676566670549</v>
      </c>
    </row>
    <row r="15" spans="1:28" s="5" customFormat="1" ht="12" customHeight="1" x14ac:dyDescent="0.2">
      <c r="A15" s="36" t="s">
        <v>14</v>
      </c>
      <c r="B15" s="37">
        <v>94.414716522998987</v>
      </c>
      <c r="C15" s="37">
        <v>50.838693512384076</v>
      </c>
      <c r="D15" s="38">
        <v>43.576023010614925</v>
      </c>
      <c r="E15" s="37">
        <v>43.576023010614925</v>
      </c>
      <c r="F15" s="37">
        <v>21.78801150530747</v>
      </c>
      <c r="G15" s="38">
        <v>21.78801150530747</v>
      </c>
      <c r="H15" s="37">
        <v>50.838693512384076</v>
      </c>
      <c r="I15" s="37">
        <v>29.05068200707662</v>
      </c>
      <c r="J15" s="37">
        <v>21.78801150530747</v>
      </c>
      <c r="K15" s="126">
        <v>97.599492403027</v>
      </c>
      <c r="L15" s="37">
        <v>52.553572832399148</v>
      </c>
      <c r="M15" s="37">
        <v>45.045919570627838</v>
      </c>
      <c r="N15" s="40">
        <v>45.045919570627838</v>
      </c>
      <c r="O15" s="37">
        <v>22.522959785313912</v>
      </c>
      <c r="P15" s="38">
        <v>22.522959785313912</v>
      </c>
      <c r="Q15" s="37">
        <v>52.553572832399148</v>
      </c>
      <c r="R15" s="37">
        <v>30.030613047085222</v>
      </c>
      <c r="S15" s="39">
        <v>22.522959785313912</v>
      </c>
      <c r="T15" s="37">
        <v>100.88198576178384</v>
      </c>
      <c r="U15" s="37">
        <v>54.321069256345226</v>
      </c>
      <c r="V15" s="37">
        <v>46.560916505438762</v>
      </c>
      <c r="W15" s="40">
        <v>46.560916505438762</v>
      </c>
      <c r="X15" s="37">
        <v>23.28045825271937</v>
      </c>
      <c r="Y15" s="38">
        <v>23.28045825271937</v>
      </c>
      <c r="Z15" s="37">
        <v>54.321069256345226</v>
      </c>
      <c r="AA15" s="37">
        <v>31.040611003625834</v>
      </c>
      <c r="AB15" s="37">
        <v>23.28045825271937</v>
      </c>
    </row>
    <row r="16" spans="1:28" s="5" customFormat="1" ht="12" customHeight="1" x14ac:dyDescent="0.2">
      <c r="A16" s="36" t="s">
        <v>15</v>
      </c>
      <c r="B16" s="37">
        <v>107.48752342618346</v>
      </c>
      <c r="C16" s="37">
        <v>62.458966315214717</v>
      </c>
      <c r="D16" s="38">
        <v>45.028557110968755</v>
      </c>
      <c r="E16" s="37">
        <v>52.291227612737906</v>
      </c>
      <c r="F16" s="37">
        <v>36.313352508845774</v>
      </c>
      <c r="G16" s="38">
        <v>15.977875103892149</v>
      </c>
      <c r="H16" s="37">
        <v>55.196295813445566</v>
      </c>
      <c r="I16" s="37">
        <v>26.14561380636896</v>
      </c>
      <c r="J16" s="37">
        <v>29.05068200707662</v>
      </c>
      <c r="K16" s="126">
        <v>111.11326827421536</v>
      </c>
      <c r="L16" s="37">
        <v>64.565818051233236</v>
      </c>
      <c r="M16" s="37">
        <v>46.5474502229821</v>
      </c>
      <c r="N16" s="40">
        <v>54.05510348475341</v>
      </c>
      <c r="O16" s="37">
        <v>37.538266308856528</v>
      </c>
      <c r="P16" s="38">
        <v>16.516837175896864</v>
      </c>
      <c r="Q16" s="37">
        <v>57.058164789461934</v>
      </c>
      <c r="R16" s="37">
        <v>27.027551742376698</v>
      </c>
      <c r="S16" s="39">
        <v>30.030613047085222</v>
      </c>
      <c r="T16" s="37">
        <v>114.85026071341541</v>
      </c>
      <c r="U16" s="37">
        <v>66.737313657795553</v>
      </c>
      <c r="V16" s="37">
        <v>48.112947055620054</v>
      </c>
      <c r="W16" s="40">
        <v>55.873099806526518</v>
      </c>
      <c r="X16" s="37">
        <v>38.800763754532298</v>
      </c>
      <c r="Y16" s="38">
        <v>17.072336051994199</v>
      </c>
      <c r="Z16" s="37">
        <v>58.977160906889104</v>
      </c>
      <c r="AA16" s="37">
        <v>27.936549903263248</v>
      </c>
      <c r="AB16" s="37">
        <v>31.040611003625834</v>
      </c>
    </row>
    <row r="17" spans="1:80" s="5" customFormat="1" ht="12" customHeight="1" x14ac:dyDescent="0.2">
      <c r="A17" s="36" t="s">
        <v>16</v>
      </c>
      <c r="B17" s="37">
        <v>65.364034515922384</v>
      </c>
      <c r="C17" s="37">
        <v>37.765886609199605</v>
      </c>
      <c r="D17" s="38">
        <v>27.59814790672279</v>
      </c>
      <c r="E17" s="37">
        <v>20.33547740495364</v>
      </c>
      <c r="F17" s="37">
        <v>15.977875103892149</v>
      </c>
      <c r="G17" s="38">
        <v>4.3576023010614948</v>
      </c>
      <c r="H17" s="37">
        <v>45.028557110968755</v>
      </c>
      <c r="I17" s="37">
        <v>21.78801150530747</v>
      </c>
      <c r="J17" s="37">
        <v>23.2405456056613</v>
      </c>
      <c r="K17" s="126">
        <v>67.56887935594176</v>
      </c>
      <c r="L17" s="37">
        <v>39.03979696121079</v>
      </c>
      <c r="M17" s="37">
        <v>28.52908239473096</v>
      </c>
      <c r="N17" s="40">
        <v>21.02142913295965</v>
      </c>
      <c r="O17" s="37">
        <v>16.516837175896864</v>
      </c>
      <c r="P17" s="38">
        <v>4.5045919570627815</v>
      </c>
      <c r="Q17" s="37">
        <v>46.5474502229821</v>
      </c>
      <c r="R17" s="37">
        <v>22.522959785313912</v>
      </c>
      <c r="S17" s="39">
        <v>24.024490437668174</v>
      </c>
      <c r="T17" s="37">
        <v>69.841374758158125</v>
      </c>
      <c r="U17" s="37">
        <v>40.352794304713591</v>
      </c>
      <c r="V17" s="37">
        <v>29.488580453444541</v>
      </c>
      <c r="W17" s="40">
        <v>21.728427702538077</v>
      </c>
      <c r="X17" s="37">
        <v>17.072336051994199</v>
      </c>
      <c r="Y17" s="38">
        <v>4.656091650543873</v>
      </c>
      <c r="Z17" s="37">
        <v>48.112947055620054</v>
      </c>
      <c r="AA17" s="37">
        <v>23.28045825271937</v>
      </c>
      <c r="AB17" s="37">
        <v>24.832488802900663</v>
      </c>
    </row>
    <row r="18" spans="1:80" s="5" customFormat="1" ht="12" customHeight="1" x14ac:dyDescent="0.2">
      <c r="A18" s="36" t="s">
        <v>17</v>
      </c>
      <c r="B18" s="37">
        <v>52.291227612737906</v>
      </c>
      <c r="C18" s="37">
        <v>31.955750207784281</v>
      </c>
      <c r="D18" s="38">
        <v>20.33547740495364</v>
      </c>
      <c r="E18" s="37">
        <v>15.977875103892149</v>
      </c>
      <c r="F18" s="37">
        <v>11.620272802830653</v>
      </c>
      <c r="G18" s="38">
        <v>4.3576023010614948</v>
      </c>
      <c r="H18" s="37">
        <v>36.313352508845774</v>
      </c>
      <c r="I18" s="37">
        <v>20.33547740495364</v>
      </c>
      <c r="J18" s="37">
        <v>15.977875103892149</v>
      </c>
      <c r="K18" s="126">
        <v>54.05510348475341</v>
      </c>
      <c r="L18" s="37">
        <v>33.033674351793742</v>
      </c>
      <c r="M18" s="37">
        <v>21.02142913295965</v>
      </c>
      <c r="N18" s="40">
        <v>16.516837175896864</v>
      </c>
      <c r="O18" s="37">
        <v>12.012245218834083</v>
      </c>
      <c r="P18" s="38">
        <v>4.5045919570627815</v>
      </c>
      <c r="Q18" s="37">
        <v>37.538266308856528</v>
      </c>
      <c r="R18" s="37">
        <v>21.02142913295965</v>
      </c>
      <c r="S18" s="39">
        <v>16.516837175896864</v>
      </c>
      <c r="T18" s="37">
        <v>55.873099806526518</v>
      </c>
      <c r="U18" s="37">
        <v>34.14467210398842</v>
      </c>
      <c r="V18" s="37">
        <v>21.728427702538077</v>
      </c>
      <c r="W18" s="40">
        <v>17.072336051994199</v>
      </c>
      <c r="X18" s="37">
        <v>12.416244401450328</v>
      </c>
      <c r="Y18" s="38">
        <v>4.656091650543873</v>
      </c>
      <c r="Z18" s="37">
        <v>38.800763754532298</v>
      </c>
      <c r="AA18" s="37">
        <v>21.728427702538077</v>
      </c>
      <c r="AB18" s="37">
        <v>17.072336051994199</v>
      </c>
    </row>
    <row r="19" spans="1:80" s="5" customFormat="1" ht="12" customHeight="1" x14ac:dyDescent="0.2">
      <c r="A19" s="36" t="s">
        <v>18</v>
      </c>
      <c r="B19" s="37">
        <v>53.797960351571419</v>
      </c>
      <c r="C19" s="37">
        <v>29.344342009948047</v>
      </c>
      <c r="D19" s="38">
        <v>24.453618341623372</v>
      </c>
      <c r="E19" s="37">
        <v>13.04192978219913</v>
      </c>
      <c r="F19" s="37">
        <v>6.5209648910995641</v>
      </c>
      <c r="G19" s="38">
        <v>6.5209648910995641</v>
      </c>
      <c r="H19" s="37">
        <v>40.756030569372285</v>
      </c>
      <c r="I19" s="37">
        <v>22.82337711884848</v>
      </c>
      <c r="J19" s="37">
        <v>17.932653450523805</v>
      </c>
      <c r="K19" s="126">
        <v>55.612660991811538</v>
      </c>
      <c r="L19" s="37">
        <v>30.3341787228063</v>
      </c>
      <c r="M19" s="37">
        <v>25.278482269005252</v>
      </c>
      <c r="N19" s="40">
        <v>13.481857210136139</v>
      </c>
      <c r="O19" s="37">
        <v>6.7409286050680697</v>
      </c>
      <c r="P19" s="38">
        <v>6.7409286050680697</v>
      </c>
      <c r="Q19" s="37">
        <v>42.130803781675411</v>
      </c>
      <c r="R19" s="37">
        <v>23.593250117738236</v>
      </c>
      <c r="S19" s="39">
        <v>18.537553663937189</v>
      </c>
      <c r="T19" s="37">
        <v>57.483041522220653</v>
      </c>
      <c r="U19" s="37">
        <v>31.354386284847603</v>
      </c>
      <c r="V19" s="37">
        <v>26.128655237373003</v>
      </c>
      <c r="W19" s="40">
        <v>13.935282793265602</v>
      </c>
      <c r="X19" s="37">
        <v>6.9676413966328008</v>
      </c>
      <c r="Y19" s="38">
        <v>6.9676413966328008</v>
      </c>
      <c r="Z19" s="37">
        <v>43.547758728955024</v>
      </c>
      <c r="AA19" s="37">
        <v>24.386744888214803</v>
      </c>
      <c r="AB19" s="37">
        <v>19.161013840740203</v>
      </c>
    </row>
    <row r="20" spans="1:80" s="5" customFormat="1" ht="12" customHeight="1" x14ac:dyDescent="0.2">
      <c r="A20" s="36" t="s">
        <v>19</v>
      </c>
      <c r="B20" s="37">
        <v>48.907236683246744</v>
      </c>
      <c r="C20" s="37">
        <v>26.083859564398264</v>
      </c>
      <c r="D20" s="38">
        <v>22.82337711884848</v>
      </c>
      <c r="E20" s="37">
        <v>9.7814473366493466</v>
      </c>
      <c r="F20" s="37">
        <v>6.5209648910995641</v>
      </c>
      <c r="G20" s="38">
        <v>3.2604824455497821</v>
      </c>
      <c r="H20" s="37">
        <v>39.125789346597394</v>
      </c>
      <c r="I20" s="37">
        <v>19.562894673298697</v>
      </c>
      <c r="J20" s="37">
        <v>19.562894673298697</v>
      </c>
      <c r="K20" s="126">
        <v>50.55696453801049</v>
      </c>
      <c r="L20" s="37">
        <v>26.963714420272268</v>
      </c>
      <c r="M20" s="37">
        <v>23.593250117738236</v>
      </c>
      <c r="N20" s="40">
        <v>10.111392907602104</v>
      </c>
      <c r="O20" s="37">
        <v>6.7409286050680697</v>
      </c>
      <c r="P20" s="38">
        <v>3.3704643025340348</v>
      </c>
      <c r="Q20" s="37">
        <v>40.445571630408395</v>
      </c>
      <c r="R20" s="37">
        <v>20.222785815204205</v>
      </c>
      <c r="S20" s="39">
        <v>20.222785815204205</v>
      </c>
      <c r="T20" s="37">
        <v>52.257310474746042</v>
      </c>
      <c r="U20" s="37">
        <v>27.870565586531203</v>
      </c>
      <c r="V20" s="37">
        <v>24.386744888214803</v>
      </c>
      <c r="W20" s="40">
        <v>10.451462094949202</v>
      </c>
      <c r="X20" s="37">
        <v>6.9676413966328008</v>
      </c>
      <c r="Y20" s="38">
        <v>3.4838206983164004</v>
      </c>
      <c r="Z20" s="37">
        <v>41.805848379796821</v>
      </c>
      <c r="AA20" s="37">
        <v>20.902924189898403</v>
      </c>
      <c r="AB20" s="37">
        <v>20.902924189898403</v>
      </c>
    </row>
    <row r="21" spans="1:80" s="5" customFormat="1" ht="12" customHeight="1" x14ac:dyDescent="0.2">
      <c r="A21" s="36" t="s">
        <v>20</v>
      </c>
      <c r="B21" s="37">
        <v>13.04192978219913</v>
      </c>
      <c r="C21" s="37">
        <v>9.7814473366493466</v>
      </c>
      <c r="D21" s="38">
        <v>3.2604824455497821</v>
      </c>
      <c r="E21" s="37">
        <v>1.630241222774891</v>
      </c>
      <c r="F21" s="37">
        <v>1.630241222774891</v>
      </c>
      <c r="G21" s="160">
        <v>0</v>
      </c>
      <c r="H21" s="37">
        <v>11.411688559424238</v>
      </c>
      <c r="I21" s="37">
        <v>8.1512061138744549</v>
      </c>
      <c r="J21" s="37">
        <v>3.2604824455497821</v>
      </c>
      <c r="K21" s="126">
        <v>13.481857210136139</v>
      </c>
      <c r="L21" s="37">
        <v>10.111392907602104</v>
      </c>
      <c r="M21" s="37">
        <v>3.3704643025340348</v>
      </c>
      <c r="N21" s="40">
        <v>1.6852321512670174</v>
      </c>
      <c r="O21" s="37">
        <v>1.6852321512670174</v>
      </c>
      <c r="P21" s="160">
        <v>0</v>
      </c>
      <c r="Q21" s="37">
        <v>11.796625058869122</v>
      </c>
      <c r="R21" s="37">
        <v>8.4261607563350864</v>
      </c>
      <c r="S21" s="39">
        <v>3.3704643025340348</v>
      </c>
      <c r="T21" s="37">
        <v>13.935282793265602</v>
      </c>
      <c r="U21" s="37">
        <v>10.451462094949202</v>
      </c>
      <c r="V21" s="37">
        <v>3.4838206983164004</v>
      </c>
      <c r="W21" s="40">
        <v>1.7419103491582002</v>
      </c>
      <c r="X21" s="37">
        <v>1.7419103491582002</v>
      </c>
      <c r="Y21" s="160">
        <v>0</v>
      </c>
      <c r="Z21" s="37">
        <v>12.193372444107402</v>
      </c>
      <c r="AA21" s="37">
        <v>8.7095517457910017</v>
      </c>
      <c r="AB21" s="37">
        <v>3.4838206983164004</v>
      </c>
    </row>
    <row r="22" spans="1:80" s="5" customFormat="1" ht="12" customHeight="1" x14ac:dyDescent="0.2">
      <c r="A22" s="36" t="s">
        <v>27</v>
      </c>
      <c r="B22" s="37">
        <v>13.04192978219913</v>
      </c>
      <c r="C22" s="37">
        <v>9.7814473366493466</v>
      </c>
      <c r="D22" s="38">
        <v>3.2604824455497821</v>
      </c>
      <c r="E22" s="159">
        <v>0</v>
      </c>
      <c r="F22" s="159">
        <v>0</v>
      </c>
      <c r="G22" s="160">
        <v>0</v>
      </c>
      <c r="H22" s="37">
        <v>13.04192978219913</v>
      </c>
      <c r="I22" s="37">
        <v>9.7814473366493466</v>
      </c>
      <c r="J22" s="37">
        <v>3.2604824455497821</v>
      </c>
      <c r="K22" s="126">
        <v>13.481857210136139</v>
      </c>
      <c r="L22" s="37">
        <v>10.111392907602104</v>
      </c>
      <c r="M22" s="37">
        <v>3.3704643025340348</v>
      </c>
      <c r="N22" s="170">
        <v>0</v>
      </c>
      <c r="O22" s="159">
        <v>0</v>
      </c>
      <c r="P22" s="160">
        <v>0</v>
      </c>
      <c r="Q22" s="37">
        <v>13.481857210136139</v>
      </c>
      <c r="R22" s="37">
        <v>10.111392907602104</v>
      </c>
      <c r="S22" s="39">
        <v>3.3704643025340348</v>
      </c>
      <c r="T22" s="37">
        <v>13.935282793265602</v>
      </c>
      <c r="U22" s="37">
        <v>10.451462094949202</v>
      </c>
      <c r="V22" s="37">
        <v>3.4838206983164004</v>
      </c>
      <c r="W22" s="170">
        <v>0</v>
      </c>
      <c r="X22" s="159">
        <v>0</v>
      </c>
      <c r="Y22" s="160">
        <v>0</v>
      </c>
      <c r="Z22" s="37">
        <v>13.935282793265602</v>
      </c>
      <c r="AA22" s="37">
        <v>10.451462094949202</v>
      </c>
      <c r="AB22" s="37">
        <v>3.4838206983164004</v>
      </c>
    </row>
    <row r="23" spans="1:80" s="5" customFormat="1" ht="12" customHeight="1" x14ac:dyDescent="0.2">
      <c r="A23" s="36" t="s">
        <v>41</v>
      </c>
      <c r="B23" s="37">
        <v>3.2604824455497821</v>
      </c>
      <c r="C23" s="37">
        <v>1.630241222774891</v>
      </c>
      <c r="D23" s="38">
        <v>1.630241222774891</v>
      </c>
      <c r="E23" s="37">
        <v>1.630241222774891</v>
      </c>
      <c r="F23" s="159">
        <v>0</v>
      </c>
      <c r="G23" s="38">
        <v>1.630241222774891</v>
      </c>
      <c r="H23" s="37">
        <v>1.630241222774891</v>
      </c>
      <c r="I23" s="37">
        <v>1.630241222774891</v>
      </c>
      <c r="J23" s="159">
        <v>0</v>
      </c>
      <c r="K23" s="126">
        <v>3.3704643025340348</v>
      </c>
      <c r="L23" s="37">
        <v>1.6852321512670174</v>
      </c>
      <c r="M23" s="37">
        <v>1.6852321512670174</v>
      </c>
      <c r="N23" s="40">
        <v>1.6852321512670174</v>
      </c>
      <c r="O23" s="159">
        <v>0</v>
      </c>
      <c r="P23" s="38">
        <v>1.6852321512670174</v>
      </c>
      <c r="Q23" s="37">
        <v>1.6852321512670174</v>
      </c>
      <c r="R23" s="37">
        <v>1.6852321512670174</v>
      </c>
      <c r="S23" s="179">
        <v>0</v>
      </c>
      <c r="T23" s="37">
        <v>3.4838206983164004</v>
      </c>
      <c r="U23" s="37">
        <v>1.7419103491582002</v>
      </c>
      <c r="V23" s="37">
        <v>1.7419103491582002</v>
      </c>
      <c r="W23" s="40">
        <v>1.7419103491582002</v>
      </c>
      <c r="X23" s="159">
        <v>0</v>
      </c>
      <c r="Y23" s="38">
        <v>1.7419103491582002</v>
      </c>
      <c r="Z23" s="37">
        <v>1.7419103491582002</v>
      </c>
      <c r="AA23" s="37">
        <v>1.7419103491582002</v>
      </c>
      <c r="AB23" s="159">
        <v>0</v>
      </c>
    </row>
    <row r="24" spans="1:80" s="5" customFormat="1" ht="12" customHeight="1" x14ac:dyDescent="0.2">
      <c r="A24" s="36" t="s">
        <v>32</v>
      </c>
      <c r="B24" s="37">
        <v>3.2604824455497821</v>
      </c>
      <c r="C24" s="37">
        <v>3.2604824455497821</v>
      </c>
      <c r="D24" s="160">
        <v>0</v>
      </c>
      <c r="E24" s="37">
        <v>3.2604824455497821</v>
      </c>
      <c r="F24" s="37">
        <v>3.2604824455497821</v>
      </c>
      <c r="G24" s="160">
        <v>0</v>
      </c>
      <c r="H24" s="159">
        <v>0</v>
      </c>
      <c r="I24" s="159">
        <v>0</v>
      </c>
      <c r="J24" s="159">
        <v>0</v>
      </c>
      <c r="K24" s="126">
        <v>3.3704643025340348</v>
      </c>
      <c r="L24" s="37">
        <v>3.3704643025340348</v>
      </c>
      <c r="M24" s="159">
        <v>0</v>
      </c>
      <c r="N24" s="40">
        <v>3.3704643025340348</v>
      </c>
      <c r="O24" s="37">
        <v>3.3704643025340348</v>
      </c>
      <c r="P24" s="160">
        <v>0</v>
      </c>
      <c r="Q24" s="159">
        <v>0</v>
      </c>
      <c r="R24" s="159">
        <v>0</v>
      </c>
      <c r="S24" s="179">
        <v>0</v>
      </c>
      <c r="T24" s="37">
        <v>3.4838206983164004</v>
      </c>
      <c r="U24" s="37">
        <v>3.4838206983164004</v>
      </c>
      <c r="V24" s="159">
        <v>0</v>
      </c>
      <c r="W24" s="40">
        <v>3.4838206983164004</v>
      </c>
      <c r="X24" s="37">
        <v>3.4838206983164004</v>
      </c>
      <c r="Y24" s="160">
        <v>0</v>
      </c>
      <c r="Z24" s="159">
        <v>0</v>
      </c>
      <c r="AA24" s="159">
        <v>0</v>
      </c>
      <c r="AB24" s="159">
        <v>0</v>
      </c>
    </row>
    <row r="25" spans="1:80" s="5" customFormat="1" ht="12" customHeight="1" thickBot="1" x14ac:dyDescent="0.25">
      <c r="A25" s="41" t="s">
        <v>30</v>
      </c>
      <c r="B25" s="156">
        <v>0</v>
      </c>
      <c r="C25" s="156">
        <v>0</v>
      </c>
      <c r="D25" s="157">
        <v>0</v>
      </c>
      <c r="E25" s="156">
        <v>0</v>
      </c>
      <c r="F25" s="156">
        <v>0</v>
      </c>
      <c r="G25" s="157">
        <v>0</v>
      </c>
      <c r="H25" s="156">
        <v>0</v>
      </c>
      <c r="I25" s="156">
        <v>0</v>
      </c>
      <c r="J25" s="156">
        <v>0</v>
      </c>
      <c r="K25" s="230">
        <v>0</v>
      </c>
      <c r="L25" s="156">
        <v>0</v>
      </c>
      <c r="M25" s="156">
        <v>0</v>
      </c>
      <c r="N25" s="161">
        <v>0</v>
      </c>
      <c r="O25" s="156">
        <v>0</v>
      </c>
      <c r="P25" s="157">
        <v>0</v>
      </c>
      <c r="Q25" s="156">
        <v>0</v>
      </c>
      <c r="R25" s="156">
        <v>0</v>
      </c>
      <c r="S25" s="158">
        <v>0</v>
      </c>
      <c r="T25" s="156">
        <v>0</v>
      </c>
      <c r="U25" s="156">
        <v>0</v>
      </c>
      <c r="V25" s="156">
        <v>0</v>
      </c>
      <c r="W25" s="161">
        <v>0</v>
      </c>
      <c r="X25" s="156">
        <v>0</v>
      </c>
      <c r="Y25" s="157">
        <v>0</v>
      </c>
      <c r="Z25" s="156">
        <v>0</v>
      </c>
      <c r="AA25" s="156">
        <v>0</v>
      </c>
      <c r="AB25" s="156">
        <v>0</v>
      </c>
    </row>
    <row r="26" spans="1:80" s="5" customFormat="1" ht="12" customHeight="1" x14ac:dyDescent="0.2">
      <c r="A26" s="229" t="s">
        <v>97</v>
      </c>
      <c r="B26" s="201">
        <v>1475.9074611045742</v>
      </c>
      <c r="C26" s="201">
        <v>749.60024984317658</v>
      </c>
      <c r="D26" s="202">
        <v>726.30721126137553</v>
      </c>
      <c r="E26" s="201">
        <v>707.74081605432877</v>
      </c>
      <c r="F26" s="201">
        <v>340.00608562248067</v>
      </c>
      <c r="G26" s="202">
        <v>367.73473043184424</v>
      </c>
      <c r="H26" s="201">
        <v>768.16664505022561</v>
      </c>
      <c r="I26" s="201">
        <v>409.59416422069569</v>
      </c>
      <c r="J26" s="201">
        <v>358.57248082952947</v>
      </c>
      <c r="K26" s="205">
        <v>1525.6924380274731</v>
      </c>
      <c r="L26" s="201">
        <v>774.8855960612367</v>
      </c>
      <c r="M26" s="202">
        <v>750.8068419662186</v>
      </c>
      <c r="N26" s="201">
        <v>731.61416931205054</v>
      </c>
      <c r="O26" s="201">
        <v>351.4750940613215</v>
      </c>
      <c r="P26" s="202">
        <v>380.13907525072062</v>
      </c>
      <c r="Q26" s="201">
        <v>794.07826871540442</v>
      </c>
      <c r="R26" s="201">
        <v>423.41050199990491</v>
      </c>
      <c r="S26" s="204">
        <v>370.66776671548877</v>
      </c>
      <c r="T26" s="201">
        <v>1577.0049517713599</v>
      </c>
      <c r="U26" s="201">
        <v>800.94676462103746</v>
      </c>
      <c r="V26" s="202">
        <v>776.05818715032467</v>
      </c>
      <c r="W26" s="201">
        <v>756.22002117469697</v>
      </c>
      <c r="X26" s="201">
        <v>363.29600248634364</v>
      </c>
      <c r="Y26" s="202">
        <v>392.92401868835515</v>
      </c>
      <c r="Z26" s="201">
        <v>820.78493059666528</v>
      </c>
      <c r="AA26" s="201">
        <v>437.65076213469604</v>
      </c>
      <c r="AB26" s="201">
        <v>383.13416846197157</v>
      </c>
    </row>
    <row r="27" spans="1:80" s="5" customFormat="1" ht="12" customHeight="1" x14ac:dyDescent="0.2">
      <c r="A27" s="180" t="s">
        <v>22</v>
      </c>
      <c r="B27" s="47">
        <v>53.570769410277769</v>
      </c>
      <c r="C27" s="47">
        <v>28.845798913226485</v>
      </c>
      <c r="D27" s="48">
        <v>24.72497049705127</v>
      </c>
      <c r="E27" s="47">
        <v>21.97775155293446</v>
      </c>
      <c r="F27" s="47">
        <v>15.109704192642438</v>
      </c>
      <c r="G27" s="48">
        <v>6.8680473602920191</v>
      </c>
      <c r="H27" s="47">
        <v>31.593017857343295</v>
      </c>
      <c r="I27" s="47">
        <v>13.736094720584035</v>
      </c>
      <c r="J27" s="47">
        <v>17.856923136759246</v>
      </c>
      <c r="K27" s="127">
        <v>55.377806497031322</v>
      </c>
      <c r="L27" s="47">
        <v>29.818818883016888</v>
      </c>
      <c r="M27" s="48">
        <v>25.558987614014473</v>
      </c>
      <c r="N27" s="47">
        <v>22.719100101346196</v>
      </c>
      <c r="O27" s="47">
        <v>15.619381319675506</v>
      </c>
      <c r="P27" s="48">
        <v>7.0997187816706866</v>
      </c>
      <c r="Q27" s="47">
        <v>32.658706395685165</v>
      </c>
      <c r="R27" s="47">
        <v>14.19943756334137</v>
      </c>
      <c r="S27" s="49">
        <v>18.459268832343781</v>
      </c>
      <c r="T27" s="47">
        <v>57.240288335547504</v>
      </c>
      <c r="U27" s="47">
        <v>30.821693719140967</v>
      </c>
      <c r="V27" s="48">
        <v>26.418594616406544</v>
      </c>
      <c r="W27" s="47">
        <v>23.483195214583596</v>
      </c>
      <c r="X27" s="47">
        <v>16.144696710026224</v>
      </c>
      <c r="Y27" s="48">
        <v>7.3384985045573758</v>
      </c>
      <c r="Z27" s="47">
        <v>33.757093120963916</v>
      </c>
      <c r="AA27" s="47">
        <v>14.67699700911475</v>
      </c>
      <c r="AB27" s="47">
        <v>19.080096111849173</v>
      </c>
    </row>
    <row r="28" spans="1:80" s="5" customFormat="1" ht="12" customHeight="1" thickBot="1" x14ac:dyDescent="0.25">
      <c r="A28" s="196" t="s">
        <v>21</v>
      </c>
      <c r="B28" s="52">
        <v>1329.4927505508588</v>
      </c>
      <c r="C28" s="52">
        <v>704.0526745301363</v>
      </c>
      <c r="D28" s="53">
        <v>625.44007602071895</v>
      </c>
      <c r="E28" s="52">
        <v>567.49619798241065</v>
      </c>
      <c r="F28" s="52">
        <v>301.08582562022161</v>
      </c>
      <c r="G28" s="53">
        <v>266.4103723621879</v>
      </c>
      <c r="H28" s="52">
        <v>761.99655256844426</v>
      </c>
      <c r="I28" s="52">
        <v>402.96684890991025</v>
      </c>
      <c r="J28" s="52">
        <v>359.02970365852906</v>
      </c>
      <c r="K28" s="128">
        <v>1374.3388995470698</v>
      </c>
      <c r="L28" s="52">
        <v>727.80162023147977</v>
      </c>
      <c r="M28" s="53">
        <v>646.53727931559081</v>
      </c>
      <c r="N28" s="52">
        <v>586.6388514786106</v>
      </c>
      <c r="O28" s="52">
        <v>311.24198464464689</v>
      </c>
      <c r="P28" s="53">
        <v>275.39686683396593</v>
      </c>
      <c r="Q28" s="52">
        <v>787.70004806845839</v>
      </c>
      <c r="R28" s="52">
        <v>416.55963558683152</v>
      </c>
      <c r="S28" s="54">
        <v>371.14041248162562</v>
      </c>
      <c r="T28" s="52">
        <v>1420.5610488571863</v>
      </c>
      <c r="U28" s="52">
        <v>752.27924737975366</v>
      </c>
      <c r="V28" s="53">
        <v>668.28180147743296</v>
      </c>
      <c r="W28" s="52">
        <v>606.36885300377935</v>
      </c>
      <c r="X28" s="52">
        <v>321.70976190872869</v>
      </c>
      <c r="Y28" s="53">
        <v>284.6590910950506</v>
      </c>
      <c r="Z28" s="52">
        <v>814.19219585340602</v>
      </c>
      <c r="AA28" s="52">
        <v>430.56948547102701</v>
      </c>
      <c r="AB28" s="52">
        <v>383.62271038238327</v>
      </c>
    </row>
    <row r="29" spans="1:80" customFormat="1" ht="15" x14ac:dyDescent="0.25">
      <c r="A29" s="60" t="s">
        <v>121</v>
      </c>
      <c r="B29" s="60"/>
      <c r="C29" s="5"/>
      <c r="D29" s="5"/>
      <c r="E29" s="5"/>
      <c r="F29" s="5"/>
      <c r="G29" s="5"/>
      <c r="H29" s="5"/>
      <c r="I29" s="5"/>
      <c r="J29" s="5"/>
      <c r="K29" s="56"/>
      <c r="L29" s="56"/>
      <c r="M29" s="56"/>
      <c r="N29" s="56"/>
      <c r="O29" s="56"/>
      <c r="P29" s="56"/>
      <c r="Q29" s="56"/>
      <c r="R29" s="56"/>
      <c r="S29" s="56"/>
      <c r="T29" s="56"/>
      <c r="U29" s="56"/>
      <c r="V29" s="56"/>
      <c r="W29" s="56"/>
      <c r="X29" s="56"/>
      <c r="Y29" s="56"/>
      <c r="Z29" s="56"/>
      <c r="AA29" s="56"/>
      <c r="AB29" s="56"/>
      <c r="AC29" s="234"/>
      <c r="AD29" s="234"/>
      <c r="AE29" s="234"/>
      <c r="AF29" s="234"/>
      <c r="AG29" s="234"/>
      <c r="AH29" s="234"/>
      <c r="AI29" s="234"/>
      <c r="AJ29" s="234"/>
      <c r="AK29" s="234"/>
      <c r="AL29" s="234"/>
      <c r="AM29" s="234"/>
      <c r="AN29" s="234"/>
      <c r="AO29" s="234"/>
      <c r="AP29" s="234"/>
      <c r="AQ29" s="234"/>
      <c r="AR29" s="234"/>
      <c r="AS29" s="234"/>
      <c r="AT29" s="234"/>
      <c r="AU29" s="234"/>
      <c r="AV29" s="234"/>
      <c r="AW29" s="234"/>
      <c r="AX29" s="234"/>
      <c r="AY29" s="234"/>
      <c r="AZ29" s="234"/>
      <c r="BA29" s="234"/>
      <c r="BB29" s="234"/>
      <c r="BC29" s="234"/>
      <c r="BD29" s="234"/>
      <c r="BE29" s="234"/>
      <c r="BF29" s="234"/>
      <c r="BG29" s="234"/>
      <c r="BH29" s="234"/>
      <c r="BI29" s="234"/>
      <c r="BJ29" s="234"/>
      <c r="BK29" s="234"/>
      <c r="BL29" s="234"/>
      <c r="BM29" s="234"/>
      <c r="BN29" s="234"/>
      <c r="BO29" s="234"/>
      <c r="BP29" s="234"/>
      <c r="BQ29" s="234"/>
      <c r="BR29" s="234"/>
      <c r="BS29" s="234"/>
      <c r="BT29" s="234"/>
      <c r="BU29" s="234"/>
      <c r="BV29" s="234"/>
      <c r="BW29" s="234"/>
      <c r="BX29" s="234"/>
      <c r="BY29" s="234"/>
      <c r="BZ29" s="234"/>
      <c r="CA29" s="234"/>
      <c r="CB29" s="234"/>
    </row>
    <row r="31" spans="1:80" x14ac:dyDescent="0.2">
      <c r="J31" s="194"/>
    </row>
    <row r="34" s="1" customFormat="1" ht="15" customHeight="1" x14ac:dyDescent="0.2"/>
    <row r="35" s="1" customFormat="1" ht="15" customHeight="1" x14ac:dyDescent="0.2"/>
    <row r="36" s="1" customFormat="1" ht="15" customHeight="1" x14ac:dyDescent="0.2"/>
  </sheetData>
  <mergeCells count="4">
    <mergeCell ref="A2:A4"/>
    <mergeCell ref="B2:J2"/>
    <mergeCell ref="K2:S2"/>
    <mergeCell ref="T2:AB2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I32"/>
  <sheetViews>
    <sheetView workbookViewId="0">
      <pane xSplit="1" topLeftCell="B1" activePane="topRight" state="frozen"/>
      <selection pane="topRight" activeCell="O19" sqref="O19"/>
    </sheetView>
  </sheetViews>
  <sheetFormatPr defaultColWidth="9.140625" defaultRowHeight="12" x14ac:dyDescent="0.2"/>
  <cols>
    <col min="1" max="1" width="17.5703125" style="73" customWidth="1"/>
    <col min="2" max="16384" width="9.140625" style="1"/>
  </cols>
  <sheetData>
    <row r="1" spans="1:165" ht="20.25" customHeight="1" thickBot="1" x14ac:dyDescent="0.25">
      <c r="A1" s="252" t="s">
        <v>115</v>
      </c>
      <c r="B1" s="252"/>
      <c r="C1" s="252"/>
      <c r="D1" s="252"/>
      <c r="E1" s="252"/>
      <c r="F1" s="252"/>
      <c r="G1" s="252"/>
      <c r="H1" s="252"/>
      <c r="I1" s="252"/>
    </row>
    <row r="2" spans="1:165" s="80" customFormat="1" ht="11.1" customHeight="1" x14ac:dyDescent="0.2">
      <c r="A2" s="253" t="s">
        <v>36</v>
      </c>
      <c r="B2" s="236" t="s">
        <v>73</v>
      </c>
      <c r="C2" s="236"/>
      <c r="D2" s="236"/>
      <c r="E2" s="236"/>
      <c r="F2" s="236"/>
      <c r="G2" s="236"/>
      <c r="H2" s="236"/>
      <c r="I2" s="236"/>
      <c r="J2" s="236"/>
      <c r="K2" s="235" t="s">
        <v>74</v>
      </c>
      <c r="L2" s="236"/>
      <c r="M2" s="236"/>
      <c r="N2" s="236"/>
      <c r="O2" s="236"/>
      <c r="P2" s="236"/>
      <c r="Q2" s="236"/>
      <c r="R2" s="236"/>
      <c r="S2" s="237"/>
      <c r="T2" s="236" t="s">
        <v>75</v>
      </c>
      <c r="U2" s="236"/>
      <c r="V2" s="236"/>
      <c r="W2" s="236"/>
      <c r="X2" s="236"/>
      <c r="Y2" s="236"/>
      <c r="Z2" s="236"/>
      <c r="AA2" s="236"/>
      <c r="AB2" s="236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  <c r="CP2" s="5"/>
      <c r="CQ2" s="5"/>
      <c r="CR2" s="5"/>
      <c r="CS2" s="5"/>
      <c r="CT2" s="5"/>
      <c r="CU2" s="5"/>
      <c r="CV2" s="5"/>
      <c r="CW2" s="5"/>
      <c r="CX2" s="5"/>
      <c r="CY2" s="5"/>
      <c r="CZ2" s="5"/>
      <c r="DA2" s="5"/>
      <c r="DB2" s="5"/>
      <c r="DC2" s="5"/>
      <c r="DD2" s="5"/>
      <c r="DE2" s="5"/>
      <c r="DF2" s="5"/>
      <c r="DG2" s="5"/>
      <c r="DH2" s="5"/>
      <c r="DI2" s="5"/>
      <c r="DJ2" s="5"/>
      <c r="DK2" s="5"/>
      <c r="DL2" s="5"/>
      <c r="DM2" s="5"/>
      <c r="DN2" s="5"/>
      <c r="DO2" s="5"/>
      <c r="DP2" s="5"/>
      <c r="DQ2" s="5"/>
      <c r="DR2" s="5"/>
      <c r="DS2" s="5"/>
      <c r="DT2" s="5"/>
      <c r="DU2" s="5"/>
      <c r="DV2" s="5"/>
      <c r="DW2" s="5"/>
      <c r="DX2" s="5"/>
      <c r="DY2" s="5"/>
      <c r="DZ2" s="5"/>
      <c r="EA2" s="5"/>
      <c r="EB2" s="5"/>
      <c r="EC2" s="5"/>
      <c r="ED2" s="5"/>
      <c r="EE2" s="5"/>
      <c r="EF2" s="5"/>
      <c r="EG2" s="5"/>
      <c r="EH2" s="5"/>
      <c r="EI2" s="5"/>
      <c r="EJ2" s="5"/>
      <c r="EK2" s="5"/>
      <c r="EL2" s="5"/>
      <c r="EM2" s="5"/>
      <c r="EN2" s="5"/>
      <c r="EO2" s="5"/>
      <c r="EP2" s="5"/>
      <c r="EQ2" s="5"/>
      <c r="ER2" s="5"/>
      <c r="ES2" s="5"/>
      <c r="ET2" s="5"/>
      <c r="EU2" s="5"/>
      <c r="EV2" s="5"/>
      <c r="EW2" s="5"/>
      <c r="EX2" s="5"/>
      <c r="EY2" s="5"/>
      <c r="EZ2" s="5"/>
      <c r="FA2" s="5"/>
      <c r="FB2" s="5"/>
      <c r="FC2" s="5"/>
      <c r="FD2" s="5"/>
      <c r="FE2" s="5"/>
      <c r="FF2" s="5"/>
      <c r="FG2" s="5"/>
      <c r="FH2" s="5"/>
      <c r="FI2" s="5"/>
    </row>
    <row r="3" spans="1:165" s="81" customFormat="1" ht="12" customHeight="1" thickBot="1" x14ac:dyDescent="0.25">
      <c r="A3" s="254"/>
      <c r="B3" s="255" t="s">
        <v>0</v>
      </c>
      <c r="C3" s="255"/>
      <c r="D3" s="255"/>
      <c r="E3" s="256" t="s">
        <v>1</v>
      </c>
      <c r="F3" s="257"/>
      <c r="G3" s="258"/>
      <c r="H3" s="255" t="s">
        <v>2</v>
      </c>
      <c r="I3" s="255"/>
      <c r="J3" s="255"/>
      <c r="K3" s="259" t="s">
        <v>0</v>
      </c>
      <c r="L3" s="255"/>
      <c r="M3" s="255"/>
      <c r="N3" s="256" t="s">
        <v>1</v>
      </c>
      <c r="O3" s="257"/>
      <c r="P3" s="258"/>
      <c r="Q3" s="255" t="s">
        <v>2</v>
      </c>
      <c r="R3" s="255"/>
      <c r="S3" s="260"/>
      <c r="T3" s="255" t="s">
        <v>0</v>
      </c>
      <c r="U3" s="255"/>
      <c r="V3" s="255"/>
      <c r="W3" s="256" t="s">
        <v>1</v>
      </c>
      <c r="X3" s="257"/>
      <c r="Y3" s="258"/>
      <c r="Z3" s="255" t="s">
        <v>2</v>
      </c>
      <c r="AA3" s="255"/>
      <c r="AB3" s="255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6"/>
      <c r="CJ3" s="6"/>
      <c r="CK3" s="6"/>
      <c r="CL3" s="6"/>
      <c r="CM3" s="6"/>
      <c r="CN3" s="6"/>
      <c r="CO3" s="6"/>
      <c r="CP3" s="6"/>
      <c r="CQ3" s="6"/>
      <c r="CR3" s="6"/>
      <c r="CS3" s="6"/>
      <c r="CT3" s="6"/>
      <c r="CU3" s="6"/>
      <c r="CV3" s="6"/>
      <c r="CW3" s="6"/>
      <c r="CX3" s="6"/>
      <c r="CY3" s="6"/>
      <c r="CZ3" s="6"/>
      <c r="DA3" s="6"/>
      <c r="DB3" s="6"/>
      <c r="DC3" s="6"/>
      <c r="DD3" s="6"/>
      <c r="DE3" s="6"/>
      <c r="DF3" s="6"/>
      <c r="DG3" s="6"/>
      <c r="DH3" s="6"/>
      <c r="DI3" s="6"/>
      <c r="DJ3" s="6"/>
      <c r="DK3" s="6"/>
      <c r="DL3" s="6"/>
      <c r="DM3" s="6"/>
      <c r="DN3" s="6"/>
      <c r="DO3" s="6"/>
      <c r="DP3" s="6"/>
      <c r="DQ3" s="6"/>
      <c r="DR3" s="6"/>
      <c r="DS3" s="6"/>
      <c r="DT3" s="6"/>
      <c r="DU3" s="6"/>
      <c r="DV3" s="6"/>
      <c r="DW3" s="6"/>
      <c r="DX3" s="6"/>
      <c r="DY3" s="6"/>
      <c r="DZ3" s="6"/>
      <c r="EA3" s="6"/>
      <c r="EB3" s="6"/>
      <c r="EC3" s="6"/>
      <c r="ED3" s="6"/>
      <c r="EE3" s="6"/>
      <c r="EF3" s="6"/>
      <c r="EG3" s="6"/>
      <c r="EH3" s="6"/>
      <c r="EI3" s="6"/>
      <c r="EJ3" s="6"/>
      <c r="EK3" s="6"/>
      <c r="EL3" s="6"/>
      <c r="EM3" s="6"/>
      <c r="EN3" s="6"/>
      <c r="EO3" s="6"/>
      <c r="EP3" s="6"/>
      <c r="EQ3" s="6"/>
      <c r="ER3" s="6"/>
      <c r="ES3" s="6"/>
      <c r="ET3" s="6"/>
      <c r="EU3" s="6"/>
      <c r="EV3" s="6"/>
      <c r="EW3" s="6"/>
      <c r="EX3" s="6"/>
      <c r="EY3" s="6"/>
      <c r="EZ3" s="6"/>
      <c r="FA3" s="6"/>
      <c r="FB3" s="6"/>
      <c r="FC3" s="6"/>
      <c r="FD3" s="6"/>
      <c r="FE3" s="6"/>
      <c r="FF3" s="6"/>
      <c r="FG3" s="6"/>
      <c r="FH3" s="6"/>
      <c r="FI3" s="6"/>
    </row>
    <row r="4" spans="1:165" ht="15.75" customHeight="1" thickBot="1" x14ac:dyDescent="0.25">
      <c r="A4" s="254"/>
      <c r="B4" s="119" t="s">
        <v>0</v>
      </c>
      <c r="C4" s="119" t="s">
        <v>3</v>
      </c>
      <c r="D4" s="120" t="s">
        <v>4</v>
      </c>
      <c r="E4" s="121" t="s">
        <v>0</v>
      </c>
      <c r="F4" s="119" t="s">
        <v>3</v>
      </c>
      <c r="G4" s="120" t="s">
        <v>4</v>
      </c>
      <c r="H4" s="121" t="s">
        <v>0</v>
      </c>
      <c r="I4" s="119" t="s">
        <v>3</v>
      </c>
      <c r="J4" s="119" t="s">
        <v>4</v>
      </c>
      <c r="K4" s="226" t="s">
        <v>0</v>
      </c>
      <c r="L4" s="118" t="s">
        <v>3</v>
      </c>
      <c r="M4" s="118" t="s">
        <v>4</v>
      </c>
      <c r="N4" s="82" t="s">
        <v>0</v>
      </c>
      <c r="O4" s="118" t="s">
        <v>3</v>
      </c>
      <c r="P4" s="83" t="s">
        <v>4</v>
      </c>
      <c r="Q4" s="227" t="s">
        <v>0</v>
      </c>
      <c r="R4" s="118" t="s">
        <v>3</v>
      </c>
      <c r="S4" s="76" t="s">
        <v>4</v>
      </c>
      <c r="T4" s="119" t="s">
        <v>0</v>
      </c>
      <c r="U4" s="119" t="s">
        <v>3</v>
      </c>
      <c r="V4" s="119" t="s">
        <v>4</v>
      </c>
      <c r="W4" s="153" t="s">
        <v>0</v>
      </c>
      <c r="X4" s="119" t="s">
        <v>3</v>
      </c>
      <c r="Y4" s="120" t="s">
        <v>4</v>
      </c>
      <c r="Z4" s="121" t="s">
        <v>0</v>
      </c>
      <c r="AA4" s="119" t="s">
        <v>3</v>
      </c>
      <c r="AB4" s="119" t="s">
        <v>4</v>
      </c>
    </row>
    <row r="5" spans="1:165" ht="12.75" thickBot="1" x14ac:dyDescent="0.25">
      <c r="A5" s="224" t="s">
        <v>72</v>
      </c>
      <c r="B5" s="23">
        <v>330842.93219659035</v>
      </c>
      <c r="C5" s="23">
        <v>164860.97536643184</v>
      </c>
      <c r="D5" s="24">
        <v>165981.95683014448</v>
      </c>
      <c r="E5" s="27">
        <v>316484.41257165751</v>
      </c>
      <c r="F5" s="28">
        <v>157587.75203957059</v>
      </c>
      <c r="G5" s="29">
        <v>158896.66053213357</v>
      </c>
      <c r="H5" s="23">
        <v>14358.519624930894</v>
      </c>
      <c r="I5" s="23">
        <v>7273.2233268906512</v>
      </c>
      <c r="J5" s="23">
        <v>7085.296298041404</v>
      </c>
      <c r="K5" s="75">
        <v>342002.85121413757</v>
      </c>
      <c r="L5" s="72">
        <v>170422.02852903394</v>
      </c>
      <c r="M5" s="85">
        <v>171580.8226861587</v>
      </c>
      <c r="N5" s="84">
        <v>327159.99325039476</v>
      </c>
      <c r="O5" s="72">
        <v>162903.46647663711</v>
      </c>
      <c r="P5" s="85">
        <v>164256.52677467291</v>
      </c>
      <c r="Q5" s="72">
        <v>14842.857963894729</v>
      </c>
      <c r="R5" s="72">
        <v>7518.5620524048682</v>
      </c>
      <c r="S5" s="74">
        <v>7324.2959114899677</v>
      </c>
      <c r="T5" s="72">
        <v>353505.18652552395</v>
      </c>
      <c r="U5" s="72">
        <v>176153.70974015188</v>
      </c>
      <c r="V5" s="85">
        <v>177351.47678566986</v>
      </c>
      <c r="W5" s="72">
        <v>338163.12942147366</v>
      </c>
      <c r="X5" s="72">
        <v>168382.2813111259</v>
      </c>
      <c r="Y5" s="85">
        <v>169780.84811060925</v>
      </c>
      <c r="Z5" s="72">
        <v>15342.057104095349</v>
      </c>
      <c r="AA5" s="72">
        <v>7771.4284290310079</v>
      </c>
      <c r="AB5" s="72">
        <v>7570.6286750645731</v>
      </c>
    </row>
    <row r="6" spans="1:165" x14ac:dyDescent="0.2">
      <c r="A6" s="213" t="s">
        <v>5</v>
      </c>
      <c r="B6" s="3">
        <v>45511.763437661481</v>
      </c>
      <c r="C6" s="3">
        <v>22648.053222541021</v>
      </c>
      <c r="D6" s="67">
        <v>22863.710215138137</v>
      </c>
      <c r="E6" s="70">
        <v>43264.319181482468</v>
      </c>
      <c r="F6" s="3">
        <v>21537.216260672856</v>
      </c>
      <c r="G6" s="67">
        <v>21727.10292082126</v>
      </c>
      <c r="H6" s="3">
        <v>2247.4442561835135</v>
      </c>
      <c r="I6" s="3">
        <v>1110.8369618673992</v>
      </c>
      <c r="J6" s="3">
        <v>1136.6072943160939</v>
      </c>
      <c r="K6" s="62">
        <v>47046.955956277234</v>
      </c>
      <c r="L6" s="3">
        <v>23412.012235388716</v>
      </c>
      <c r="M6" s="3">
        <v>23634.943720921561</v>
      </c>
      <c r="N6" s="70">
        <v>44723.701418371791</v>
      </c>
      <c r="O6" s="3">
        <v>22263.704772172365</v>
      </c>
      <c r="P6" s="67">
        <v>22459.996646226442</v>
      </c>
      <c r="Q6" s="3">
        <v>2323.2545379106969</v>
      </c>
      <c r="R6" s="3">
        <v>1148.3074632159587</v>
      </c>
      <c r="S6" s="63">
        <v>1174.9470746947177</v>
      </c>
      <c r="T6" s="3">
        <v>48629.252305112102</v>
      </c>
      <c r="U6" s="3">
        <v>24199.411562831974</v>
      </c>
      <c r="V6" s="3">
        <v>24429.840742283985</v>
      </c>
      <c r="W6" s="70">
        <v>46227.861422395239</v>
      </c>
      <c r="X6" s="3">
        <v>23012.483902635769</v>
      </c>
      <c r="Y6" s="67">
        <v>23215.377519763326</v>
      </c>
      <c r="Z6" s="3">
        <v>2401.3908827176219</v>
      </c>
      <c r="AA6" s="3">
        <v>1186.9276601965821</v>
      </c>
      <c r="AB6" s="3">
        <v>1214.4632225210448</v>
      </c>
    </row>
    <row r="7" spans="1:165" x14ac:dyDescent="0.2">
      <c r="A7" s="213" t="s">
        <v>6</v>
      </c>
      <c r="B7" s="3">
        <v>41951.772966492332</v>
      </c>
      <c r="C7" s="3">
        <v>21007.102535557391</v>
      </c>
      <c r="D7" s="67">
        <v>20944.670430937997</v>
      </c>
      <c r="E7" s="70">
        <v>39845.990104439894</v>
      </c>
      <c r="F7" s="3">
        <v>19937.95274395026</v>
      </c>
      <c r="G7" s="67">
        <v>19908.0373604868</v>
      </c>
      <c r="H7" s="3">
        <v>2105.7828620556679</v>
      </c>
      <c r="I7" s="3">
        <v>1069.1497916057501</v>
      </c>
      <c r="J7" s="3">
        <v>1036.6330704498553</v>
      </c>
      <c r="K7" s="62">
        <v>43366.880691105674</v>
      </c>
      <c r="L7" s="3">
        <v>21715.709370675879</v>
      </c>
      <c r="M7" s="3">
        <v>21651.171320413156</v>
      </c>
      <c r="N7" s="70">
        <v>41190.066037452576</v>
      </c>
      <c r="O7" s="3">
        <v>20610.495259926745</v>
      </c>
      <c r="P7" s="67">
        <v>20579.570777509191</v>
      </c>
      <c r="Q7" s="3">
        <v>2176.8146536516056</v>
      </c>
      <c r="R7" s="3">
        <v>1105.2141107483653</v>
      </c>
      <c r="S7" s="63">
        <v>1071.6005429032198</v>
      </c>
      <c r="T7" s="3">
        <v>44825.407721835705</v>
      </c>
      <c r="U7" s="3">
        <v>22446.058166920586</v>
      </c>
      <c r="V7" s="3">
        <v>22379.349554945336</v>
      </c>
      <c r="W7" s="70">
        <v>42575.381830426413</v>
      </c>
      <c r="X7" s="3">
        <v>21303.67318684444</v>
      </c>
      <c r="Y7" s="67">
        <v>21271.7086436063</v>
      </c>
      <c r="Z7" s="3">
        <v>2250.0258914144461</v>
      </c>
      <c r="AA7" s="3">
        <v>1142.3849800757719</v>
      </c>
      <c r="AB7" s="3">
        <v>1107.6409113386742</v>
      </c>
    </row>
    <row r="8" spans="1:165" x14ac:dyDescent="0.2">
      <c r="A8" s="213" t="s">
        <v>7</v>
      </c>
      <c r="B8" s="3">
        <v>41651.318463012336</v>
      </c>
      <c r="C8" s="3">
        <v>20402.291522057007</v>
      </c>
      <c r="D8" s="67">
        <v>21249.026940957545</v>
      </c>
      <c r="E8" s="70">
        <v>39838.186091362491</v>
      </c>
      <c r="F8" s="3">
        <v>19480.1173100747</v>
      </c>
      <c r="G8" s="67">
        <v>20358.068781284936</v>
      </c>
      <c r="H8" s="3">
        <v>1813.1323716526244</v>
      </c>
      <c r="I8" s="3">
        <v>922.17421198111435</v>
      </c>
      <c r="J8" s="3">
        <v>890.95815967145802</v>
      </c>
      <c r="K8" s="62">
        <v>43056.291324216319</v>
      </c>
      <c r="L8" s="3">
        <v>21090.497008755749</v>
      </c>
      <c r="M8" s="3">
        <v>21965.794315443931</v>
      </c>
      <c r="N8" s="70">
        <v>41181.998781169736</v>
      </c>
      <c r="O8" s="3">
        <v>20137.216224666776</v>
      </c>
      <c r="P8" s="67">
        <v>21044.78255648632</v>
      </c>
      <c r="Q8" s="3">
        <v>1874.2925430452956</v>
      </c>
      <c r="R8" s="3">
        <v>953.28078408830743</v>
      </c>
      <c r="S8" s="63">
        <v>921.0117589569677</v>
      </c>
      <c r="T8" s="3">
        <v>44504.372526705658</v>
      </c>
      <c r="U8" s="3">
        <v>21799.818488410358</v>
      </c>
      <c r="V8" s="3">
        <v>22704.554038324677</v>
      </c>
      <c r="W8" s="70">
        <v>42567.043253929529</v>
      </c>
      <c r="X8" s="3">
        <v>20814.476699025945</v>
      </c>
      <c r="Y8" s="67">
        <v>21752.566554927889</v>
      </c>
      <c r="Z8" s="3">
        <v>1937.3292727805667</v>
      </c>
      <c r="AA8" s="3">
        <v>985.34178938409025</v>
      </c>
      <c r="AB8" s="3">
        <v>951.98748339647648</v>
      </c>
    </row>
    <row r="9" spans="1:165" x14ac:dyDescent="0.2">
      <c r="A9" s="213" t="s">
        <v>8</v>
      </c>
      <c r="B9" s="3">
        <v>40190.439542966917</v>
      </c>
      <c r="C9" s="3">
        <v>19970.908114260088</v>
      </c>
      <c r="D9" s="67">
        <v>20219.531428702747</v>
      </c>
      <c r="E9" s="70">
        <v>38709.688532087435</v>
      </c>
      <c r="F9" s="3">
        <v>19215.4229046277</v>
      </c>
      <c r="G9" s="67">
        <v>19494.265627455654</v>
      </c>
      <c r="H9" s="3">
        <v>1480.7510108789752</v>
      </c>
      <c r="I9" s="3">
        <v>755.48520963212241</v>
      </c>
      <c r="J9" s="3">
        <v>725.26580124683687</v>
      </c>
      <c r="K9" s="62">
        <v>41546.134366584804</v>
      </c>
      <c r="L9" s="3">
        <v>20644.562273341417</v>
      </c>
      <c r="M9" s="3">
        <v>20901.572093237679</v>
      </c>
      <c r="N9" s="70">
        <v>40015.434997253971</v>
      </c>
      <c r="O9" s="3">
        <v>19863.593207358299</v>
      </c>
      <c r="P9" s="67">
        <v>20151.841789893886</v>
      </c>
      <c r="Q9" s="3">
        <v>1530.6993693281977</v>
      </c>
      <c r="R9" s="3">
        <v>780.96906598378507</v>
      </c>
      <c r="S9" s="63">
        <v>749.73030334443285</v>
      </c>
      <c r="T9" s="3">
        <v>42943.42554895502</v>
      </c>
      <c r="U9" s="3">
        <v>21338.88595155696</v>
      </c>
      <c r="V9" s="3">
        <v>21604.539597422016</v>
      </c>
      <c r="W9" s="70">
        <v>41361.245271375905</v>
      </c>
      <c r="X9" s="3">
        <v>20531.651116055411</v>
      </c>
      <c r="Y9" s="67">
        <v>20829.594155340528</v>
      </c>
      <c r="Z9" s="3">
        <v>1582.1802775825511</v>
      </c>
      <c r="AA9" s="3">
        <v>807.23483550130379</v>
      </c>
      <c r="AB9" s="3">
        <v>774.94544208125183</v>
      </c>
    </row>
    <row r="10" spans="1:165" x14ac:dyDescent="0.2">
      <c r="A10" s="213" t="s">
        <v>9</v>
      </c>
      <c r="B10" s="3">
        <v>31718.140408813571</v>
      </c>
      <c r="C10" s="3">
        <v>15043.714785541591</v>
      </c>
      <c r="D10" s="67">
        <v>16674.425623276755</v>
      </c>
      <c r="E10" s="70">
        <v>30571.755133239534</v>
      </c>
      <c r="F10" s="3">
        <v>14474.965501535868</v>
      </c>
      <c r="G10" s="67">
        <v>16096.78963170844</v>
      </c>
      <c r="H10" s="3">
        <v>1146.3852755746252</v>
      </c>
      <c r="I10" s="3">
        <v>568.74928400601084</v>
      </c>
      <c r="J10" s="3">
        <v>577.63599156860505</v>
      </c>
      <c r="K10" s="62">
        <v>32788.049552793025</v>
      </c>
      <c r="L10" s="3">
        <v>15551.165972809755</v>
      </c>
      <c r="M10" s="3">
        <v>17236.883579983456</v>
      </c>
      <c r="N10" s="70">
        <v>31602.994668185853</v>
      </c>
      <c r="O10" s="3">
        <v>14963.231766493042</v>
      </c>
      <c r="P10" s="67">
        <v>16639.762901693044</v>
      </c>
      <c r="Q10" s="3">
        <v>1185.0548846072288</v>
      </c>
      <c r="R10" s="3">
        <v>587.93420631676054</v>
      </c>
      <c r="S10" s="63">
        <v>597.12067829045986</v>
      </c>
      <c r="T10" s="3">
        <v>33890.786383229264</v>
      </c>
      <c r="U10" s="3">
        <v>16074.187125587037</v>
      </c>
      <c r="V10" s="3">
        <v>17816.59925764105</v>
      </c>
      <c r="W10" s="70">
        <v>32665.875402112273</v>
      </c>
      <c r="X10" s="3">
        <v>15466.479352009615</v>
      </c>
      <c r="Y10" s="67">
        <v>17199.396050101481</v>
      </c>
      <c r="Z10" s="3">
        <v>1224.9109811166402</v>
      </c>
      <c r="AA10" s="3">
        <v>607.70777357724842</v>
      </c>
      <c r="AB10" s="3">
        <v>617.20320753939291</v>
      </c>
    </row>
    <row r="11" spans="1:165" x14ac:dyDescent="0.2">
      <c r="A11" s="214" t="s">
        <v>10</v>
      </c>
      <c r="B11" s="3">
        <v>26326.87115417598</v>
      </c>
      <c r="C11" s="3">
        <v>13004.215399927316</v>
      </c>
      <c r="D11" s="67">
        <v>13322.655754253437</v>
      </c>
      <c r="E11" s="70">
        <v>25430.794808281546</v>
      </c>
      <c r="F11" s="3">
        <v>12534.701017037174</v>
      </c>
      <c r="G11" s="67">
        <v>12896.093791249144</v>
      </c>
      <c r="H11" s="3">
        <v>896.0763458948976</v>
      </c>
      <c r="I11" s="3">
        <v>469.51438289037708</v>
      </c>
      <c r="J11" s="3">
        <v>426.56196300450671</v>
      </c>
      <c r="K11" s="62">
        <v>27214.923222082467</v>
      </c>
      <c r="L11" s="3">
        <v>13442.870654845916</v>
      </c>
      <c r="M11" s="3">
        <v>13772.052567236784</v>
      </c>
      <c r="N11" s="70">
        <v>26288.620631401187</v>
      </c>
      <c r="O11" s="3">
        <v>12957.518718902171</v>
      </c>
      <c r="P11" s="67">
        <v>13331.101912499249</v>
      </c>
      <c r="Q11" s="3">
        <v>926.3025906813524</v>
      </c>
      <c r="R11" s="3">
        <v>485.35193594378467</v>
      </c>
      <c r="S11" s="63">
        <v>440.95065473757126</v>
      </c>
      <c r="T11" s="3">
        <v>28130.223112859952</v>
      </c>
      <c r="U11" s="3">
        <v>13894.985031274251</v>
      </c>
      <c r="V11" s="3">
        <v>14235.238081584526</v>
      </c>
      <c r="W11" s="70">
        <v>27172.766855010108</v>
      </c>
      <c r="X11" s="3">
        <v>13393.309603607473</v>
      </c>
      <c r="Y11" s="67">
        <v>13779.45725140146</v>
      </c>
      <c r="Z11" s="3">
        <v>957.45625784957042</v>
      </c>
      <c r="AA11" s="3">
        <v>501.67542766663496</v>
      </c>
      <c r="AB11" s="3">
        <v>455.7808301829366</v>
      </c>
    </row>
    <row r="12" spans="1:165" x14ac:dyDescent="0.2">
      <c r="A12" s="214" t="s">
        <v>11</v>
      </c>
      <c r="B12" s="3">
        <v>20662.300465226781</v>
      </c>
      <c r="C12" s="3">
        <v>10092.946507704874</v>
      </c>
      <c r="D12" s="67">
        <v>10569.35395752679</v>
      </c>
      <c r="E12" s="70">
        <v>19944.693017225458</v>
      </c>
      <c r="F12" s="3">
        <v>9728.8993054824659</v>
      </c>
      <c r="G12" s="67">
        <v>10215.793711747003</v>
      </c>
      <c r="H12" s="3">
        <v>717.60744800208556</v>
      </c>
      <c r="I12" s="3">
        <v>364.04720222235238</v>
      </c>
      <c r="J12" s="3">
        <v>353.56024577973318</v>
      </c>
      <c r="K12" s="62">
        <v>21359.276514840603</v>
      </c>
      <c r="L12" s="3">
        <v>10433.399498297016</v>
      </c>
      <c r="M12" s="3">
        <v>10925.877016548287</v>
      </c>
      <c r="N12" s="70">
        <v>20617.462894582484</v>
      </c>
      <c r="O12" s="3">
        <v>10057.072338123875</v>
      </c>
      <c r="P12" s="67">
        <v>10560.390556462438</v>
      </c>
      <c r="Q12" s="3">
        <v>741.81362025881197</v>
      </c>
      <c r="R12" s="3">
        <v>376.32716017304836</v>
      </c>
      <c r="S12" s="63">
        <v>365.48646008575901</v>
      </c>
      <c r="T12" s="3">
        <v>22077.637661831868</v>
      </c>
      <c r="U12" s="3">
        <v>10784.298501140072</v>
      </c>
      <c r="V12" s="3">
        <v>11293.339160686201</v>
      </c>
      <c r="W12" s="70">
        <v>21310.875158929754</v>
      </c>
      <c r="X12" s="3">
        <v>10395.314600920861</v>
      </c>
      <c r="Y12" s="67">
        <v>10915.560558004168</v>
      </c>
      <c r="Z12" s="3">
        <v>766.76250290135238</v>
      </c>
      <c r="AA12" s="3">
        <v>388.9839002192665</v>
      </c>
      <c r="AB12" s="3">
        <v>377.77860268208599</v>
      </c>
    </row>
    <row r="13" spans="1:165" x14ac:dyDescent="0.2">
      <c r="A13" s="214" t="s">
        <v>12</v>
      </c>
      <c r="B13" s="3">
        <v>17054.787448969608</v>
      </c>
      <c r="C13" s="3">
        <v>8515.408631407774</v>
      </c>
      <c r="D13" s="67">
        <v>8539.3788175623358</v>
      </c>
      <c r="E13" s="70">
        <v>16419.577515874491</v>
      </c>
      <c r="F13" s="3">
        <v>8211.286894571771</v>
      </c>
      <c r="G13" s="67">
        <v>8208.2906213024507</v>
      </c>
      <c r="H13" s="3">
        <v>635.20993309579183</v>
      </c>
      <c r="I13" s="3">
        <v>304.12173683595694</v>
      </c>
      <c r="J13" s="3">
        <v>331.08819625983489</v>
      </c>
      <c r="K13" s="62">
        <v>17630.075684816489</v>
      </c>
      <c r="L13" s="3">
        <v>8802.6484708800708</v>
      </c>
      <c r="M13" s="3">
        <v>8827.4272139367386</v>
      </c>
      <c r="N13" s="70">
        <v>16973.438993815565</v>
      </c>
      <c r="O13" s="3">
        <v>8488.2681683485989</v>
      </c>
      <c r="P13" s="67">
        <v>8485.1708254665155</v>
      </c>
      <c r="Q13" s="3">
        <v>656.63669100153538</v>
      </c>
      <c r="R13" s="3">
        <v>314.38030253139493</v>
      </c>
      <c r="S13" s="63">
        <v>342.25638847013897</v>
      </c>
      <c r="T13" s="3">
        <v>18223.015309037939</v>
      </c>
      <c r="U13" s="3">
        <v>9098.7016001901575</v>
      </c>
      <c r="V13" s="3">
        <v>9124.3137088465664</v>
      </c>
      <c r="W13" s="70">
        <v>17544.29442964233</v>
      </c>
      <c r="X13" s="3">
        <v>8773.7479716119688</v>
      </c>
      <c r="Y13" s="67">
        <v>8770.5464580299176</v>
      </c>
      <c r="Z13" s="3">
        <v>678.72087939493406</v>
      </c>
      <c r="AA13" s="3">
        <v>324.953628578235</v>
      </c>
      <c r="AB13" s="3">
        <v>353.76725081669917</v>
      </c>
    </row>
    <row r="14" spans="1:165" x14ac:dyDescent="0.2">
      <c r="A14" s="214" t="s">
        <v>13</v>
      </c>
      <c r="B14" s="3">
        <v>14016.566353879711</v>
      </c>
      <c r="C14" s="3">
        <v>7134.1266542511494</v>
      </c>
      <c r="D14" s="67">
        <v>6882.4396996282503</v>
      </c>
      <c r="E14" s="70">
        <v>13358.884371263921</v>
      </c>
      <c r="F14" s="3">
        <v>6792.5515015486435</v>
      </c>
      <c r="G14" s="67">
        <v>6566.3328697149664</v>
      </c>
      <c r="H14" s="3">
        <v>657.68198261569012</v>
      </c>
      <c r="I14" s="3">
        <v>341.57515270245409</v>
      </c>
      <c r="J14" s="3">
        <v>316.10682991323603</v>
      </c>
      <c r="K14" s="62">
        <v>14489.370002385316</v>
      </c>
      <c r="L14" s="3">
        <v>7374.7734022395925</v>
      </c>
      <c r="M14" s="3">
        <v>7114.5966001445813</v>
      </c>
      <c r="N14" s="70">
        <v>13809.503239767995</v>
      </c>
      <c r="O14" s="3">
        <v>7021.6763136820773</v>
      </c>
      <c r="P14" s="67">
        <v>6787.8269260847756</v>
      </c>
      <c r="Q14" s="3">
        <v>679.86676261715627</v>
      </c>
      <c r="R14" s="3">
        <v>353.09708855742832</v>
      </c>
      <c r="S14" s="63">
        <v>326.76967405972562</v>
      </c>
      <c r="T14" s="3">
        <v>14976.680536836015</v>
      </c>
      <c r="U14" s="3">
        <v>7622.8038388645909</v>
      </c>
      <c r="V14" s="3">
        <v>7353.8766979722968</v>
      </c>
      <c r="W14" s="70">
        <v>14273.948305575794</v>
      </c>
      <c r="X14" s="3">
        <v>7257.8312905107632</v>
      </c>
      <c r="Y14" s="67">
        <v>7016.1170150659036</v>
      </c>
      <c r="Z14" s="3">
        <v>702.73223126032087</v>
      </c>
      <c r="AA14" s="3">
        <v>364.97254835387969</v>
      </c>
      <c r="AB14" s="3">
        <v>337.7596829064413</v>
      </c>
    </row>
    <row r="15" spans="1:165" x14ac:dyDescent="0.2">
      <c r="A15" s="214" t="s">
        <v>14</v>
      </c>
      <c r="B15" s="3">
        <v>12143.185078956896</v>
      </c>
      <c r="C15" s="3">
        <v>6511.710371885757</v>
      </c>
      <c r="D15" s="67">
        <v>5631.4747070714393</v>
      </c>
      <c r="E15" s="70">
        <v>11582.506916220384</v>
      </c>
      <c r="F15" s="3">
        <v>6203.7731426107812</v>
      </c>
      <c r="G15" s="67">
        <v>5378.7337736099025</v>
      </c>
      <c r="H15" s="3">
        <v>560.67816273658036</v>
      </c>
      <c r="I15" s="3">
        <v>307.93722927501204</v>
      </c>
      <c r="J15" s="3">
        <v>252.74093346156647</v>
      </c>
      <c r="K15" s="62">
        <v>12552.796253683542</v>
      </c>
      <c r="L15" s="3">
        <v>6731.3619145046359</v>
      </c>
      <c r="M15" s="3">
        <v>5821.4343391777293</v>
      </c>
      <c r="N15" s="70">
        <v>11973.205421874654</v>
      </c>
      <c r="O15" s="3">
        <v>6413.0374162054541</v>
      </c>
      <c r="P15" s="67">
        <v>5560.1680056680234</v>
      </c>
      <c r="Q15" s="3">
        <v>579.59083180874154</v>
      </c>
      <c r="R15" s="3">
        <v>318.32449829910234</v>
      </c>
      <c r="S15" s="63">
        <v>261.26633350964147</v>
      </c>
      <c r="T15" s="3">
        <v>12974.975399516199</v>
      </c>
      <c r="U15" s="3">
        <v>6957.7529564630249</v>
      </c>
      <c r="V15" s="3">
        <v>6017.2224430531141</v>
      </c>
      <c r="W15" s="70">
        <v>12375.89160714619</v>
      </c>
      <c r="X15" s="3">
        <v>6628.7224798245743</v>
      </c>
      <c r="Y15" s="67">
        <v>5747.1691273215556</v>
      </c>
      <c r="Z15" s="3">
        <v>599.08379236997962</v>
      </c>
      <c r="AA15" s="3">
        <v>329.03047663843421</v>
      </c>
      <c r="AB15" s="3">
        <v>270.05331573154427</v>
      </c>
    </row>
    <row r="16" spans="1:165" x14ac:dyDescent="0.2">
      <c r="A16" s="214" t="s">
        <v>15</v>
      </c>
      <c r="B16" s="3">
        <v>9152.4173663287111</v>
      </c>
      <c r="C16" s="3">
        <v>5076.6066807363413</v>
      </c>
      <c r="D16" s="67">
        <v>4075.8106855926694</v>
      </c>
      <c r="E16" s="70">
        <v>8614.979749197857</v>
      </c>
      <c r="F16" s="3">
        <v>4794.8150652677314</v>
      </c>
      <c r="G16" s="67">
        <v>3820.1646839304253</v>
      </c>
      <c r="H16" s="3">
        <v>537.43761713091817</v>
      </c>
      <c r="I16" s="3">
        <v>281.7916154686431</v>
      </c>
      <c r="J16" s="3">
        <v>255.64600166227413</v>
      </c>
      <c r="K16" s="62">
        <v>9461.1446404853559</v>
      </c>
      <c r="L16" s="3">
        <v>5247.8496299782601</v>
      </c>
      <c r="M16" s="3">
        <v>4213.295010505919</v>
      </c>
      <c r="N16" s="70">
        <v>8905.5782991141423</v>
      </c>
      <c r="O16" s="3">
        <v>4956.5526834214616</v>
      </c>
      <c r="P16" s="67">
        <v>3949.025615691548</v>
      </c>
      <c r="Q16" s="3">
        <v>555.56634137107289</v>
      </c>
      <c r="R16" s="3">
        <v>291.29694655672614</v>
      </c>
      <c r="S16" s="63">
        <v>264.26939481434994</v>
      </c>
      <c r="T16" s="3">
        <v>9779.3444966927564</v>
      </c>
      <c r="U16" s="3">
        <v>5424.3467728838305</v>
      </c>
      <c r="V16" s="3">
        <v>4354.9977238088659</v>
      </c>
      <c r="W16" s="70">
        <v>9205.0931931256491</v>
      </c>
      <c r="X16" s="3">
        <v>5123.2528461486445</v>
      </c>
      <c r="Y16" s="67">
        <v>4081.8403469769446</v>
      </c>
      <c r="Z16" s="3">
        <v>574.2513035670795</v>
      </c>
      <c r="AA16" s="3">
        <v>301.09392673517056</v>
      </c>
      <c r="AB16" s="3">
        <v>273.1573768319069</v>
      </c>
    </row>
    <row r="17" spans="1:80" x14ac:dyDescent="0.2">
      <c r="A17" s="214" t="s">
        <v>16</v>
      </c>
      <c r="B17" s="3">
        <v>7211.8318082562209</v>
      </c>
      <c r="C17" s="3">
        <v>3924.7471391558888</v>
      </c>
      <c r="D17" s="67">
        <v>3287.0846691006323</v>
      </c>
      <c r="E17" s="70">
        <v>6803.6697260568426</v>
      </c>
      <c r="F17" s="3">
        <v>3721.3923651063765</v>
      </c>
      <c r="G17" s="67">
        <v>3082.2773609507663</v>
      </c>
      <c r="H17" s="3">
        <v>408.16208219942632</v>
      </c>
      <c r="I17" s="3">
        <v>203.35477404953625</v>
      </c>
      <c r="J17" s="3">
        <v>204.80730814989008</v>
      </c>
      <c r="K17" s="62">
        <v>7455.0996889395683</v>
      </c>
      <c r="L17" s="3">
        <v>4057.1358226610487</v>
      </c>
      <c r="M17" s="3">
        <v>3397.9638662775651</v>
      </c>
      <c r="N17" s="70">
        <v>7033.1695756279169</v>
      </c>
      <c r="O17" s="3">
        <v>3846.9215313314639</v>
      </c>
      <c r="P17" s="67">
        <v>3186.2480442956262</v>
      </c>
      <c r="Q17" s="3">
        <v>421.93011331154446</v>
      </c>
      <c r="R17" s="3">
        <v>210.21429132959665</v>
      </c>
      <c r="S17" s="63">
        <v>211.71582198195091</v>
      </c>
      <c r="T17" s="3">
        <v>7705.8316816504457</v>
      </c>
      <c r="U17" s="3">
        <v>4193.5865465900033</v>
      </c>
      <c r="V17" s="3">
        <v>3512.2451350603815</v>
      </c>
      <c r="W17" s="70">
        <v>7269.7110970494805</v>
      </c>
      <c r="X17" s="3">
        <v>3976.3022695646114</v>
      </c>
      <c r="Y17" s="67">
        <v>3293.4088274848082</v>
      </c>
      <c r="Z17" s="3">
        <v>436.12058460094488</v>
      </c>
      <c r="AA17" s="3">
        <v>217.28427702538028</v>
      </c>
      <c r="AB17" s="3">
        <v>218.83630757556156</v>
      </c>
    </row>
    <row r="18" spans="1:80" x14ac:dyDescent="0.2">
      <c r="A18" s="214" t="s">
        <v>17</v>
      </c>
      <c r="B18" s="3">
        <v>6267.6846430263422</v>
      </c>
      <c r="C18" s="3">
        <v>3330.660692111242</v>
      </c>
      <c r="D18" s="67">
        <v>2937.0239509154003</v>
      </c>
      <c r="E18" s="70">
        <v>5904.5511179379273</v>
      </c>
      <c r="F18" s="3">
        <v>3136.0211226638517</v>
      </c>
      <c r="G18" s="67">
        <v>2768.5299952743758</v>
      </c>
      <c r="H18" s="3">
        <v>363.13352508845759</v>
      </c>
      <c r="I18" s="3">
        <v>194.63956944741327</v>
      </c>
      <c r="J18" s="3">
        <v>168.49395564104432</v>
      </c>
      <c r="K18" s="62">
        <v>6479.1047649090578</v>
      </c>
      <c r="L18" s="3">
        <v>3443.0097858481904</v>
      </c>
      <c r="M18" s="3">
        <v>3036.0949790602085</v>
      </c>
      <c r="N18" s="70">
        <v>6103.7221018204</v>
      </c>
      <c r="O18" s="3">
        <v>3241.8046784327307</v>
      </c>
      <c r="P18" s="67">
        <v>2861.917423387124</v>
      </c>
      <c r="Q18" s="3">
        <v>375.38266308856322</v>
      </c>
      <c r="R18" s="3">
        <v>201.20510741547108</v>
      </c>
      <c r="S18" s="63">
        <v>174.17755567309436</v>
      </c>
      <c r="T18" s="3">
        <v>6697.0118240325546</v>
      </c>
      <c r="U18" s="3">
        <v>3558.8060515658226</v>
      </c>
      <c r="V18" s="3">
        <v>3138.2057724666711</v>
      </c>
      <c r="W18" s="70">
        <v>6309.0041864872119</v>
      </c>
      <c r="X18" s="3">
        <v>3350.8339578415189</v>
      </c>
      <c r="Y18" s="67">
        <v>2958.1702286456321</v>
      </c>
      <c r="Z18" s="3">
        <v>388.00763754532414</v>
      </c>
      <c r="AA18" s="3">
        <v>207.97209372429256</v>
      </c>
      <c r="AB18" s="3">
        <v>180.03554382102942</v>
      </c>
    </row>
    <row r="19" spans="1:80" x14ac:dyDescent="0.2">
      <c r="A19" s="214" t="s">
        <v>18</v>
      </c>
      <c r="B19" s="3">
        <v>4809.2116071862947</v>
      </c>
      <c r="C19" s="3">
        <v>2406.2360448157801</v>
      </c>
      <c r="D19" s="67">
        <v>2402.9755623702299</v>
      </c>
      <c r="E19" s="70">
        <v>4556.5242176561524</v>
      </c>
      <c r="F19" s="3">
        <v>2280.7074706620965</v>
      </c>
      <c r="G19" s="67">
        <v>2275.8167469937712</v>
      </c>
      <c r="H19" s="3">
        <v>252.6873895301074</v>
      </c>
      <c r="I19" s="3">
        <v>125.52857415366638</v>
      </c>
      <c r="J19" s="3">
        <v>127.15881537644127</v>
      </c>
      <c r="K19" s="62">
        <v>4971.4348462375874</v>
      </c>
      <c r="L19" s="3">
        <v>2487.4026552700689</v>
      </c>
      <c r="M19" s="3">
        <v>2484.0321909675349</v>
      </c>
      <c r="N19" s="70">
        <v>4710.2238627912066</v>
      </c>
      <c r="O19" s="3">
        <v>2357.6397796225119</v>
      </c>
      <c r="P19" s="67">
        <v>2352.584083168711</v>
      </c>
      <c r="Q19" s="3">
        <v>261.21098344638858</v>
      </c>
      <c r="R19" s="3">
        <v>129.76287564756026</v>
      </c>
      <c r="S19" s="63">
        <v>131.44810779882729</v>
      </c>
      <c r="T19" s="3">
        <v>5138.6355300169917</v>
      </c>
      <c r="U19" s="3">
        <v>2571.0596753575273</v>
      </c>
      <c r="V19" s="3">
        <v>2567.5758546592106</v>
      </c>
      <c r="W19" s="70">
        <v>4868.6394258974415</v>
      </c>
      <c r="X19" s="3">
        <v>2436.9325784723314</v>
      </c>
      <c r="Y19" s="67">
        <v>2431.7068474248563</v>
      </c>
      <c r="Z19" s="3">
        <v>269.99610411952057</v>
      </c>
      <c r="AA19" s="3">
        <v>134.12709688518154</v>
      </c>
      <c r="AB19" s="3">
        <v>135.86900723433973</v>
      </c>
    </row>
    <row r="20" spans="1:80" x14ac:dyDescent="0.2">
      <c r="A20" s="214" t="s">
        <v>19</v>
      </c>
      <c r="B20" s="3">
        <v>4505.9867397501239</v>
      </c>
      <c r="C20" s="3">
        <v>2081.8180414835329</v>
      </c>
      <c r="D20" s="67">
        <v>2424.1686982663064</v>
      </c>
      <c r="E20" s="70">
        <v>4253.2993502199815</v>
      </c>
      <c r="F20" s="3">
        <v>1961.1801909981866</v>
      </c>
      <c r="G20" s="67">
        <v>2292.1191592215223</v>
      </c>
      <c r="H20" s="3">
        <v>252.6873895301074</v>
      </c>
      <c r="I20" s="3">
        <v>120.63785048534173</v>
      </c>
      <c r="J20" s="3">
        <v>132.04953904476594</v>
      </c>
      <c r="K20" s="62">
        <v>4657.9816661019304</v>
      </c>
      <c r="L20" s="3">
        <v>2152.0414571679412</v>
      </c>
      <c r="M20" s="3">
        <v>2505.9402089340056</v>
      </c>
      <c r="N20" s="70">
        <v>4396.7706826555495</v>
      </c>
      <c r="O20" s="3">
        <v>2027.3342779741849</v>
      </c>
      <c r="P20" s="67">
        <v>2369.4364046813807</v>
      </c>
      <c r="Q20" s="3">
        <v>261.21098344638858</v>
      </c>
      <c r="R20" s="3">
        <v>124.70717919375919</v>
      </c>
      <c r="S20" s="63">
        <v>136.50380425262838</v>
      </c>
      <c r="T20" s="3">
        <v>4814.6402050735314</v>
      </c>
      <c r="U20" s="3">
        <v>2224.4195158750081</v>
      </c>
      <c r="V20" s="3">
        <v>2590.2206891982696</v>
      </c>
      <c r="W20" s="70">
        <v>4544.6441009539813</v>
      </c>
      <c r="X20" s="3">
        <v>2095.5181500372873</v>
      </c>
      <c r="Y20" s="67">
        <v>2449.1259509164402</v>
      </c>
      <c r="Z20" s="3">
        <v>269.99610411952057</v>
      </c>
      <c r="AA20" s="3">
        <v>128.90136583770698</v>
      </c>
      <c r="AB20" s="3">
        <v>141.0947382818143</v>
      </c>
    </row>
    <row r="21" spans="1:80" x14ac:dyDescent="0.2">
      <c r="A21" s="214" t="s">
        <v>20</v>
      </c>
      <c r="B21" s="3">
        <v>3855.5204918628547</v>
      </c>
      <c r="C21" s="3">
        <v>1899.231024532741</v>
      </c>
      <c r="D21" s="67">
        <v>1956.289467329862</v>
      </c>
      <c r="E21" s="70">
        <v>3718.5802291497453</v>
      </c>
      <c r="F21" s="3">
        <v>1822.6096870623214</v>
      </c>
      <c r="G21" s="67">
        <v>1895.9705420871912</v>
      </c>
      <c r="H21" s="3">
        <v>136.94026271309059</v>
      </c>
      <c r="I21" s="3">
        <v>76.621337470419846</v>
      </c>
      <c r="J21" s="3">
        <v>60.318925242670986</v>
      </c>
      <c r="K21" s="62">
        <v>3985.5740377464081</v>
      </c>
      <c r="L21" s="3">
        <v>1963.29545622604</v>
      </c>
      <c r="M21" s="3">
        <v>2022.278581520384</v>
      </c>
      <c r="N21" s="70">
        <v>3844.0145370399823</v>
      </c>
      <c r="O21" s="3">
        <v>1884.0895451164922</v>
      </c>
      <c r="P21" s="67">
        <v>1959.924991923506</v>
      </c>
      <c r="Q21" s="3">
        <v>141.55950070642947</v>
      </c>
      <c r="R21" s="3">
        <v>79.20591110954976</v>
      </c>
      <c r="S21" s="63">
        <v>62.353589596879601</v>
      </c>
      <c r="T21" s="3">
        <v>4119.6179757593345</v>
      </c>
      <c r="U21" s="3">
        <v>2029.3255567692711</v>
      </c>
      <c r="V21" s="3">
        <v>2090.2924189898122</v>
      </c>
      <c r="W21" s="70">
        <v>3973.2975064300299</v>
      </c>
      <c r="X21" s="3">
        <v>1947.4557703588375</v>
      </c>
      <c r="Y21" s="67">
        <v>2025.8417360709548</v>
      </c>
      <c r="Z21" s="3">
        <v>146.32046932928887</v>
      </c>
      <c r="AA21" s="3">
        <v>81.869786410435495</v>
      </c>
      <c r="AB21" s="3">
        <v>64.45068291885346</v>
      </c>
    </row>
    <row r="22" spans="1:80" x14ac:dyDescent="0.2">
      <c r="A22" s="214" t="s">
        <v>27</v>
      </c>
      <c r="B22" s="3">
        <v>3478.9347694018038</v>
      </c>
      <c r="C22" s="3">
        <v>1708.4928014680795</v>
      </c>
      <c r="D22" s="67">
        <v>1770.4419679335251</v>
      </c>
      <c r="E22" s="70">
        <v>3366.4481250303211</v>
      </c>
      <c r="F22" s="3">
        <v>1661.2158060076079</v>
      </c>
      <c r="G22" s="67">
        <v>1705.2323190225297</v>
      </c>
      <c r="H22" s="3">
        <v>112.48664437146731</v>
      </c>
      <c r="I22" s="3">
        <v>47.276995460471852</v>
      </c>
      <c r="J22" s="3">
        <v>65.209648910995654</v>
      </c>
      <c r="K22" s="62">
        <v>3596.2854108037372</v>
      </c>
      <c r="L22" s="3">
        <v>1766.1232945278041</v>
      </c>
      <c r="M22" s="3">
        <v>1830.1621162759491</v>
      </c>
      <c r="N22" s="70">
        <v>3480.0043923663161</v>
      </c>
      <c r="O22" s="3">
        <v>1717.2515621410619</v>
      </c>
      <c r="P22" s="67">
        <v>1762.7528302252701</v>
      </c>
      <c r="Q22" s="3">
        <v>116.28101843742411</v>
      </c>
      <c r="R22" s="3">
        <v>48.871732386743474</v>
      </c>
      <c r="S22" s="63">
        <v>67.409286050680649</v>
      </c>
      <c r="T22" s="3">
        <v>3717.2366851037468</v>
      </c>
      <c r="U22" s="3">
        <v>1825.5220459177663</v>
      </c>
      <c r="V22" s="3">
        <v>1891.7146391857764</v>
      </c>
      <c r="W22" s="70">
        <v>3597.044871011818</v>
      </c>
      <c r="X22" s="3">
        <v>1775.0066457921796</v>
      </c>
      <c r="Y22" s="67">
        <v>1822.0382252194499</v>
      </c>
      <c r="Z22" s="3">
        <v>120.19181409191597</v>
      </c>
      <c r="AA22" s="3">
        <v>50.515400125587838</v>
      </c>
      <c r="AB22" s="3">
        <v>69.67641396632807</v>
      </c>
    </row>
    <row r="23" spans="1:80" x14ac:dyDescent="0.2">
      <c r="A23" s="214" t="s">
        <v>41</v>
      </c>
      <c r="B23" s="3">
        <v>154.87291616361432</v>
      </c>
      <c r="C23" s="3">
        <v>42.386271792147177</v>
      </c>
      <c r="D23" s="67">
        <v>112.48664437146731</v>
      </c>
      <c r="E23" s="70">
        <v>140.20074515864036</v>
      </c>
      <c r="F23" s="3">
        <v>39.125789346597394</v>
      </c>
      <c r="G23" s="67">
        <v>101.07495581204311</v>
      </c>
      <c r="H23" s="3">
        <v>14.672171004974022</v>
      </c>
      <c r="I23" s="3">
        <v>3.2604824455497821</v>
      </c>
      <c r="J23" s="3">
        <v>11.411688559424238</v>
      </c>
      <c r="K23" s="62">
        <v>160.09705437036681</v>
      </c>
      <c r="L23" s="3">
        <v>43.816035932942427</v>
      </c>
      <c r="M23" s="3">
        <v>116.28101843742411</v>
      </c>
      <c r="N23" s="70">
        <v>144.92996500896353</v>
      </c>
      <c r="O23" s="3">
        <v>40.445571630408395</v>
      </c>
      <c r="P23" s="67">
        <v>104.484393378555</v>
      </c>
      <c r="Q23" s="3">
        <v>15.167089361403157</v>
      </c>
      <c r="R23" s="3">
        <v>3.3704643025340348</v>
      </c>
      <c r="S23" s="63">
        <v>11.796625058869122</v>
      </c>
      <c r="T23" s="3">
        <v>165.48148317002895</v>
      </c>
      <c r="U23" s="3">
        <v>45.289669078113228</v>
      </c>
      <c r="V23" s="3">
        <v>120.19181409191597</v>
      </c>
      <c r="W23" s="70">
        <v>149.80429002760525</v>
      </c>
      <c r="X23" s="3">
        <v>41.805848379796821</v>
      </c>
      <c r="Y23" s="67">
        <v>107.99844164780855</v>
      </c>
      <c r="Z23" s="3">
        <v>15.677193142423802</v>
      </c>
      <c r="AA23" s="3">
        <v>3.4838206983164004</v>
      </c>
      <c r="AB23" s="3">
        <v>12.193372444107402</v>
      </c>
    </row>
    <row r="24" spans="1:80" x14ac:dyDescent="0.2">
      <c r="A24" s="214" t="s">
        <v>32</v>
      </c>
      <c r="B24" s="3">
        <v>110.85640314869242</v>
      </c>
      <c r="C24" s="3">
        <v>44.016513014922069</v>
      </c>
      <c r="D24" s="67">
        <v>66.839890133770538</v>
      </c>
      <c r="E24" s="70">
        <v>99.44471458926823</v>
      </c>
      <c r="F24" s="3">
        <v>39.125789346597394</v>
      </c>
      <c r="G24" s="67">
        <v>60.318925242670986</v>
      </c>
      <c r="H24" s="3">
        <v>11.411688559424238</v>
      </c>
      <c r="I24" s="3">
        <v>4.8907236683246733</v>
      </c>
      <c r="J24" s="3">
        <v>6.5209648910995641</v>
      </c>
      <c r="K24" s="62">
        <v>114.59578628615709</v>
      </c>
      <c r="L24" s="3">
        <v>45.501268084209443</v>
      </c>
      <c r="M24" s="3">
        <v>69.094518201947665</v>
      </c>
      <c r="N24" s="70">
        <v>102.79916122728798</v>
      </c>
      <c r="O24" s="3">
        <v>40.445571630408395</v>
      </c>
      <c r="P24" s="67">
        <v>62.353589596879601</v>
      </c>
      <c r="Q24" s="3">
        <v>11.796625058869122</v>
      </c>
      <c r="R24" s="3">
        <v>5.055696453801052</v>
      </c>
      <c r="S24" s="63">
        <v>6.7409286050680697</v>
      </c>
      <c r="T24" s="3">
        <v>118.44990374275777</v>
      </c>
      <c r="U24" s="3">
        <v>47.031579427271431</v>
      </c>
      <c r="V24" s="3">
        <v>71.418324315486274</v>
      </c>
      <c r="W24" s="70">
        <v>106.25653129865034</v>
      </c>
      <c r="X24" s="3">
        <v>41.805848379796821</v>
      </c>
      <c r="Y24" s="67">
        <v>64.45068291885346</v>
      </c>
      <c r="Z24" s="3">
        <v>12.193372444107402</v>
      </c>
      <c r="AA24" s="3">
        <v>5.2257310474746008</v>
      </c>
      <c r="AB24" s="3">
        <v>6.9676413966328008</v>
      </c>
    </row>
    <row r="25" spans="1:80" ht="12.75" thickBot="1" x14ac:dyDescent="0.25">
      <c r="A25" s="215" t="s">
        <v>30</v>
      </c>
      <c r="B25" s="7">
        <v>68.470131356545423</v>
      </c>
      <c r="C25" s="7">
        <v>16.302412227748913</v>
      </c>
      <c r="D25" s="68">
        <v>52.167719128796527</v>
      </c>
      <c r="E25" s="71">
        <v>60.318925242670986</v>
      </c>
      <c r="F25" s="7">
        <v>14.672171004974022</v>
      </c>
      <c r="G25" s="68">
        <v>45.64675423769696</v>
      </c>
      <c r="H25" s="7">
        <v>8.1512061138744549</v>
      </c>
      <c r="I25" s="7">
        <v>1.630241222774891</v>
      </c>
      <c r="J25" s="7">
        <v>6.5209648910995641</v>
      </c>
      <c r="K25" s="65">
        <v>70.779750353214681</v>
      </c>
      <c r="L25" s="7">
        <v>16.852321512670173</v>
      </c>
      <c r="M25" s="7">
        <v>53.927428840544522</v>
      </c>
      <c r="N25" s="71">
        <v>62.353589596879601</v>
      </c>
      <c r="O25" s="7">
        <v>15.167089361403157</v>
      </c>
      <c r="P25" s="68">
        <v>47.186500235476458</v>
      </c>
      <c r="Q25" s="7">
        <v>8.4261607563350864</v>
      </c>
      <c r="R25" s="7">
        <v>1.6852321512670174</v>
      </c>
      <c r="S25" s="66">
        <v>6.7409286050680697</v>
      </c>
      <c r="T25" s="7">
        <v>73.160234664644477</v>
      </c>
      <c r="U25" s="7">
        <v>17.419103491582003</v>
      </c>
      <c r="V25" s="7">
        <v>55.741131173062449</v>
      </c>
      <c r="W25" s="71">
        <v>64.45068291885346</v>
      </c>
      <c r="X25" s="7">
        <v>15.677193142423802</v>
      </c>
      <c r="Y25" s="68">
        <v>48.773489776429635</v>
      </c>
      <c r="Z25" s="7">
        <v>8.7095517457910017</v>
      </c>
      <c r="AA25" s="7">
        <v>1.7419103491582002</v>
      </c>
      <c r="AB25" s="7">
        <v>6.9676413966328008</v>
      </c>
    </row>
    <row r="26" spans="1:80" x14ac:dyDescent="0.2">
      <c r="A26" s="225" t="s">
        <v>97</v>
      </c>
      <c r="B26" s="155">
        <v>154214.82074997743</v>
      </c>
      <c r="C26" s="155">
        <v>76627.3475589179</v>
      </c>
      <c r="D26" s="122">
        <v>77587.473191104742</v>
      </c>
      <c r="E26" s="155">
        <v>147082.81380123983</v>
      </c>
      <c r="F26" s="155">
        <v>73032.060792997887</v>
      </c>
      <c r="G26" s="122">
        <v>74050.75300828222</v>
      </c>
      <c r="H26" s="155">
        <v>7132.0069487484052</v>
      </c>
      <c r="I26" s="155">
        <v>3595.2867659231965</v>
      </c>
      <c r="J26" s="155">
        <v>3536.7201828254711</v>
      </c>
      <c r="K26" s="211">
        <v>159416.76023123623</v>
      </c>
      <c r="L26" s="155">
        <v>79212.123929056179</v>
      </c>
      <c r="M26" s="122">
        <v>80204.636302081228</v>
      </c>
      <c r="N26" s="155">
        <v>152044.17803591417</v>
      </c>
      <c r="O26" s="155">
        <v>75495.561762474594</v>
      </c>
      <c r="P26" s="122">
        <v>76548.61627334237</v>
      </c>
      <c r="Q26" s="155">
        <v>7372.5821953101567</v>
      </c>
      <c r="R26" s="155">
        <v>3716.5621665766544</v>
      </c>
      <c r="S26" s="210">
        <v>3656.0200287339089</v>
      </c>
      <c r="T26" s="155">
        <v>164778.30918852109</v>
      </c>
      <c r="U26" s="155">
        <v>81876.20818116529</v>
      </c>
      <c r="V26" s="122">
        <v>82902.101007231598</v>
      </c>
      <c r="W26" s="155">
        <v>157157.77025185834</v>
      </c>
      <c r="X26" s="155">
        <v>78034.649558877078</v>
      </c>
      <c r="Y26" s="122">
        <v>79123.120692857367</v>
      </c>
      <c r="Z26" s="155">
        <v>7620.5389366545132</v>
      </c>
      <c r="AA26" s="155">
        <v>3841.5586222836523</v>
      </c>
      <c r="AB26" s="155">
        <v>3778.9803143697322</v>
      </c>
    </row>
    <row r="27" spans="1:80" ht="12.75" thickBot="1" x14ac:dyDescent="0.25">
      <c r="A27" s="222" t="s">
        <v>22</v>
      </c>
      <c r="B27" s="3">
        <v>7835.0684286200494</v>
      </c>
      <c r="C27" s="3">
        <v>3818.6343323224287</v>
      </c>
      <c r="D27" s="67">
        <v>4016.4340962988431</v>
      </c>
      <c r="E27" s="3">
        <v>7539.742392127584</v>
      </c>
      <c r="F27" s="3">
        <v>3673.0317282842348</v>
      </c>
      <c r="G27" s="67">
        <v>3866.7106638444739</v>
      </c>
      <c r="H27" s="3">
        <v>295.32603649255623</v>
      </c>
      <c r="I27" s="3">
        <v>145.60260403819089</v>
      </c>
      <c r="J27" s="3">
        <v>149.7234324543661</v>
      </c>
      <c r="K27" s="65">
        <v>8099.3591861293289</v>
      </c>
      <c r="L27" s="7">
        <v>3947.4436426091024</v>
      </c>
      <c r="M27" s="68">
        <v>4151.9155435212242</v>
      </c>
      <c r="N27" s="7">
        <v>7794.071278517551</v>
      </c>
      <c r="O27" s="7">
        <v>3796.9296044376661</v>
      </c>
      <c r="P27" s="68">
        <v>3997.1416740808031</v>
      </c>
      <c r="Q27" s="7">
        <v>305.2879076118391</v>
      </c>
      <c r="R27" s="7">
        <v>150.51403817141838</v>
      </c>
      <c r="S27" s="66">
        <v>154.77386944042078</v>
      </c>
      <c r="T27" s="3">
        <v>8371.7590940002574</v>
      </c>
      <c r="U27" s="3">
        <v>4080.2051685338442</v>
      </c>
      <c r="V27" s="67">
        <v>4291.553925465154</v>
      </c>
      <c r="W27" s="3">
        <v>8056.2036583041972</v>
      </c>
      <c r="X27" s="3">
        <v>3924.6290002372302</v>
      </c>
      <c r="Y27" s="67">
        <v>4131.574658065756</v>
      </c>
      <c r="Z27" s="3">
        <v>315.55543569596705</v>
      </c>
      <c r="AA27" s="3">
        <v>155.57616829661671</v>
      </c>
      <c r="AB27" s="3">
        <v>159.97926739935116</v>
      </c>
    </row>
    <row r="28" spans="1:80" ht="12.75" thickBot="1" x14ac:dyDescent="0.25">
      <c r="A28" s="228" t="s">
        <v>21</v>
      </c>
      <c r="B28" s="7">
        <v>176628.11144659363</v>
      </c>
      <c r="C28" s="7">
        <v>88233.627807570287</v>
      </c>
      <c r="D28" s="68">
        <v>88394.483639104845</v>
      </c>
      <c r="E28" s="7">
        <v>169401.59877042304</v>
      </c>
      <c r="F28" s="7">
        <v>84555.691246593109</v>
      </c>
      <c r="G28" s="68">
        <v>84845.907523880771</v>
      </c>
      <c r="H28" s="7">
        <v>7226.5126761836445</v>
      </c>
      <c r="I28" s="7">
        <v>3677.9365609675688</v>
      </c>
      <c r="J28" s="66">
        <v>3548.5761152160385</v>
      </c>
      <c r="K28" s="7">
        <v>182586.09098394291</v>
      </c>
      <c r="L28" s="7">
        <v>91209.904599979229</v>
      </c>
      <c r="M28" s="68">
        <v>91376.186384072702</v>
      </c>
      <c r="N28" s="7">
        <v>175115.81521536637</v>
      </c>
      <c r="O28" s="7">
        <v>87407.904714148695</v>
      </c>
      <c r="P28" s="68">
        <v>87707.910501315724</v>
      </c>
      <c r="Q28" s="7">
        <v>7470.2757685847109</v>
      </c>
      <c r="R28" s="7">
        <v>3801.9998858282593</v>
      </c>
      <c r="S28" s="66">
        <v>3668.2758827561129</v>
      </c>
      <c r="T28" s="65">
        <v>188726.87733726378</v>
      </c>
      <c r="U28" s="7">
        <v>94277.501558987846</v>
      </c>
      <c r="V28" s="68">
        <v>94449.37577843765</v>
      </c>
      <c r="W28" s="7">
        <v>181005.35916985013</v>
      </c>
      <c r="X28" s="7">
        <v>90347.631752238536</v>
      </c>
      <c r="Y28" s="68">
        <v>90657.727417741917</v>
      </c>
      <c r="Z28" s="7">
        <v>7721.5181674409932</v>
      </c>
      <c r="AA28" s="7">
        <v>3929.8698067466107</v>
      </c>
      <c r="AB28" s="7">
        <v>3791.6483606941301</v>
      </c>
    </row>
    <row r="29" spans="1:80" customFormat="1" ht="15" x14ac:dyDescent="0.25">
      <c r="A29" s="60" t="s">
        <v>121</v>
      </c>
      <c r="B29" s="60"/>
      <c r="C29" s="5"/>
      <c r="D29" s="5"/>
      <c r="E29" s="5"/>
      <c r="F29" s="5"/>
      <c r="G29" s="5"/>
      <c r="H29" s="5"/>
      <c r="I29" s="5"/>
      <c r="J29" s="5"/>
      <c r="K29" s="56"/>
      <c r="L29" s="56"/>
      <c r="M29" s="56"/>
      <c r="N29" s="56"/>
      <c r="O29" s="56"/>
      <c r="P29" s="56"/>
      <c r="Q29" s="56"/>
      <c r="R29" s="56"/>
      <c r="S29" s="56"/>
      <c r="T29" s="56"/>
      <c r="U29" s="56"/>
      <c r="V29" s="56"/>
      <c r="W29" s="56"/>
      <c r="X29" s="56"/>
      <c r="Y29" s="56"/>
      <c r="Z29" s="56"/>
      <c r="AA29" s="56"/>
      <c r="AB29" s="56"/>
      <c r="AC29" s="234"/>
      <c r="AD29" s="234"/>
      <c r="AE29" s="234"/>
      <c r="AF29" s="234"/>
      <c r="AG29" s="234"/>
      <c r="AH29" s="234"/>
      <c r="AI29" s="234"/>
      <c r="AJ29" s="234"/>
      <c r="AK29" s="234"/>
      <c r="AL29" s="234"/>
      <c r="AM29" s="234"/>
      <c r="AN29" s="234"/>
      <c r="AO29" s="234"/>
      <c r="AP29" s="234"/>
      <c r="AQ29" s="234"/>
      <c r="AR29" s="234"/>
      <c r="AS29" s="234"/>
      <c r="AT29" s="234"/>
      <c r="AU29" s="234"/>
      <c r="AV29" s="234"/>
      <c r="AW29" s="234"/>
      <c r="AX29" s="234"/>
      <c r="AY29" s="234"/>
      <c r="AZ29" s="234"/>
      <c r="BA29" s="234"/>
      <c r="BB29" s="234"/>
      <c r="BC29" s="234"/>
      <c r="BD29" s="234"/>
      <c r="BE29" s="234"/>
      <c r="BF29" s="234"/>
      <c r="BG29" s="234"/>
      <c r="BH29" s="234"/>
      <c r="BI29" s="234"/>
      <c r="BJ29" s="234"/>
      <c r="BK29" s="234"/>
      <c r="BL29" s="234"/>
      <c r="BM29" s="234"/>
      <c r="BN29" s="234"/>
      <c r="BO29" s="234"/>
      <c r="BP29" s="234"/>
      <c r="BQ29" s="234"/>
      <c r="BR29" s="234"/>
      <c r="BS29" s="234"/>
      <c r="BT29" s="234"/>
      <c r="BU29" s="234"/>
      <c r="BV29" s="234"/>
      <c r="BW29" s="234"/>
      <c r="BX29" s="234"/>
      <c r="BY29" s="234"/>
      <c r="BZ29" s="234"/>
      <c r="CA29" s="234"/>
      <c r="CB29" s="234"/>
    </row>
    <row r="32" spans="1:80" x14ac:dyDescent="0.2">
      <c r="B32" s="8"/>
    </row>
  </sheetData>
  <mergeCells count="14">
    <mergeCell ref="A1:I1"/>
    <mergeCell ref="B2:J2"/>
    <mergeCell ref="A2:A4"/>
    <mergeCell ref="K2:S2"/>
    <mergeCell ref="T2:AB2"/>
    <mergeCell ref="B3:D3"/>
    <mergeCell ref="E3:G3"/>
    <mergeCell ref="H3:J3"/>
    <mergeCell ref="K3:M3"/>
    <mergeCell ref="N3:P3"/>
    <mergeCell ref="Q3:S3"/>
    <mergeCell ref="T3:V3"/>
    <mergeCell ref="W3:Y3"/>
    <mergeCell ref="Z3:AB3"/>
  </mergeCells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B33"/>
  <sheetViews>
    <sheetView workbookViewId="0">
      <pane xSplit="1" topLeftCell="B1" activePane="topRight" state="frozen"/>
      <selection pane="topRight" activeCell="Q17" sqref="Q17"/>
    </sheetView>
  </sheetViews>
  <sheetFormatPr defaultColWidth="9.140625" defaultRowHeight="12" x14ac:dyDescent="0.2"/>
  <cols>
    <col min="1" max="1" width="16" style="1" customWidth="1"/>
    <col min="2" max="16384" width="9.140625" style="1"/>
  </cols>
  <sheetData>
    <row r="1" spans="1:28" ht="20.25" customHeight="1" thickBot="1" x14ac:dyDescent="0.25">
      <c r="A1" s="223" t="s">
        <v>116</v>
      </c>
      <c r="B1" s="59"/>
      <c r="C1" s="59"/>
      <c r="D1" s="59"/>
      <c r="E1" s="59"/>
      <c r="F1" s="59"/>
      <c r="G1" s="59"/>
      <c r="H1" s="59"/>
      <c r="I1" s="59"/>
      <c r="J1" s="59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</row>
    <row r="2" spans="1:28" x14ac:dyDescent="0.2">
      <c r="A2" s="261" t="s">
        <v>36</v>
      </c>
      <c r="B2" s="236" t="s">
        <v>77</v>
      </c>
      <c r="C2" s="236"/>
      <c r="D2" s="236"/>
      <c r="E2" s="236"/>
      <c r="F2" s="236"/>
      <c r="G2" s="236"/>
      <c r="H2" s="236"/>
      <c r="I2" s="236"/>
      <c r="J2" s="236"/>
      <c r="K2" s="235" t="s">
        <v>78</v>
      </c>
      <c r="L2" s="236"/>
      <c r="M2" s="236"/>
      <c r="N2" s="236"/>
      <c r="O2" s="236"/>
      <c r="P2" s="236"/>
      <c r="Q2" s="236"/>
      <c r="R2" s="236"/>
      <c r="S2" s="237"/>
      <c r="T2" s="236" t="s">
        <v>79</v>
      </c>
      <c r="U2" s="236"/>
      <c r="V2" s="236"/>
      <c r="W2" s="236"/>
      <c r="X2" s="236"/>
      <c r="Y2" s="236"/>
      <c r="Z2" s="236"/>
      <c r="AA2" s="236"/>
      <c r="AB2" s="236"/>
    </row>
    <row r="3" spans="1:28" ht="12.75" customHeight="1" thickBot="1" x14ac:dyDescent="0.25">
      <c r="A3" s="261"/>
      <c r="B3" s="11"/>
      <c r="C3" s="11" t="s">
        <v>0</v>
      </c>
      <c r="D3" s="11"/>
      <c r="E3" s="86"/>
      <c r="F3" s="13" t="s">
        <v>1</v>
      </c>
      <c r="G3" s="14"/>
      <c r="H3" s="11"/>
      <c r="I3" s="11" t="s">
        <v>2</v>
      </c>
      <c r="J3" s="11"/>
      <c r="K3" s="88"/>
      <c r="L3" s="11" t="s">
        <v>0</v>
      </c>
      <c r="M3" s="11"/>
      <c r="N3" s="86"/>
      <c r="O3" s="13" t="s">
        <v>1</v>
      </c>
      <c r="P3" s="14"/>
      <c r="Q3" s="11"/>
      <c r="R3" s="11" t="s">
        <v>2</v>
      </c>
      <c r="S3" s="15"/>
      <c r="T3" s="11"/>
      <c r="U3" s="11" t="s">
        <v>0</v>
      </c>
      <c r="V3" s="11"/>
      <c r="W3" s="86"/>
      <c r="X3" s="13" t="s">
        <v>1</v>
      </c>
      <c r="Y3" s="14"/>
      <c r="Z3" s="11"/>
      <c r="AA3" s="11" t="s">
        <v>2</v>
      </c>
      <c r="AB3" s="11"/>
    </row>
    <row r="4" spans="1:28" ht="15.75" customHeight="1" thickBot="1" x14ac:dyDescent="0.25">
      <c r="A4" s="242"/>
      <c r="B4" s="9" t="s">
        <v>0</v>
      </c>
      <c r="C4" s="10" t="s">
        <v>3</v>
      </c>
      <c r="D4" s="10" t="s">
        <v>4</v>
      </c>
      <c r="E4" s="87" t="s">
        <v>0</v>
      </c>
      <c r="F4" s="10" t="s">
        <v>3</v>
      </c>
      <c r="G4" s="16" t="s">
        <v>4</v>
      </c>
      <c r="H4" s="139" t="s">
        <v>0</v>
      </c>
      <c r="I4" s="135" t="s">
        <v>3</v>
      </c>
      <c r="J4" s="135" t="s">
        <v>4</v>
      </c>
      <c r="K4" s="141" t="s">
        <v>0</v>
      </c>
      <c r="L4" s="135" t="s">
        <v>3</v>
      </c>
      <c r="M4" s="135" t="s">
        <v>4</v>
      </c>
      <c r="N4" s="136" t="s">
        <v>0</v>
      </c>
      <c r="O4" s="137" t="s">
        <v>3</v>
      </c>
      <c r="P4" s="138" t="s">
        <v>4</v>
      </c>
      <c r="Q4" s="139" t="s">
        <v>0</v>
      </c>
      <c r="R4" s="135" t="s">
        <v>3</v>
      </c>
      <c r="S4" s="140" t="s">
        <v>4</v>
      </c>
      <c r="T4" s="9" t="s">
        <v>0</v>
      </c>
      <c r="U4" s="10" t="s">
        <v>3</v>
      </c>
      <c r="V4" s="10" t="s">
        <v>4</v>
      </c>
      <c r="W4" s="19" t="s">
        <v>0</v>
      </c>
      <c r="X4" s="20" t="s">
        <v>3</v>
      </c>
      <c r="Y4" s="21" t="s">
        <v>4</v>
      </c>
      <c r="Z4" s="17" t="s">
        <v>0</v>
      </c>
      <c r="AA4" s="10" t="s">
        <v>3</v>
      </c>
      <c r="AB4" s="10" t="s">
        <v>4</v>
      </c>
    </row>
    <row r="5" spans="1:28" ht="12.75" thickBot="1" x14ac:dyDescent="0.25">
      <c r="A5" s="224" t="s">
        <v>76</v>
      </c>
      <c r="B5" s="23">
        <v>15994.271817276694</v>
      </c>
      <c r="C5" s="23">
        <v>8113.8406027607134</v>
      </c>
      <c r="D5" s="24">
        <v>7880.4312145171816</v>
      </c>
      <c r="E5" s="27">
        <v>4749.4984872042724</v>
      </c>
      <c r="F5" s="28">
        <v>2487.6358780565834</v>
      </c>
      <c r="G5" s="28">
        <v>2261.8626091477704</v>
      </c>
      <c r="H5" s="133">
        <v>11244.773330073136</v>
      </c>
      <c r="I5" s="28">
        <v>5626.2047247042719</v>
      </c>
      <c r="J5" s="28">
        <v>5618.5686053695399</v>
      </c>
      <c r="K5" s="75">
        <v>16533.786979512934</v>
      </c>
      <c r="L5" s="72">
        <v>8387.5348402451709</v>
      </c>
      <c r="M5" s="85">
        <v>8146.2521392678736</v>
      </c>
      <c r="N5" s="84">
        <v>4909.7074967879807</v>
      </c>
      <c r="O5" s="72">
        <v>2571.5482492894853</v>
      </c>
      <c r="P5" s="85">
        <v>2338.1592474985887</v>
      </c>
      <c r="Q5" s="72">
        <v>11624.079482724919</v>
      </c>
      <c r="R5" s="72">
        <v>5815.9865909557193</v>
      </c>
      <c r="S5" s="74">
        <v>5808.0928917693509</v>
      </c>
      <c r="T5" s="72">
        <v>17089.855916136567</v>
      </c>
      <c r="U5" s="72">
        <v>8669.6267521154896</v>
      </c>
      <c r="V5" s="72">
        <v>8420.2291640210296</v>
      </c>
      <c r="W5" s="69">
        <v>5074.8321491286843</v>
      </c>
      <c r="X5" s="72">
        <v>2658.035277471507</v>
      </c>
      <c r="Y5" s="85">
        <v>2416.7968716568525</v>
      </c>
      <c r="Z5" s="72">
        <v>12015.023767007578</v>
      </c>
      <c r="AA5" s="72">
        <v>6011.5914746435028</v>
      </c>
      <c r="AB5" s="72">
        <v>6003.4322923637046</v>
      </c>
    </row>
    <row r="6" spans="1:28" x14ac:dyDescent="0.2">
      <c r="A6" s="213" t="s">
        <v>5</v>
      </c>
      <c r="B6" s="3">
        <v>2796.759237326743</v>
      </c>
      <c r="C6" s="3">
        <v>1365.8276197807995</v>
      </c>
      <c r="D6" s="3">
        <v>1430.931617545923</v>
      </c>
      <c r="E6" s="70">
        <v>762.25930716663379</v>
      </c>
      <c r="F6" s="3">
        <v>375.70432043621878</v>
      </c>
      <c r="G6" s="67">
        <v>386.55498673040557</v>
      </c>
      <c r="H6" s="3">
        <v>2034.4999301600888</v>
      </c>
      <c r="I6" s="3">
        <v>990.12329934456602</v>
      </c>
      <c r="J6" s="3">
        <v>1044.3766308155023</v>
      </c>
      <c r="K6" s="62">
        <v>2891.0988878526646</v>
      </c>
      <c r="L6" s="3">
        <v>1411.8994083742054</v>
      </c>
      <c r="M6" s="3">
        <v>1479.1994794784387</v>
      </c>
      <c r="N6" s="70">
        <v>787.97166584537672</v>
      </c>
      <c r="O6" s="3">
        <v>388.37749366399709</v>
      </c>
      <c r="P6" s="67">
        <v>399.59417218136883</v>
      </c>
      <c r="Q6" s="3">
        <v>2103.1272220072674</v>
      </c>
      <c r="R6" s="3">
        <v>1023.521914710193</v>
      </c>
      <c r="S6" s="63">
        <v>1079.605307297054</v>
      </c>
      <c r="T6" s="3">
        <v>2988.3331322653798</v>
      </c>
      <c r="U6" s="3">
        <v>1459.384803196529</v>
      </c>
      <c r="V6" s="3">
        <v>1528.9483290688559</v>
      </c>
      <c r="W6" s="70">
        <v>814.47294875516536</v>
      </c>
      <c r="X6" s="3">
        <v>401.43951388822455</v>
      </c>
      <c r="Y6" s="67">
        <v>413.0334348669457</v>
      </c>
      <c r="Z6" s="3">
        <v>2173.8601835102195</v>
      </c>
      <c r="AA6" s="3">
        <v>1057.9452893083094</v>
      </c>
      <c r="AB6" s="3">
        <v>1115.9148942019151</v>
      </c>
    </row>
    <row r="7" spans="1:28" x14ac:dyDescent="0.2">
      <c r="A7" s="213" t="s">
        <v>6</v>
      </c>
      <c r="B7" s="3">
        <v>2460.8654570779777</v>
      </c>
      <c r="C7" s="3">
        <v>1287.6621577733636</v>
      </c>
      <c r="D7" s="3">
        <v>1173.2032993046137</v>
      </c>
      <c r="E7" s="70">
        <v>707.56385235222706</v>
      </c>
      <c r="F7" s="3">
        <v>407.1093488717803</v>
      </c>
      <c r="G7" s="67">
        <v>300.45450348044983</v>
      </c>
      <c r="H7" s="3">
        <v>1753.3016047257779</v>
      </c>
      <c r="I7" s="3">
        <v>880.55280890157258</v>
      </c>
      <c r="J7" s="3">
        <v>872.74879582415849</v>
      </c>
      <c r="K7" s="62">
        <v>2543.874814520595</v>
      </c>
      <c r="L7" s="3">
        <v>1331.0972866677434</v>
      </c>
      <c r="M7" s="3">
        <v>1212.7775278528311</v>
      </c>
      <c r="N7" s="70">
        <v>731.43123631034678</v>
      </c>
      <c r="O7" s="3">
        <v>420.84186942120567</v>
      </c>
      <c r="P7" s="67">
        <v>310.58936688913292</v>
      </c>
      <c r="Q7" s="3">
        <v>1812.4435782102278</v>
      </c>
      <c r="R7" s="3">
        <v>910.25541724652112</v>
      </c>
      <c r="S7" s="63">
        <v>902.18816096368619</v>
      </c>
      <c r="T7" s="3">
        <v>2629.4311220235527</v>
      </c>
      <c r="U7" s="3">
        <v>1375.8651219890683</v>
      </c>
      <c r="V7" s="3">
        <v>1253.5660000344844</v>
      </c>
      <c r="W7" s="70">
        <v>756.03093571924558</v>
      </c>
      <c r="X7" s="3">
        <v>434.99574058846298</v>
      </c>
      <c r="Y7" s="67">
        <v>321.0351951307826</v>
      </c>
      <c r="Z7" s="3">
        <v>1873.400186304307</v>
      </c>
      <c r="AA7" s="3">
        <v>940.86938140060522</v>
      </c>
      <c r="AB7" s="3">
        <v>932.53080490370178</v>
      </c>
    </row>
    <row r="8" spans="1:28" x14ac:dyDescent="0.2">
      <c r="A8" s="213" t="s">
        <v>7</v>
      </c>
      <c r="B8" s="3">
        <v>2207.2350320620421</v>
      </c>
      <c r="C8" s="3">
        <v>1115.9738700702387</v>
      </c>
      <c r="D8" s="3">
        <v>1091.2611619917586</v>
      </c>
      <c r="E8" s="70">
        <v>623.02037734690782</v>
      </c>
      <c r="F8" s="3">
        <v>309.55918540409999</v>
      </c>
      <c r="G8" s="67">
        <v>313.4611919428072</v>
      </c>
      <c r="H8" s="3">
        <v>1584.2146547151247</v>
      </c>
      <c r="I8" s="3">
        <v>806.41468466613878</v>
      </c>
      <c r="J8" s="3">
        <v>777.79997004895381</v>
      </c>
      <c r="K8" s="62">
        <v>2281.6889853284597</v>
      </c>
      <c r="L8" s="3">
        <v>1153.6176484453749</v>
      </c>
      <c r="M8" s="3">
        <v>1128.0713368830643</v>
      </c>
      <c r="N8" s="70">
        <v>644.03595991296834</v>
      </c>
      <c r="O8" s="3">
        <v>320.00116588577328</v>
      </c>
      <c r="P8" s="67">
        <v>324.03479402719057</v>
      </c>
      <c r="Q8" s="3">
        <v>1637.6530254154709</v>
      </c>
      <c r="R8" s="3">
        <v>833.61648255958926</v>
      </c>
      <c r="S8" s="63">
        <v>804.03654285586117</v>
      </c>
      <c r="T8" s="3">
        <v>2358.4273858741908</v>
      </c>
      <c r="U8" s="3">
        <v>1192.4164390571925</v>
      </c>
      <c r="V8" s="3">
        <v>1166.0109468169983</v>
      </c>
      <c r="W8" s="70">
        <v>665.69635700279161</v>
      </c>
      <c r="X8" s="3">
        <v>330.76353437716995</v>
      </c>
      <c r="Y8" s="67">
        <v>334.93282262562167</v>
      </c>
      <c r="Z8" s="3">
        <v>1692.7310288713991</v>
      </c>
      <c r="AA8" s="3">
        <v>861.65290468002252</v>
      </c>
      <c r="AB8" s="3">
        <v>831.07812419137656</v>
      </c>
    </row>
    <row r="9" spans="1:28" x14ac:dyDescent="0.2">
      <c r="A9" s="213" t="s">
        <v>8</v>
      </c>
      <c r="B9" s="3">
        <v>2028.8211902302901</v>
      </c>
      <c r="C9" s="3">
        <v>1050.8112461246856</v>
      </c>
      <c r="D9" s="3">
        <v>978.0099441055886</v>
      </c>
      <c r="E9" s="70">
        <v>740.37550543947964</v>
      </c>
      <c r="F9" s="3">
        <v>385.98426164840907</v>
      </c>
      <c r="G9" s="67">
        <v>354.39124379106642</v>
      </c>
      <c r="H9" s="3">
        <v>1288.4456847907945</v>
      </c>
      <c r="I9" s="3">
        <v>664.82698447626581</v>
      </c>
      <c r="J9" s="3">
        <v>623.61870031451281</v>
      </c>
      <c r="K9" s="62">
        <v>2097.2569281055025</v>
      </c>
      <c r="L9" s="3">
        <v>1086.2569735956313</v>
      </c>
      <c r="M9" s="3">
        <v>1010.9999545099241</v>
      </c>
      <c r="N9" s="70">
        <v>765.34968466410896</v>
      </c>
      <c r="O9" s="3">
        <v>399.004195529892</v>
      </c>
      <c r="P9" s="67">
        <v>366.3454891342069</v>
      </c>
      <c r="Q9" s="3">
        <v>1331.9072434414268</v>
      </c>
      <c r="R9" s="3">
        <v>687.25277806572842</v>
      </c>
      <c r="S9" s="63">
        <v>644.65446537570267</v>
      </c>
      <c r="T9" s="3">
        <v>2167.792458246221</v>
      </c>
      <c r="U9" s="3">
        <v>1122.7902711972663</v>
      </c>
      <c r="V9" s="3">
        <v>1045.0021870489593</v>
      </c>
      <c r="W9" s="70">
        <v>791.09013879127781</v>
      </c>
      <c r="X9" s="3">
        <v>412.42361595612294</v>
      </c>
      <c r="Y9" s="67">
        <v>378.66652283515953</v>
      </c>
      <c r="Z9" s="3">
        <v>1376.7023194549477</v>
      </c>
      <c r="AA9" s="3">
        <v>710.3666552411479</v>
      </c>
      <c r="AB9" s="3">
        <v>666.33566421380431</v>
      </c>
    </row>
    <row r="10" spans="1:28" x14ac:dyDescent="0.2">
      <c r="A10" s="213" t="s">
        <v>9</v>
      </c>
      <c r="B10" s="3">
        <v>1410.0242665982332</v>
      </c>
      <c r="C10" s="3">
        <v>734.63449184110277</v>
      </c>
      <c r="D10" s="3">
        <v>675.38977475714137</v>
      </c>
      <c r="E10" s="70">
        <v>490.25003386976277</v>
      </c>
      <c r="F10" s="3">
        <v>279.93128822170786</v>
      </c>
      <c r="G10" s="67">
        <v>210.31874564805585</v>
      </c>
      <c r="H10" s="3">
        <v>919.77423272848216</v>
      </c>
      <c r="I10" s="3">
        <v>454.7032036193873</v>
      </c>
      <c r="J10" s="3">
        <v>465.07102910908014</v>
      </c>
      <c r="K10" s="62">
        <v>1457.5868864936624</v>
      </c>
      <c r="L10" s="3">
        <v>759.4150164924813</v>
      </c>
      <c r="M10" s="3">
        <v>698.17187000115246</v>
      </c>
      <c r="N10" s="70">
        <v>506.78703721574976</v>
      </c>
      <c r="O10" s="3">
        <v>289.37386717153237</v>
      </c>
      <c r="P10" s="67">
        <v>217.41317004422027</v>
      </c>
      <c r="Q10" s="3">
        <v>950.79984927788394</v>
      </c>
      <c r="R10" s="3">
        <v>470.04114932095246</v>
      </c>
      <c r="S10" s="63">
        <v>480.758699956935</v>
      </c>
      <c r="T10" s="3">
        <v>1506.6088553269267</v>
      </c>
      <c r="U10" s="3">
        <v>784.95587420394554</v>
      </c>
      <c r="V10" s="3">
        <v>721.65298112298228</v>
      </c>
      <c r="W10" s="70">
        <v>523.8314402449721</v>
      </c>
      <c r="X10" s="3">
        <v>299.10616980755253</v>
      </c>
      <c r="Y10" s="67">
        <v>224.72527043742068</v>
      </c>
      <c r="Z10" s="3">
        <v>982.77741508195572</v>
      </c>
      <c r="AA10" s="3">
        <v>485.84970439639415</v>
      </c>
      <c r="AB10" s="3">
        <v>496.92771068556272</v>
      </c>
    </row>
    <row r="11" spans="1:28" x14ac:dyDescent="0.2">
      <c r="A11" s="214" t="s">
        <v>10</v>
      </c>
      <c r="B11" s="3">
        <v>941.99100163496769</v>
      </c>
      <c r="C11" s="3">
        <v>442.85426020259547</v>
      </c>
      <c r="D11" s="3">
        <v>499.13674143235664</v>
      </c>
      <c r="E11" s="70">
        <v>278.45017029460888</v>
      </c>
      <c r="F11" s="3">
        <v>136.26284929310694</v>
      </c>
      <c r="G11" s="67">
        <v>142.18732100150285</v>
      </c>
      <c r="H11" s="3">
        <v>663.54083134034909</v>
      </c>
      <c r="I11" s="3">
        <v>306.59141090948947</v>
      </c>
      <c r="J11" s="3">
        <v>356.94942043085473</v>
      </c>
      <c r="K11" s="62">
        <v>973.76602921213225</v>
      </c>
      <c r="L11" s="3">
        <v>457.79252002268669</v>
      </c>
      <c r="M11" s="3">
        <v>515.97350918944915</v>
      </c>
      <c r="N11" s="70">
        <v>287.84278850924915</v>
      </c>
      <c r="O11" s="3">
        <v>140.85923693005779</v>
      </c>
      <c r="P11" s="67">
        <v>146.98355157919079</v>
      </c>
      <c r="Q11" s="3">
        <v>685.92324070288669</v>
      </c>
      <c r="R11" s="3">
        <v>316.93328309263035</v>
      </c>
      <c r="S11" s="63">
        <v>368.98995761025986</v>
      </c>
      <c r="T11" s="3">
        <v>1006.5159999873169</v>
      </c>
      <c r="U11" s="3">
        <v>473.18912578020149</v>
      </c>
      <c r="V11" s="3">
        <v>533.32687420711659</v>
      </c>
      <c r="W11" s="70">
        <v>297.52359748052845</v>
      </c>
      <c r="X11" s="3">
        <v>145.5966540862166</v>
      </c>
      <c r="Y11" s="67">
        <v>151.92694339431293</v>
      </c>
      <c r="Z11" s="3">
        <v>708.99240250678963</v>
      </c>
      <c r="AA11" s="3">
        <v>327.592471693986</v>
      </c>
      <c r="AB11" s="3">
        <v>381.39993081280477</v>
      </c>
    </row>
    <row r="12" spans="1:28" x14ac:dyDescent="0.2">
      <c r="A12" s="214" t="s">
        <v>11</v>
      </c>
      <c r="B12" s="3">
        <v>904.87452733457133</v>
      </c>
      <c r="C12" s="3">
        <v>450.93912703262578</v>
      </c>
      <c r="D12" s="3">
        <v>453.93540030194555</v>
      </c>
      <c r="E12" s="70">
        <v>227.71676846830275</v>
      </c>
      <c r="F12" s="3">
        <v>125.84347731143049</v>
      </c>
      <c r="G12" s="67">
        <v>101.87329115687231</v>
      </c>
      <c r="H12" s="3">
        <v>677.15775886626864</v>
      </c>
      <c r="I12" s="3">
        <v>325.09564972119534</v>
      </c>
      <c r="J12" s="3">
        <v>352.06210914507329</v>
      </c>
      <c r="K12" s="62">
        <v>935.39755038898602</v>
      </c>
      <c r="L12" s="3">
        <v>466.15010375344582</v>
      </c>
      <c r="M12" s="3">
        <v>469.24744663552849</v>
      </c>
      <c r="N12" s="70">
        <v>235.39805903828645</v>
      </c>
      <c r="O12" s="3">
        <v>130.0884010474737</v>
      </c>
      <c r="P12" s="67">
        <v>105.30965799081207</v>
      </c>
      <c r="Q12" s="3">
        <v>699.99949135069437</v>
      </c>
      <c r="R12" s="3">
        <v>336.06170270597363</v>
      </c>
      <c r="S12" s="63">
        <v>363.93778864471767</v>
      </c>
      <c r="T12" s="3">
        <v>966.85710177957583</v>
      </c>
      <c r="U12" s="3">
        <v>481.82779409876218</v>
      </c>
      <c r="V12" s="3">
        <v>485.02930768081376</v>
      </c>
      <c r="W12" s="70">
        <v>243.3150322359198</v>
      </c>
      <c r="X12" s="3">
        <v>134.46357044616624</v>
      </c>
      <c r="Y12" s="67">
        <v>108.85146178975363</v>
      </c>
      <c r="Z12" s="3">
        <v>723.54206954365611</v>
      </c>
      <c r="AA12" s="3">
        <v>347.36422365259602</v>
      </c>
      <c r="AB12" s="3">
        <v>376.1778458910602</v>
      </c>
    </row>
    <row r="13" spans="1:28" x14ac:dyDescent="0.2">
      <c r="A13" s="214" t="s">
        <v>12</v>
      </c>
      <c r="B13" s="3">
        <v>608.24347367191388</v>
      </c>
      <c r="C13" s="3">
        <v>293.63478039333773</v>
      </c>
      <c r="D13" s="3">
        <v>314.60869327857614</v>
      </c>
      <c r="E13" s="70">
        <v>167.7913030819073</v>
      </c>
      <c r="F13" s="3">
        <v>65.918011925035046</v>
      </c>
      <c r="G13" s="67">
        <v>101.87329115687231</v>
      </c>
      <c r="H13" s="3">
        <v>440.45217059000657</v>
      </c>
      <c r="I13" s="3">
        <v>227.71676846830275</v>
      </c>
      <c r="J13" s="3">
        <v>212.73540212170388</v>
      </c>
      <c r="K13" s="62">
        <v>628.76060506279032</v>
      </c>
      <c r="L13" s="3">
        <v>303.53960244410558</v>
      </c>
      <c r="M13" s="3">
        <v>325.22100261868428</v>
      </c>
      <c r="N13" s="70">
        <v>173.45120139663189</v>
      </c>
      <c r="O13" s="3">
        <v>68.141543405819675</v>
      </c>
      <c r="P13" s="67">
        <v>105.30965799081207</v>
      </c>
      <c r="Q13" s="3">
        <v>455.30940366615647</v>
      </c>
      <c r="R13" s="3">
        <v>235.39805903828645</v>
      </c>
      <c r="S13" s="63">
        <v>219.91134462787281</v>
      </c>
      <c r="T13" s="3">
        <v>649.90725715646988</v>
      </c>
      <c r="U13" s="3">
        <v>313.74833104105448</v>
      </c>
      <c r="V13" s="3">
        <v>336.15892611541551</v>
      </c>
      <c r="W13" s="70">
        <v>179.2847605948883</v>
      </c>
      <c r="X13" s="3">
        <v>70.433298805134726</v>
      </c>
      <c r="Y13" s="67">
        <v>108.85146178975363</v>
      </c>
      <c r="Z13" s="3">
        <v>470.62249656158167</v>
      </c>
      <c r="AA13" s="3">
        <v>243.3150322359198</v>
      </c>
      <c r="AB13" s="3">
        <v>227.30746432566193</v>
      </c>
    </row>
    <row r="14" spans="1:28" x14ac:dyDescent="0.2">
      <c r="A14" s="214" t="s">
        <v>13</v>
      </c>
      <c r="B14" s="3">
        <v>621.72670338385285</v>
      </c>
      <c r="C14" s="3">
        <v>304.12173683595694</v>
      </c>
      <c r="D14" s="3">
        <v>317.60496654789591</v>
      </c>
      <c r="E14" s="70">
        <v>172.28571298588696</v>
      </c>
      <c r="F14" s="3">
        <v>79.401241636974021</v>
      </c>
      <c r="G14" s="67">
        <v>92.884471348912996</v>
      </c>
      <c r="H14" s="3">
        <v>449.44099039796589</v>
      </c>
      <c r="I14" s="3">
        <v>224.72049519898297</v>
      </c>
      <c r="J14" s="3">
        <v>224.72049519898297</v>
      </c>
      <c r="K14" s="62">
        <v>642.69864803216285</v>
      </c>
      <c r="L14" s="3">
        <v>314.38030253139493</v>
      </c>
      <c r="M14" s="3">
        <v>328.31834550076695</v>
      </c>
      <c r="N14" s="70">
        <v>178.09721571975598</v>
      </c>
      <c r="O14" s="3">
        <v>82.079586375191823</v>
      </c>
      <c r="P14" s="67">
        <v>96.017629344563971</v>
      </c>
      <c r="Q14" s="3">
        <v>464.60143231240448</v>
      </c>
      <c r="R14" s="3">
        <v>232.30071615620372</v>
      </c>
      <c r="S14" s="63">
        <v>232.30071615620372</v>
      </c>
      <c r="T14" s="3">
        <v>664.31406827570197</v>
      </c>
      <c r="U14" s="3">
        <v>324.953628578235</v>
      </c>
      <c r="V14" s="3">
        <v>339.36043969746709</v>
      </c>
      <c r="W14" s="70">
        <v>184.08703096796566</v>
      </c>
      <c r="X14" s="3">
        <v>84.840109924366814</v>
      </c>
      <c r="Y14" s="67">
        <v>99.246921043598903</v>
      </c>
      <c r="Z14" s="3">
        <v>480.2270373077364</v>
      </c>
      <c r="AA14" s="3">
        <v>240.11351865386823</v>
      </c>
      <c r="AB14" s="3">
        <v>240.11351865386823</v>
      </c>
    </row>
    <row r="15" spans="1:28" x14ac:dyDescent="0.2">
      <c r="A15" s="214" t="s">
        <v>14</v>
      </c>
      <c r="B15" s="3">
        <v>498.21919642136379</v>
      </c>
      <c r="C15" s="3">
        <v>244.02572885944349</v>
      </c>
      <c r="D15" s="3">
        <v>254.1934675619203</v>
      </c>
      <c r="E15" s="70">
        <v>132.18060313219857</v>
      </c>
      <c r="F15" s="3">
        <v>62.458966315214717</v>
      </c>
      <c r="G15" s="67">
        <v>69.721636816983874</v>
      </c>
      <c r="H15" s="3">
        <v>366.03859328916525</v>
      </c>
      <c r="I15" s="3">
        <v>181.56676254422879</v>
      </c>
      <c r="J15" s="3">
        <v>184.47183074493645</v>
      </c>
      <c r="K15" s="62">
        <v>515.02501375750705</v>
      </c>
      <c r="L15" s="3">
        <v>252.25714959551598</v>
      </c>
      <c r="M15" s="3">
        <v>262.7678641619957</v>
      </c>
      <c r="N15" s="70">
        <v>136.63928936423781</v>
      </c>
      <c r="O15" s="3">
        <v>64.565818051233236</v>
      </c>
      <c r="P15" s="67">
        <v>72.073471313004546</v>
      </c>
      <c r="Q15" s="3">
        <v>378.38572439327169</v>
      </c>
      <c r="R15" s="3">
        <v>187.69133154428272</v>
      </c>
      <c r="S15" s="63">
        <v>190.69439284899124</v>
      </c>
      <c r="T15" s="3">
        <v>532.34647871218556</v>
      </c>
      <c r="U15" s="3">
        <v>260.74113243045639</v>
      </c>
      <c r="V15" s="3">
        <v>271.60534628172559</v>
      </c>
      <c r="W15" s="70">
        <v>141.23478006649728</v>
      </c>
      <c r="X15" s="3">
        <v>66.737313657795553</v>
      </c>
      <c r="Y15" s="67">
        <v>74.497466408701982</v>
      </c>
      <c r="Z15" s="3">
        <v>391.11169864568677</v>
      </c>
      <c r="AA15" s="3">
        <v>194.00381877266099</v>
      </c>
      <c r="AB15" s="3">
        <v>197.10787987302356</v>
      </c>
    </row>
    <row r="16" spans="1:28" x14ac:dyDescent="0.2">
      <c r="A16" s="214" t="s">
        <v>15</v>
      </c>
      <c r="B16" s="3">
        <v>435.76023010614909</v>
      </c>
      <c r="C16" s="3">
        <v>242.57319475908966</v>
      </c>
      <c r="D16" s="3">
        <v>193.18703534705944</v>
      </c>
      <c r="E16" s="70">
        <v>132.18060313219857</v>
      </c>
      <c r="F16" s="3">
        <v>78.436841419106855</v>
      </c>
      <c r="G16" s="67">
        <v>53.743761713091736</v>
      </c>
      <c r="H16" s="3">
        <v>303.57962697395055</v>
      </c>
      <c r="I16" s="3">
        <v>164.13635333998283</v>
      </c>
      <c r="J16" s="3">
        <v>139.44327363396772</v>
      </c>
      <c r="K16" s="62">
        <v>450.4591957062749</v>
      </c>
      <c r="L16" s="3">
        <v>250.75561894316172</v>
      </c>
      <c r="M16" s="3">
        <v>199.70357676311681</v>
      </c>
      <c r="N16" s="70">
        <v>136.63928936423781</v>
      </c>
      <c r="O16" s="3">
        <v>81.082655227130118</v>
      </c>
      <c r="P16" s="67">
        <v>55.556634137107672</v>
      </c>
      <c r="Q16" s="3">
        <v>313.81990634203964</v>
      </c>
      <c r="R16" s="3">
        <v>169.67296371603157</v>
      </c>
      <c r="S16" s="63">
        <v>144.14694262600912</v>
      </c>
      <c r="T16" s="3">
        <v>465.60916505438985</v>
      </c>
      <c r="U16" s="3">
        <v>259.18910188027508</v>
      </c>
      <c r="V16" s="3">
        <v>206.42006317411128</v>
      </c>
      <c r="W16" s="70">
        <v>141.23478006649728</v>
      </c>
      <c r="X16" s="3">
        <v>83.809649709789696</v>
      </c>
      <c r="Y16" s="67">
        <v>57.425130356707811</v>
      </c>
      <c r="Z16" s="3">
        <v>324.37438498789027</v>
      </c>
      <c r="AA16" s="3">
        <v>175.37945217048556</v>
      </c>
      <c r="AB16" s="3">
        <v>148.99493281740371</v>
      </c>
    </row>
    <row r="17" spans="1:80" x14ac:dyDescent="0.2">
      <c r="A17" s="214" t="s">
        <v>16</v>
      </c>
      <c r="B17" s="3">
        <v>345.70311588421163</v>
      </c>
      <c r="C17" s="3">
        <v>191.73450124670561</v>
      </c>
      <c r="D17" s="3">
        <v>153.96861463750602</v>
      </c>
      <c r="E17" s="70">
        <v>104.5824552254758</v>
      </c>
      <c r="F17" s="3">
        <v>63.911500415568547</v>
      </c>
      <c r="G17" s="67">
        <v>40.670954809907265</v>
      </c>
      <c r="H17" s="3">
        <v>241.12066065873583</v>
      </c>
      <c r="I17" s="3">
        <v>127.82300083113708</v>
      </c>
      <c r="J17" s="3">
        <v>113.29765982759878</v>
      </c>
      <c r="K17" s="62">
        <v>357.36429526031242</v>
      </c>
      <c r="L17" s="3">
        <v>198.20204611076255</v>
      </c>
      <c r="M17" s="3">
        <v>159.16224914955174</v>
      </c>
      <c r="N17" s="70">
        <v>108.11020696950683</v>
      </c>
      <c r="O17" s="3">
        <v>66.067348703587498</v>
      </c>
      <c r="P17" s="67">
        <v>42.042858265919314</v>
      </c>
      <c r="Q17" s="3">
        <v>249.25408829080746</v>
      </c>
      <c r="R17" s="3">
        <v>132.13469740717503</v>
      </c>
      <c r="S17" s="63">
        <v>117.11939088363241</v>
      </c>
      <c r="T17" s="3">
        <v>369.38327094314837</v>
      </c>
      <c r="U17" s="3">
        <v>204.86803262392999</v>
      </c>
      <c r="V17" s="3">
        <v>164.51523831921656</v>
      </c>
      <c r="W17" s="70">
        <v>111.74619961305284</v>
      </c>
      <c r="X17" s="3">
        <v>68.289344207976839</v>
      </c>
      <c r="Y17" s="67">
        <v>43.456855405076176</v>
      </c>
      <c r="Z17" s="3">
        <v>257.63707133009376</v>
      </c>
      <c r="AA17" s="3">
        <v>136.57868841595342</v>
      </c>
      <c r="AB17" s="3">
        <v>121.05838291414055</v>
      </c>
    </row>
    <row r="18" spans="1:80" x14ac:dyDescent="0.2">
      <c r="A18" s="214" t="s">
        <v>17</v>
      </c>
      <c r="B18" s="3">
        <v>262.90867216404331</v>
      </c>
      <c r="C18" s="3">
        <v>137.99073953361389</v>
      </c>
      <c r="D18" s="3">
        <v>124.91793263042942</v>
      </c>
      <c r="E18" s="70">
        <v>75.531773218399195</v>
      </c>
      <c r="F18" s="3">
        <v>42.123488910261095</v>
      </c>
      <c r="G18" s="67">
        <v>33.408284308138114</v>
      </c>
      <c r="H18" s="3">
        <v>187.37689894564411</v>
      </c>
      <c r="I18" s="3">
        <v>95.867250623352817</v>
      </c>
      <c r="J18" s="3">
        <v>91.509648322291326</v>
      </c>
      <c r="K18" s="62">
        <v>271.7770480761211</v>
      </c>
      <c r="L18" s="3">
        <v>142.64541197365486</v>
      </c>
      <c r="M18" s="3">
        <v>129.1316361024665</v>
      </c>
      <c r="N18" s="70">
        <v>78.079593922421594</v>
      </c>
      <c r="O18" s="3">
        <v>43.544388918273576</v>
      </c>
      <c r="P18" s="67">
        <v>34.535205004148004</v>
      </c>
      <c r="Q18" s="3">
        <v>193.69745415369977</v>
      </c>
      <c r="R18" s="3">
        <v>99.101023055381262</v>
      </c>
      <c r="S18" s="63">
        <v>94.596431098318476</v>
      </c>
      <c r="T18" s="3">
        <v>280.91752958281347</v>
      </c>
      <c r="U18" s="3">
        <v>147.44290226722242</v>
      </c>
      <c r="V18" s="3">
        <v>133.47462731559085</v>
      </c>
      <c r="W18" s="70">
        <v>80.705588609427124</v>
      </c>
      <c r="X18" s="3">
        <v>45.008885955257469</v>
      </c>
      <c r="Y18" s="67">
        <v>35.696702654169712</v>
      </c>
      <c r="Z18" s="3">
        <v>200.21194097338613</v>
      </c>
      <c r="AA18" s="3">
        <v>102.43401631196512</v>
      </c>
      <c r="AB18" s="3">
        <v>97.777924661421267</v>
      </c>
    </row>
    <row r="19" spans="1:80" x14ac:dyDescent="0.2">
      <c r="A19" s="214" t="s">
        <v>18</v>
      </c>
      <c r="B19" s="3">
        <v>153.24267494083944</v>
      </c>
      <c r="C19" s="3">
        <v>89.663267252618922</v>
      </c>
      <c r="D19" s="3">
        <v>63.579407688220769</v>
      </c>
      <c r="E19" s="70">
        <v>42.386271792147177</v>
      </c>
      <c r="F19" s="3">
        <v>24.453618341623372</v>
      </c>
      <c r="G19" s="67">
        <v>17.932653450523805</v>
      </c>
      <c r="H19" s="3">
        <v>110.85640314869242</v>
      </c>
      <c r="I19" s="3">
        <v>65.209648910995654</v>
      </c>
      <c r="J19" s="3">
        <v>45.64675423769696</v>
      </c>
      <c r="K19" s="62">
        <v>158.41182221909978</v>
      </c>
      <c r="L19" s="3">
        <v>92.687768319685887</v>
      </c>
      <c r="M19" s="3">
        <v>65.724053899413633</v>
      </c>
      <c r="N19" s="70">
        <v>43.816035932942427</v>
      </c>
      <c r="O19" s="3">
        <v>25.278482269005252</v>
      </c>
      <c r="P19" s="67">
        <v>18.537553663937189</v>
      </c>
      <c r="Q19" s="3">
        <v>114.59578628615709</v>
      </c>
      <c r="R19" s="3">
        <v>67.409286050680649</v>
      </c>
      <c r="S19" s="63">
        <v>47.186500235476458</v>
      </c>
      <c r="T19" s="3">
        <v>163.73957282087076</v>
      </c>
      <c r="U19" s="3">
        <v>95.805069203701123</v>
      </c>
      <c r="V19" s="3">
        <v>67.934503617169867</v>
      </c>
      <c r="W19" s="70">
        <v>45.289669078113228</v>
      </c>
      <c r="X19" s="3">
        <v>26.128655237373003</v>
      </c>
      <c r="Y19" s="67">
        <v>19.161013840740203</v>
      </c>
      <c r="Z19" s="3">
        <v>118.44990374275777</v>
      </c>
      <c r="AA19" s="3">
        <v>69.67641396632807</v>
      </c>
      <c r="AB19" s="3">
        <v>48.773489776429635</v>
      </c>
    </row>
    <row r="20" spans="1:80" x14ac:dyDescent="0.2">
      <c r="A20" s="214" t="s">
        <v>19</v>
      </c>
      <c r="B20" s="3">
        <v>120.63785048534173</v>
      </c>
      <c r="C20" s="3">
        <v>74.991096247644961</v>
      </c>
      <c r="D20" s="3">
        <v>45.64675423769696</v>
      </c>
      <c r="E20" s="70">
        <v>40.756030569372285</v>
      </c>
      <c r="F20" s="3">
        <v>26.083859564398264</v>
      </c>
      <c r="G20" s="67">
        <v>14.672171004974022</v>
      </c>
      <c r="H20" s="3">
        <v>79.881819915969615</v>
      </c>
      <c r="I20" s="3">
        <v>48.907236683246744</v>
      </c>
      <c r="J20" s="3">
        <v>30.974583232722939</v>
      </c>
      <c r="K20" s="62">
        <v>124.70717919375919</v>
      </c>
      <c r="L20" s="3">
        <v>77.520678958282744</v>
      </c>
      <c r="M20" s="3">
        <v>47.186500235476458</v>
      </c>
      <c r="N20" s="70">
        <v>42.130803781675411</v>
      </c>
      <c r="O20" s="3">
        <v>26.963714420272268</v>
      </c>
      <c r="P20" s="67">
        <v>15.167089361403157</v>
      </c>
      <c r="Q20" s="3">
        <v>82.576375412083792</v>
      </c>
      <c r="R20" s="3">
        <v>50.55696453801049</v>
      </c>
      <c r="S20" s="63">
        <v>32.019410874073316</v>
      </c>
      <c r="T20" s="3">
        <v>128.90136583770698</v>
      </c>
      <c r="U20" s="3">
        <v>80.127876061277291</v>
      </c>
      <c r="V20" s="3">
        <v>48.773489776429635</v>
      </c>
      <c r="W20" s="70">
        <v>43.547758728955024</v>
      </c>
      <c r="X20" s="3">
        <v>27.870565586531203</v>
      </c>
      <c r="Y20" s="67">
        <v>15.677193142423802</v>
      </c>
      <c r="Z20" s="3">
        <v>85.353607108751902</v>
      </c>
      <c r="AA20" s="3">
        <v>52.257310474746042</v>
      </c>
      <c r="AB20" s="3">
        <v>33.096296634005803</v>
      </c>
    </row>
    <row r="21" spans="1:80" x14ac:dyDescent="0.2">
      <c r="A21" s="214" t="s">
        <v>20</v>
      </c>
      <c r="B21" s="3">
        <v>78.25157869319473</v>
      </c>
      <c r="C21" s="3">
        <v>37.495548123822502</v>
      </c>
      <c r="D21" s="3">
        <v>40.756030569372285</v>
      </c>
      <c r="E21" s="70">
        <v>16.302412227748913</v>
      </c>
      <c r="F21" s="3">
        <v>8.1512061138744549</v>
      </c>
      <c r="G21" s="67">
        <v>8.1512061138744549</v>
      </c>
      <c r="H21" s="3">
        <v>61.949166465445877</v>
      </c>
      <c r="I21" s="3">
        <v>29.344342009948047</v>
      </c>
      <c r="J21" s="3">
        <v>32.604824455497827</v>
      </c>
      <c r="K21" s="62">
        <v>80.891143260816776</v>
      </c>
      <c r="L21" s="3">
        <v>38.760339479141379</v>
      </c>
      <c r="M21" s="3">
        <v>42.130803781675411</v>
      </c>
      <c r="N21" s="70">
        <v>16.852321512670173</v>
      </c>
      <c r="O21" s="3">
        <v>8.4261607563350864</v>
      </c>
      <c r="P21" s="67">
        <v>8.4261607563350864</v>
      </c>
      <c r="Q21" s="3">
        <v>64.038821748146617</v>
      </c>
      <c r="R21" s="3">
        <v>30.3341787228063</v>
      </c>
      <c r="S21" s="63">
        <v>33.704643025340332</v>
      </c>
      <c r="T21" s="3">
        <v>83.611696759593698</v>
      </c>
      <c r="U21" s="3">
        <v>40.063938030638617</v>
      </c>
      <c r="V21" s="3">
        <v>43.547758728955024</v>
      </c>
      <c r="W21" s="70">
        <v>17.419103491582003</v>
      </c>
      <c r="X21" s="3">
        <v>8.7095517457910017</v>
      </c>
      <c r="Y21" s="67">
        <v>8.7095517457910017</v>
      </c>
      <c r="Z21" s="3">
        <v>66.192593268011663</v>
      </c>
      <c r="AA21" s="3">
        <v>31.354386284847603</v>
      </c>
      <c r="AB21" s="3">
        <v>34.838206983164007</v>
      </c>
    </row>
    <row r="22" spans="1:80" x14ac:dyDescent="0.2">
      <c r="A22" s="214" t="s">
        <v>53</v>
      </c>
      <c r="B22" s="3">
        <v>74.991096247644961</v>
      </c>
      <c r="C22" s="3">
        <v>29.344342009948047</v>
      </c>
      <c r="D22" s="3">
        <v>45.64675423769696</v>
      </c>
      <c r="E22" s="70">
        <v>22.82337711884848</v>
      </c>
      <c r="F22" s="3">
        <v>11.411688559424238</v>
      </c>
      <c r="G22" s="67">
        <v>11.411688559424238</v>
      </c>
      <c r="H22" s="3">
        <v>52.167719128796527</v>
      </c>
      <c r="I22" s="3">
        <v>17.932653450523805</v>
      </c>
      <c r="J22" s="3">
        <v>34.235065678272719</v>
      </c>
      <c r="K22" s="62">
        <v>77.520678958282744</v>
      </c>
      <c r="L22" s="3">
        <v>30.3341787228063</v>
      </c>
      <c r="M22" s="3">
        <v>47.186500235476458</v>
      </c>
      <c r="N22" s="70">
        <v>23.593250117738236</v>
      </c>
      <c r="O22" s="3">
        <v>11.796625058869122</v>
      </c>
      <c r="P22" s="67">
        <v>11.796625058869122</v>
      </c>
      <c r="Q22" s="3">
        <v>53.927428840544522</v>
      </c>
      <c r="R22" s="3">
        <v>18.537553663937189</v>
      </c>
      <c r="S22" s="63">
        <v>35.389875176607347</v>
      </c>
      <c r="T22" s="3">
        <v>80.127876061277291</v>
      </c>
      <c r="U22" s="3">
        <v>31.354386284847603</v>
      </c>
      <c r="V22" s="3">
        <v>48.773489776429635</v>
      </c>
      <c r="W22" s="70">
        <v>24.386744888214803</v>
      </c>
      <c r="X22" s="3">
        <v>12.193372444107402</v>
      </c>
      <c r="Y22" s="67">
        <v>12.193372444107402</v>
      </c>
      <c r="Z22" s="3">
        <v>55.741131173062449</v>
      </c>
      <c r="AA22" s="3">
        <v>19.161013840740203</v>
      </c>
      <c r="AB22" s="3">
        <v>36.58011733232221</v>
      </c>
    </row>
    <row r="23" spans="1:80" x14ac:dyDescent="0.2">
      <c r="A23" s="214" t="s">
        <v>41</v>
      </c>
      <c r="B23" s="3">
        <v>9.7814473366493466</v>
      </c>
      <c r="C23" s="3">
        <v>4.8907236683246733</v>
      </c>
      <c r="D23" s="3">
        <v>4.8907236683246733</v>
      </c>
      <c r="E23" s="70">
        <v>8.1512061138744549</v>
      </c>
      <c r="F23" s="3">
        <v>3.2604824455497821</v>
      </c>
      <c r="G23" s="67">
        <v>4.8907236683246733</v>
      </c>
      <c r="H23" s="3">
        <v>1.630241222774891</v>
      </c>
      <c r="I23" s="3">
        <v>1.630241222774891</v>
      </c>
      <c r="J23" s="3">
        <v>0</v>
      </c>
      <c r="K23" s="62">
        <v>10.111392907602104</v>
      </c>
      <c r="L23" s="3">
        <v>5.055696453801052</v>
      </c>
      <c r="M23" s="3">
        <v>5.055696453801052</v>
      </c>
      <c r="N23" s="70">
        <v>8.4261607563350864</v>
      </c>
      <c r="O23" s="3">
        <v>3.3704643025340348</v>
      </c>
      <c r="P23" s="67">
        <v>5.055696453801052</v>
      </c>
      <c r="Q23" s="3">
        <v>1.6852321512670174</v>
      </c>
      <c r="R23" s="3">
        <v>1.6852321512670174</v>
      </c>
      <c r="S23" s="63">
        <v>0</v>
      </c>
      <c r="T23" s="3">
        <v>10.451462094949202</v>
      </c>
      <c r="U23" s="3">
        <v>5.2257310474746008</v>
      </c>
      <c r="V23" s="3">
        <v>5.2257310474746008</v>
      </c>
      <c r="W23" s="70">
        <v>8.7095517457910017</v>
      </c>
      <c r="X23" s="3">
        <v>3.4838206983164004</v>
      </c>
      <c r="Y23" s="67">
        <v>5.2257310474746008</v>
      </c>
      <c r="Z23" s="3">
        <v>1.7419103491582002</v>
      </c>
      <c r="AA23" s="3">
        <v>1.7419103491582002</v>
      </c>
      <c r="AB23" s="3">
        <v>0</v>
      </c>
    </row>
    <row r="24" spans="1:80" x14ac:dyDescent="0.2">
      <c r="A24" s="214" t="s">
        <v>80</v>
      </c>
      <c r="B24" s="3">
        <v>21.193135896073588</v>
      </c>
      <c r="C24" s="3">
        <v>8.1512061138744549</v>
      </c>
      <c r="D24" s="3">
        <v>13.04192978219913</v>
      </c>
      <c r="E24" s="70">
        <v>4.8907236683246733</v>
      </c>
      <c r="F24" s="3">
        <v>1.630241222774891</v>
      </c>
      <c r="G24" s="67">
        <v>3.2604824455497821</v>
      </c>
      <c r="H24" s="3">
        <v>16.302412227748913</v>
      </c>
      <c r="I24" s="3">
        <v>6.5209648910995641</v>
      </c>
      <c r="J24" s="3">
        <v>9.7814473366493466</v>
      </c>
      <c r="K24" s="62">
        <v>21.90801796647122</v>
      </c>
      <c r="L24" s="3">
        <v>8.4261607563350864</v>
      </c>
      <c r="M24" s="3">
        <v>13.481857210136139</v>
      </c>
      <c r="N24" s="70">
        <v>5.055696453801052</v>
      </c>
      <c r="O24" s="3">
        <v>1.6852321512670174</v>
      </c>
      <c r="P24" s="67">
        <v>3.3704643025340348</v>
      </c>
      <c r="Q24" s="3">
        <v>16.852321512670173</v>
      </c>
      <c r="R24" s="3">
        <v>6.7409286050680697</v>
      </c>
      <c r="S24" s="63">
        <v>10.111392907602104</v>
      </c>
      <c r="T24" s="3">
        <v>22.644834539056603</v>
      </c>
      <c r="U24" s="3">
        <v>8.7095517457910017</v>
      </c>
      <c r="V24" s="3">
        <v>13.935282793265602</v>
      </c>
      <c r="W24" s="70">
        <v>5.2257310474746008</v>
      </c>
      <c r="X24" s="3">
        <v>1.7419103491582002</v>
      </c>
      <c r="Y24" s="67">
        <v>3.4838206983164004</v>
      </c>
      <c r="Z24" s="3">
        <v>17.419103491582003</v>
      </c>
      <c r="AA24" s="3">
        <v>6.9676413966328008</v>
      </c>
      <c r="AB24" s="3">
        <v>10.451462094949202</v>
      </c>
    </row>
    <row r="25" spans="1:80" ht="12.75" thickBot="1" x14ac:dyDescent="0.25">
      <c r="A25" s="215" t="s">
        <v>30</v>
      </c>
      <c r="B25" s="7">
        <v>13.04192978219913</v>
      </c>
      <c r="C25" s="7">
        <v>6.5209648910995641</v>
      </c>
      <c r="D25" s="7">
        <v>6.5209648910995641</v>
      </c>
      <c r="E25" s="71">
        <v>0</v>
      </c>
      <c r="F25" s="7">
        <v>0</v>
      </c>
      <c r="G25" s="68">
        <v>0</v>
      </c>
      <c r="H25" s="7">
        <v>13.04192978219913</v>
      </c>
      <c r="I25" s="7">
        <v>6.5209648910995641</v>
      </c>
      <c r="J25" s="7">
        <v>6.5209648910995641</v>
      </c>
      <c r="K25" s="65">
        <v>13.481857210136139</v>
      </c>
      <c r="L25" s="7">
        <v>6.7409286050680697</v>
      </c>
      <c r="M25" s="7">
        <v>6.7409286050680697</v>
      </c>
      <c r="N25" s="71">
        <v>0</v>
      </c>
      <c r="O25" s="2">
        <v>0</v>
      </c>
      <c r="P25" s="68">
        <v>0</v>
      </c>
      <c r="Q25" s="7">
        <v>13.481857210136139</v>
      </c>
      <c r="R25" s="7">
        <v>6.7409286050680697</v>
      </c>
      <c r="S25" s="66">
        <v>6.7409286050680697</v>
      </c>
      <c r="T25" s="7">
        <v>13.935282793265602</v>
      </c>
      <c r="U25" s="7">
        <v>6.9676413966328008</v>
      </c>
      <c r="V25" s="7">
        <v>6.9676413966328008</v>
      </c>
      <c r="W25" s="71">
        <v>0</v>
      </c>
      <c r="X25" s="2">
        <v>0</v>
      </c>
      <c r="Y25" s="68">
        <v>0</v>
      </c>
      <c r="Z25" s="7">
        <v>13.935282793265602</v>
      </c>
      <c r="AA25" s="7">
        <v>6.9676413966328008</v>
      </c>
      <c r="AB25" s="7">
        <v>6.9676413966328008</v>
      </c>
    </row>
    <row r="26" spans="1:80" x14ac:dyDescent="0.2">
      <c r="A26" s="225" t="s">
        <v>97</v>
      </c>
      <c r="B26" s="155">
        <v>8736.8220975921122</v>
      </c>
      <c r="C26" s="155">
        <v>4434.2906321005594</v>
      </c>
      <c r="D26" s="122">
        <v>4302.5314654920285</v>
      </c>
      <c r="E26" s="155">
        <v>2524.1569110921318</v>
      </c>
      <c r="F26" s="155">
        <v>1314.8975891855725</v>
      </c>
      <c r="G26" s="122">
        <v>1209.2593219065495</v>
      </c>
      <c r="H26" s="155">
        <v>6212.6651865003796</v>
      </c>
      <c r="I26" s="155">
        <v>3119.3930429150782</v>
      </c>
      <c r="J26" s="155">
        <v>3093.2721435855497</v>
      </c>
      <c r="K26" s="211">
        <v>9031.5306060665098</v>
      </c>
      <c r="L26" s="155">
        <v>4583.8671215530649</v>
      </c>
      <c r="M26" s="122">
        <v>4447.6634845140516</v>
      </c>
      <c r="N26" s="155">
        <v>2609.3012015576592</v>
      </c>
      <c r="O26" s="155">
        <v>1359.2514174971354</v>
      </c>
      <c r="P26" s="122">
        <v>1250.0497840605074</v>
      </c>
      <c r="Q26" s="155">
        <v>6422.2294045092212</v>
      </c>
      <c r="R26" s="155">
        <v>3224.6157040559551</v>
      </c>
      <c r="S26" s="210">
        <v>3197.6137004535608</v>
      </c>
      <c r="T26" s="155">
        <v>9335.2815632085567</v>
      </c>
      <c r="U26" s="155">
        <v>4738.0330194841363</v>
      </c>
      <c r="V26" s="122">
        <v>4597.2485437233581</v>
      </c>
      <c r="W26" s="155">
        <v>2697.0579475633958</v>
      </c>
      <c r="X26" s="155">
        <v>1404.9661404015101</v>
      </c>
      <c r="Y26" s="122">
        <v>1292.0918071618883</v>
      </c>
      <c r="Z26" s="155">
        <v>6638.223615644546</v>
      </c>
      <c r="AA26" s="155">
        <v>3333.0668790824225</v>
      </c>
      <c r="AB26" s="155">
        <v>3305.1567365613118</v>
      </c>
    </row>
    <row r="27" spans="1:80" x14ac:dyDescent="0.2">
      <c r="A27" s="222" t="s">
        <v>22</v>
      </c>
      <c r="B27" s="3">
        <v>387.35787112046745</v>
      </c>
      <c r="C27" s="3">
        <v>200.54698292052709</v>
      </c>
      <c r="D27" s="67">
        <v>186.81088819994304</v>
      </c>
      <c r="E27" s="3">
        <v>162.08591770289175</v>
      </c>
      <c r="F27" s="3">
        <v>83.79017779556267</v>
      </c>
      <c r="G27" s="3">
        <v>78.29573990732905</v>
      </c>
      <c r="H27" s="3">
        <v>225.27195341757837</v>
      </c>
      <c r="I27" s="3">
        <v>116.75680512496439</v>
      </c>
      <c r="J27" s="3">
        <v>108.51514829261396</v>
      </c>
      <c r="K27" s="62">
        <v>400.42413928622614</v>
      </c>
      <c r="L27" s="3">
        <v>207.31178842478377</v>
      </c>
      <c r="M27" s="67">
        <v>193.11235086144242</v>
      </c>
      <c r="N27" s="3">
        <v>167.553363247428</v>
      </c>
      <c r="O27" s="3">
        <v>86.616569136382296</v>
      </c>
      <c r="P27" s="67">
        <v>80.936794111045756</v>
      </c>
      <c r="Q27" s="3">
        <v>232.8707760387982</v>
      </c>
      <c r="R27" s="3">
        <v>120.69521928840153</v>
      </c>
      <c r="S27" s="63">
        <v>112.17555675039672</v>
      </c>
      <c r="T27" s="3">
        <v>413.8913156570344</v>
      </c>
      <c r="U27" s="3">
        <v>214.28415633307597</v>
      </c>
      <c r="V27" s="67">
        <v>199.60715932396116</v>
      </c>
      <c r="W27" s="3">
        <v>173.18856470755449</v>
      </c>
      <c r="X27" s="3">
        <v>89.529681755600066</v>
      </c>
      <c r="Y27" s="67">
        <v>83.658882951954141</v>
      </c>
      <c r="Z27" s="3">
        <v>240.70275094948263</v>
      </c>
      <c r="AA27" s="3">
        <v>124.75447457747562</v>
      </c>
      <c r="AB27" s="3">
        <v>115.94827637200673</v>
      </c>
    </row>
    <row r="28" spans="1:80" ht="12.75" thickBot="1" x14ac:dyDescent="0.25">
      <c r="A28" s="215" t="s">
        <v>21</v>
      </c>
      <c r="B28" s="7">
        <v>7257.4497196856282</v>
      </c>
      <c r="C28" s="7">
        <v>3679.549970660325</v>
      </c>
      <c r="D28" s="68">
        <v>3577.8997490253205</v>
      </c>
      <c r="E28" s="7">
        <v>2225.341576112216</v>
      </c>
      <c r="F28" s="7">
        <v>1172.7382888710081</v>
      </c>
      <c r="G28" s="68">
        <v>1052.6032872412081</v>
      </c>
      <c r="H28" s="7">
        <v>5032.1081435733968</v>
      </c>
      <c r="I28" s="7">
        <v>2506.8116817892528</v>
      </c>
      <c r="J28" s="7">
        <v>2525.2964617840448</v>
      </c>
      <c r="K28" s="65">
        <v>7502.256373446311</v>
      </c>
      <c r="L28" s="7">
        <v>3803.6677186921443</v>
      </c>
      <c r="M28" s="68">
        <v>3698.588654753913</v>
      </c>
      <c r="N28" s="7">
        <v>2300.4062952304103</v>
      </c>
      <c r="O28" s="7">
        <v>1212.296831792351</v>
      </c>
      <c r="P28" s="68">
        <v>1088.1094634380795</v>
      </c>
      <c r="Q28" s="7">
        <v>5201.8500782157744</v>
      </c>
      <c r="R28" s="7">
        <v>2591.3708868998483</v>
      </c>
      <c r="S28" s="66">
        <v>2610.4791913158774</v>
      </c>
      <c r="T28" s="7">
        <v>7754.5743529279925</v>
      </c>
      <c r="U28" s="7">
        <v>3931.5937326306748</v>
      </c>
      <c r="V28" s="68">
        <v>3822.9806202969976</v>
      </c>
      <c r="W28" s="7">
        <v>2377.7742015649696</v>
      </c>
      <c r="X28" s="7">
        <v>1253.0691370699928</v>
      </c>
      <c r="Y28" s="68">
        <v>1124.7050644949602</v>
      </c>
      <c r="Z28" s="7">
        <v>5376.8001513627551</v>
      </c>
      <c r="AA28" s="7">
        <v>2678.5245955606169</v>
      </c>
      <c r="AB28" s="7">
        <v>2698.2755558019712</v>
      </c>
    </row>
    <row r="29" spans="1:80" customFormat="1" ht="15" x14ac:dyDescent="0.25">
      <c r="A29" s="60" t="s">
        <v>121</v>
      </c>
      <c r="B29" s="60"/>
      <c r="C29" s="5"/>
      <c r="D29" s="5"/>
      <c r="E29" s="5"/>
      <c r="F29" s="5"/>
      <c r="G29" s="5"/>
      <c r="H29" s="5"/>
      <c r="I29" s="5"/>
      <c r="J29" s="5"/>
      <c r="K29" s="56"/>
      <c r="L29" s="56"/>
      <c r="M29" s="56"/>
      <c r="N29" s="56"/>
      <c r="O29" s="56"/>
      <c r="P29" s="56"/>
      <c r="Q29" s="56"/>
      <c r="R29" s="56"/>
      <c r="S29" s="56"/>
      <c r="T29" s="56"/>
      <c r="U29" s="56"/>
      <c r="V29" s="56"/>
      <c r="W29" s="56"/>
      <c r="X29" s="56"/>
      <c r="Y29" s="56"/>
      <c r="Z29" s="56"/>
      <c r="AA29" s="56"/>
      <c r="AB29" s="56"/>
      <c r="AC29" s="234"/>
      <c r="AD29" s="234"/>
      <c r="AE29" s="234"/>
      <c r="AF29" s="234"/>
      <c r="AG29" s="234"/>
      <c r="AH29" s="234"/>
      <c r="AI29" s="234"/>
      <c r="AJ29" s="234"/>
      <c r="AK29" s="234"/>
      <c r="AL29" s="234"/>
      <c r="AM29" s="234"/>
      <c r="AN29" s="234"/>
      <c r="AO29" s="234"/>
      <c r="AP29" s="234"/>
      <c r="AQ29" s="234"/>
      <c r="AR29" s="234"/>
      <c r="AS29" s="234"/>
      <c r="AT29" s="234"/>
      <c r="AU29" s="234"/>
      <c r="AV29" s="234"/>
      <c r="AW29" s="234"/>
      <c r="AX29" s="234"/>
      <c r="AY29" s="234"/>
      <c r="AZ29" s="234"/>
      <c r="BA29" s="234"/>
      <c r="BB29" s="234"/>
      <c r="BC29" s="234"/>
      <c r="BD29" s="234"/>
      <c r="BE29" s="234"/>
      <c r="BF29" s="234"/>
      <c r="BG29" s="234"/>
      <c r="BH29" s="234"/>
      <c r="BI29" s="234"/>
      <c r="BJ29" s="234"/>
      <c r="BK29" s="234"/>
      <c r="BL29" s="234"/>
      <c r="BM29" s="234"/>
      <c r="BN29" s="234"/>
      <c r="BO29" s="234"/>
      <c r="BP29" s="234"/>
      <c r="BQ29" s="234"/>
      <c r="BR29" s="234"/>
      <c r="BS29" s="234"/>
      <c r="BT29" s="234"/>
      <c r="BU29" s="234"/>
      <c r="BV29" s="234"/>
      <c r="BW29" s="234"/>
      <c r="BX29" s="234"/>
      <c r="BY29" s="234"/>
      <c r="BZ29" s="234"/>
      <c r="CA29" s="234"/>
      <c r="CB29" s="234"/>
    </row>
    <row r="33" spans="2:2" x14ac:dyDescent="0.2">
      <c r="B33" s="8"/>
    </row>
  </sheetData>
  <mergeCells count="4">
    <mergeCell ref="B2:J2"/>
    <mergeCell ref="A2:A4"/>
    <mergeCell ref="K2:S2"/>
    <mergeCell ref="T2:AB2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B34"/>
  <sheetViews>
    <sheetView workbookViewId="0">
      <pane xSplit="1" topLeftCell="B1" activePane="topRight" state="frozen"/>
      <selection pane="topRight" activeCell="T16" sqref="T16:T17"/>
    </sheetView>
  </sheetViews>
  <sheetFormatPr defaultColWidth="9.140625" defaultRowHeight="12" x14ac:dyDescent="0.2"/>
  <cols>
    <col min="1" max="1" width="15.5703125" style="1" customWidth="1"/>
    <col min="2" max="2" width="8.85546875" style="1" customWidth="1"/>
    <col min="3" max="28" width="9.140625" style="1"/>
    <col min="29" max="29" width="5.42578125" style="1" customWidth="1"/>
    <col min="30" max="16384" width="9.140625" style="1"/>
  </cols>
  <sheetData>
    <row r="1" spans="1:28" ht="12.75" thickBot="1" x14ac:dyDescent="0.25">
      <c r="A1" s="61" t="s">
        <v>117</v>
      </c>
      <c r="B1" s="59"/>
      <c r="C1" s="59"/>
      <c r="D1" s="59"/>
      <c r="E1" s="59"/>
      <c r="F1" s="59"/>
      <c r="G1" s="59"/>
      <c r="H1" s="59"/>
      <c r="I1" s="59"/>
      <c r="J1" s="59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</row>
    <row r="2" spans="1:28" x14ac:dyDescent="0.2">
      <c r="A2" s="262" t="s">
        <v>36</v>
      </c>
      <c r="B2" s="236" t="s">
        <v>83</v>
      </c>
      <c r="C2" s="236"/>
      <c r="D2" s="236"/>
      <c r="E2" s="236"/>
      <c r="F2" s="236"/>
      <c r="G2" s="236"/>
      <c r="H2" s="236"/>
      <c r="I2" s="236"/>
      <c r="J2" s="236"/>
      <c r="K2" s="235" t="s">
        <v>82</v>
      </c>
      <c r="L2" s="236"/>
      <c r="M2" s="236"/>
      <c r="N2" s="236"/>
      <c r="O2" s="236"/>
      <c r="P2" s="236"/>
      <c r="Q2" s="236"/>
      <c r="R2" s="236"/>
      <c r="S2" s="237"/>
      <c r="T2" s="236" t="s">
        <v>84</v>
      </c>
      <c r="U2" s="236"/>
      <c r="V2" s="236"/>
      <c r="W2" s="236"/>
      <c r="X2" s="236"/>
      <c r="Y2" s="236"/>
      <c r="Z2" s="236"/>
      <c r="AA2" s="236"/>
      <c r="AB2" s="236"/>
    </row>
    <row r="3" spans="1:28" ht="12.75" thickBot="1" x14ac:dyDescent="0.25">
      <c r="A3" s="263"/>
      <c r="B3" s="11"/>
      <c r="C3" s="11" t="s">
        <v>0</v>
      </c>
      <c r="D3" s="12"/>
      <c r="E3" s="13"/>
      <c r="F3" s="13" t="s">
        <v>1</v>
      </c>
      <c r="G3" s="14"/>
      <c r="H3" s="11"/>
      <c r="I3" s="11" t="s">
        <v>2</v>
      </c>
      <c r="J3" s="11"/>
      <c r="K3" s="88"/>
      <c r="L3" s="11" t="s">
        <v>0</v>
      </c>
      <c r="M3" s="12"/>
      <c r="N3" s="13"/>
      <c r="O3" s="13" t="s">
        <v>1</v>
      </c>
      <c r="P3" s="14"/>
      <c r="Q3" s="11"/>
      <c r="R3" s="11" t="s">
        <v>2</v>
      </c>
      <c r="S3" s="15"/>
      <c r="T3" s="11"/>
      <c r="U3" s="11" t="s">
        <v>0</v>
      </c>
      <c r="V3" s="12"/>
      <c r="W3" s="13"/>
      <c r="X3" s="13" t="s">
        <v>1</v>
      </c>
      <c r="Y3" s="14"/>
      <c r="Z3" s="11"/>
      <c r="AA3" s="11" t="s">
        <v>2</v>
      </c>
      <c r="AB3" s="11"/>
    </row>
    <row r="4" spans="1:28" ht="12.75" thickBot="1" x14ac:dyDescent="0.25">
      <c r="A4" s="264"/>
      <c r="B4" s="9" t="s">
        <v>0</v>
      </c>
      <c r="C4" s="10" t="s">
        <v>3</v>
      </c>
      <c r="D4" s="16" t="s">
        <v>4</v>
      </c>
      <c r="E4" s="17" t="s">
        <v>0</v>
      </c>
      <c r="F4" s="10" t="s">
        <v>3</v>
      </c>
      <c r="G4" s="16" t="s">
        <v>4</v>
      </c>
      <c r="H4" s="17" t="s">
        <v>0</v>
      </c>
      <c r="I4" s="10" t="s">
        <v>3</v>
      </c>
      <c r="J4" s="10" t="s">
        <v>4</v>
      </c>
      <c r="K4" s="141" t="s">
        <v>0</v>
      </c>
      <c r="L4" s="135" t="s">
        <v>3</v>
      </c>
      <c r="M4" s="135" t="s">
        <v>4</v>
      </c>
      <c r="N4" s="136" t="s">
        <v>0</v>
      </c>
      <c r="O4" s="137" t="s">
        <v>3</v>
      </c>
      <c r="P4" s="138" t="s">
        <v>4</v>
      </c>
      <c r="Q4" s="139" t="s">
        <v>0</v>
      </c>
      <c r="R4" s="135" t="s">
        <v>3</v>
      </c>
      <c r="S4" s="140" t="s">
        <v>4</v>
      </c>
      <c r="T4" s="9" t="s">
        <v>0</v>
      </c>
      <c r="U4" s="10" t="s">
        <v>3</v>
      </c>
      <c r="V4" s="21" t="s">
        <v>4</v>
      </c>
      <c r="W4" s="106" t="s">
        <v>0</v>
      </c>
      <c r="X4" s="20" t="s">
        <v>3</v>
      </c>
      <c r="Y4" s="21" t="s">
        <v>4</v>
      </c>
      <c r="Z4" s="17" t="s">
        <v>0</v>
      </c>
      <c r="AA4" s="10" t="s">
        <v>3</v>
      </c>
      <c r="AB4" s="10" t="s">
        <v>4</v>
      </c>
    </row>
    <row r="5" spans="1:28" ht="12.75" thickBot="1" x14ac:dyDescent="0.25">
      <c r="A5" s="220" t="s">
        <v>81</v>
      </c>
      <c r="B5" s="23">
        <v>11010.104128726289</v>
      </c>
      <c r="C5" s="23">
        <v>5716.3589372413635</v>
      </c>
      <c r="D5" s="24">
        <v>5293.7451914853864</v>
      </c>
      <c r="E5" s="164">
        <v>0</v>
      </c>
      <c r="F5" s="165">
        <v>0</v>
      </c>
      <c r="G5" s="166">
        <v>0</v>
      </c>
      <c r="H5" s="23">
        <v>11010.104128726289</v>
      </c>
      <c r="I5" s="23">
        <v>5716.3589372413635</v>
      </c>
      <c r="J5" s="23">
        <v>5293.7451914853864</v>
      </c>
      <c r="K5" s="75">
        <v>11381.494472913288</v>
      </c>
      <c r="L5" s="72">
        <v>5909.1818650152663</v>
      </c>
      <c r="M5" s="72">
        <v>5472.312607898165</v>
      </c>
      <c r="N5" s="75">
        <v>0</v>
      </c>
      <c r="O5" s="72">
        <v>0</v>
      </c>
      <c r="P5" s="72">
        <v>0</v>
      </c>
      <c r="Q5" s="75">
        <v>11381.494472913288</v>
      </c>
      <c r="R5" s="72">
        <v>5909.1818650152663</v>
      </c>
      <c r="S5" s="74">
        <v>5472.312607898165</v>
      </c>
      <c r="T5" s="72">
        <v>11764.280070464702</v>
      </c>
      <c r="U5" s="72">
        <v>6107.9211181616565</v>
      </c>
      <c r="V5" s="85">
        <v>5656.3589523025339</v>
      </c>
      <c r="W5" s="72">
        <v>0</v>
      </c>
      <c r="X5" s="72">
        <v>0</v>
      </c>
      <c r="Y5" s="85">
        <v>0</v>
      </c>
      <c r="Z5" s="72">
        <v>11764.280070464702</v>
      </c>
      <c r="AA5" s="72">
        <v>6107.9211181616565</v>
      </c>
      <c r="AB5" s="72">
        <v>5656.3589523025339</v>
      </c>
    </row>
    <row r="6" spans="1:28" x14ac:dyDescent="0.2">
      <c r="A6" s="221" t="s">
        <v>5</v>
      </c>
      <c r="B6" s="3">
        <v>1576.0592792306775</v>
      </c>
      <c r="C6" s="3">
        <v>777.17897332114126</v>
      </c>
      <c r="D6" s="3">
        <v>798.88030590951576</v>
      </c>
      <c r="E6" s="70">
        <v>0</v>
      </c>
      <c r="F6" s="3">
        <v>0</v>
      </c>
      <c r="G6" s="67">
        <v>0</v>
      </c>
      <c r="H6" s="3">
        <v>1576.0592792306775</v>
      </c>
      <c r="I6" s="3">
        <v>777.17897332114126</v>
      </c>
      <c r="J6" s="3">
        <v>798.88030590951576</v>
      </c>
      <c r="K6" s="62">
        <v>1629.2225546482919</v>
      </c>
      <c r="L6" s="3">
        <v>803.3945988067635</v>
      </c>
      <c r="M6" s="3">
        <v>825.8279558415079</v>
      </c>
      <c r="N6" s="70">
        <v>0</v>
      </c>
      <c r="O6" s="3">
        <v>0</v>
      </c>
      <c r="P6" s="67">
        <v>0</v>
      </c>
      <c r="Q6" s="3">
        <v>1629.2225546482919</v>
      </c>
      <c r="R6" s="3">
        <v>803.3945988067635</v>
      </c>
      <c r="S6" s="63">
        <v>825.8279558415079</v>
      </c>
      <c r="T6" s="3">
        <v>1684.0170221592512</v>
      </c>
      <c r="U6" s="3">
        <v>830.41459010090693</v>
      </c>
      <c r="V6" s="67">
        <v>853.60243205834922</v>
      </c>
      <c r="W6" s="3">
        <v>0</v>
      </c>
      <c r="X6" s="3">
        <v>0</v>
      </c>
      <c r="Y6" s="67">
        <v>0</v>
      </c>
      <c r="Z6" s="3">
        <v>1684.0170221592512</v>
      </c>
      <c r="AA6" s="3">
        <v>830.41459010090693</v>
      </c>
      <c r="AB6" s="3">
        <v>853.60243205834922</v>
      </c>
    </row>
    <row r="7" spans="1:28" x14ac:dyDescent="0.2">
      <c r="A7" s="221" t="s">
        <v>6</v>
      </c>
      <c r="B7" s="3">
        <v>1373.506301624926</v>
      </c>
      <c r="C7" s="3">
        <v>717.9692031221125</v>
      </c>
      <c r="D7" s="3">
        <v>655.53709850279984</v>
      </c>
      <c r="E7" s="70">
        <v>0</v>
      </c>
      <c r="F7" s="3">
        <v>0</v>
      </c>
      <c r="G7" s="67">
        <v>0</v>
      </c>
      <c r="H7" s="3">
        <v>1373.506301624926</v>
      </c>
      <c r="I7" s="3">
        <v>717.9692031221125</v>
      </c>
      <c r="J7" s="3">
        <v>655.53709850279984</v>
      </c>
      <c r="K7" s="62">
        <v>1419.8371057789277</v>
      </c>
      <c r="L7" s="3">
        <v>742.18757802079335</v>
      </c>
      <c r="M7" s="3">
        <v>677.64952775811389</v>
      </c>
      <c r="N7" s="70">
        <v>0</v>
      </c>
      <c r="O7" s="3">
        <v>0</v>
      </c>
      <c r="P7" s="67">
        <v>0</v>
      </c>
      <c r="Q7" s="3">
        <v>1419.8371057789277</v>
      </c>
      <c r="R7" s="3">
        <v>742.18757802079335</v>
      </c>
      <c r="S7" s="63">
        <v>677.64952775811389</v>
      </c>
      <c r="T7" s="3">
        <v>1467.5894634550061</v>
      </c>
      <c r="U7" s="3">
        <v>767.14903771511683</v>
      </c>
      <c r="V7" s="67">
        <v>700.44042573988929</v>
      </c>
      <c r="W7" s="3">
        <v>0</v>
      </c>
      <c r="X7" s="3">
        <v>0</v>
      </c>
      <c r="Y7" s="67">
        <v>0</v>
      </c>
      <c r="Z7" s="3">
        <v>1467.5894634550061</v>
      </c>
      <c r="AA7" s="3">
        <v>767.14903771511683</v>
      </c>
      <c r="AB7" s="3">
        <v>700.44042573988929</v>
      </c>
    </row>
    <row r="8" spans="1:28" x14ac:dyDescent="0.2">
      <c r="A8" s="221" t="s">
        <v>7</v>
      </c>
      <c r="B8" s="3">
        <v>1311.0741970056079</v>
      </c>
      <c r="C8" s="3">
        <v>680.24980658127777</v>
      </c>
      <c r="D8" s="3">
        <v>630.8243904243219</v>
      </c>
      <c r="E8" s="70">
        <v>0</v>
      </c>
      <c r="F8" s="3">
        <v>0</v>
      </c>
      <c r="G8" s="67">
        <v>0</v>
      </c>
      <c r="H8" s="3">
        <v>1311.0741970056079</v>
      </c>
      <c r="I8" s="3">
        <v>680.24980658127777</v>
      </c>
      <c r="J8" s="3">
        <v>630.8243904243219</v>
      </c>
      <c r="K8" s="62">
        <v>1355.2990555162482</v>
      </c>
      <c r="L8" s="3">
        <v>703.19583932042451</v>
      </c>
      <c r="M8" s="3">
        <v>652.10321619580327</v>
      </c>
      <c r="N8" s="70">
        <v>0</v>
      </c>
      <c r="O8" s="3">
        <v>0</v>
      </c>
      <c r="P8" s="67">
        <v>0</v>
      </c>
      <c r="Q8" s="3">
        <v>1355.2990555162482</v>
      </c>
      <c r="R8" s="3">
        <v>703.19583932042451</v>
      </c>
      <c r="S8" s="63">
        <v>652.10321619580327</v>
      </c>
      <c r="T8" s="3">
        <v>1400.8808514797786</v>
      </c>
      <c r="U8" s="3">
        <v>726.84591798008353</v>
      </c>
      <c r="V8" s="67">
        <v>674.03493349969506</v>
      </c>
      <c r="W8" s="3">
        <v>0</v>
      </c>
      <c r="X8" s="3">
        <v>0</v>
      </c>
      <c r="Y8" s="67">
        <v>0</v>
      </c>
      <c r="Z8" s="3">
        <v>1400.8808514797786</v>
      </c>
      <c r="AA8" s="3">
        <v>726.84591798008353</v>
      </c>
      <c r="AB8" s="3">
        <v>674.03493349969506</v>
      </c>
    </row>
    <row r="9" spans="1:28" x14ac:dyDescent="0.2">
      <c r="A9" s="221" t="s">
        <v>8</v>
      </c>
      <c r="B9" s="3">
        <v>1414.8177562201704</v>
      </c>
      <c r="C9" s="3">
        <v>719.77136335860314</v>
      </c>
      <c r="D9" s="3">
        <v>695.04639286155134</v>
      </c>
      <c r="E9" s="70">
        <v>0</v>
      </c>
      <c r="F9" s="3">
        <v>0</v>
      </c>
      <c r="G9" s="67">
        <v>0</v>
      </c>
      <c r="H9" s="3">
        <v>1414.8177562201704</v>
      </c>
      <c r="I9" s="3">
        <v>719.77136335860314</v>
      </c>
      <c r="J9" s="3">
        <v>695.04639286155134</v>
      </c>
      <c r="K9" s="62">
        <v>1462.5420690241619</v>
      </c>
      <c r="L9" s="3">
        <v>744.05052831909609</v>
      </c>
      <c r="M9" s="3">
        <v>718.49154070508064</v>
      </c>
      <c r="N9" s="70">
        <v>0</v>
      </c>
      <c r="O9" s="3">
        <v>0</v>
      </c>
      <c r="P9" s="67">
        <v>0</v>
      </c>
      <c r="Q9" s="3">
        <v>1462.5420690241619</v>
      </c>
      <c r="R9" s="3">
        <v>744.05052831909609</v>
      </c>
      <c r="S9" s="63">
        <v>718.49154070508064</v>
      </c>
      <c r="T9" s="3">
        <v>1511.7306919388013</v>
      </c>
      <c r="U9" s="3">
        <v>769.07464327760601</v>
      </c>
      <c r="V9" s="67">
        <v>742.65604866119986</v>
      </c>
      <c r="W9" s="3">
        <v>0</v>
      </c>
      <c r="X9" s="3">
        <v>0</v>
      </c>
      <c r="Y9" s="67">
        <v>0</v>
      </c>
      <c r="Z9" s="3">
        <v>1511.7306919388013</v>
      </c>
      <c r="AA9" s="3">
        <v>769.07464327760601</v>
      </c>
      <c r="AB9" s="3">
        <v>742.65604866119986</v>
      </c>
    </row>
    <row r="10" spans="1:28" x14ac:dyDescent="0.2">
      <c r="A10" s="221" t="s">
        <v>9</v>
      </c>
      <c r="B10" s="3">
        <v>1420.3920920879257</v>
      </c>
      <c r="C10" s="3">
        <v>733.15337391400374</v>
      </c>
      <c r="D10" s="3">
        <v>687.23871817393365</v>
      </c>
      <c r="E10" s="70">
        <v>0</v>
      </c>
      <c r="F10" s="3">
        <v>0</v>
      </c>
      <c r="G10" s="67">
        <v>0</v>
      </c>
      <c r="H10" s="3">
        <v>1420.3920920879257</v>
      </c>
      <c r="I10" s="3">
        <v>733.15337391400374</v>
      </c>
      <c r="J10" s="3">
        <v>687.23871817393365</v>
      </c>
      <c r="K10" s="62">
        <v>1468.3044371296457</v>
      </c>
      <c r="L10" s="3">
        <v>757.88393783019808</v>
      </c>
      <c r="M10" s="3">
        <v>710.42049929941822</v>
      </c>
      <c r="N10" s="70">
        <v>0</v>
      </c>
      <c r="O10" s="3">
        <v>0</v>
      </c>
      <c r="P10" s="67">
        <v>0</v>
      </c>
      <c r="Q10" s="3">
        <v>1468.3044371296457</v>
      </c>
      <c r="R10" s="3">
        <v>757.88393783019808</v>
      </c>
      <c r="S10" s="63">
        <v>710.42049929941822</v>
      </c>
      <c r="T10" s="3">
        <v>1517.6868616160953</v>
      </c>
      <c r="U10" s="3">
        <v>783.37330187692146</v>
      </c>
      <c r="V10" s="67">
        <v>734.31355973917493</v>
      </c>
      <c r="W10" s="3">
        <v>0</v>
      </c>
      <c r="X10" s="3">
        <v>0</v>
      </c>
      <c r="Y10" s="67">
        <v>0</v>
      </c>
      <c r="Z10" s="3">
        <v>1517.6868616160953</v>
      </c>
      <c r="AA10" s="3">
        <v>783.37330187692146</v>
      </c>
      <c r="AB10" s="3">
        <v>734.31355973917493</v>
      </c>
    </row>
    <row r="11" spans="1:28" x14ac:dyDescent="0.2">
      <c r="A11" s="222" t="s">
        <v>10</v>
      </c>
      <c r="B11" s="3">
        <v>869.41622320711497</v>
      </c>
      <c r="C11" s="3">
        <v>513.94792070334654</v>
      </c>
      <c r="D11" s="3">
        <v>355.46830250375575</v>
      </c>
      <c r="E11" s="70">
        <v>0</v>
      </c>
      <c r="F11" s="3">
        <v>0</v>
      </c>
      <c r="G11" s="67">
        <v>0</v>
      </c>
      <c r="H11" s="3">
        <v>869.41622320711497</v>
      </c>
      <c r="I11" s="3">
        <v>513.94792070334654</v>
      </c>
      <c r="J11" s="3">
        <v>355.46830250375575</v>
      </c>
      <c r="K11" s="62">
        <v>898.74317476025442</v>
      </c>
      <c r="L11" s="3">
        <v>531.28429581228136</v>
      </c>
      <c r="M11" s="3">
        <v>367.45887894797664</v>
      </c>
      <c r="N11" s="70">
        <v>0</v>
      </c>
      <c r="O11" s="3">
        <v>0</v>
      </c>
      <c r="P11" s="67">
        <v>0</v>
      </c>
      <c r="Q11" s="3">
        <v>898.74317476025442</v>
      </c>
      <c r="R11" s="3">
        <v>531.28429581228136</v>
      </c>
      <c r="S11" s="63">
        <v>367.45887894797664</v>
      </c>
      <c r="T11" s="3">
        <v>928.96995596313695</v>
      </c>
      <c r="U11" s="3">
        <v>549.1525974773574</v>
      </c>
      <c r="V11" s="67">
        <v>379.81735848578069</v>
      </c>
      <c r="W11" s="3">
        <v>0</v>
      </c>
      <c r="X11" s="3">
        <v>0</v>
      </c>
      <c r="Y11" s="67">
        <v>0</v>
      </c>
      <c r="Z11" s="3">
        <v>928.96995596313695</v>
      </c>
      <c r="AA11" s="3">
        <v>549.1525974773574</v>
      </c>
      <c r="AB11" s="3">
        <v>379.81735848578069</v>
      </c>
    </row>
    <row r="12" spans="1:28" x14ac:dyDescent="0.2">
      <c r="A12" s="222" t="s">
        <v>11</v>
      </c>
      <c r="B12" s="3">
        <v>486.89440626446304</v>
      </c>
      <c r="C12" s="3">
        <v>248.69068135354115</v>
      </c>
      <c r="D12" s="3">
        <v>238.20372491092195</v>
      </c>
      <c r="E12" s="70">
        <v>0</v>
      </c>
      <c r="F12" s="3">
        <v>0</v>
      </c>
      <c r="G12" s="67">
        <v>0</v>
      </c>
      <c r="H12" s="3">
        <v>486.89440626446304</v>
      </c>
      <c r="I12" s="3">
        <v>248.69068135354115</v>
      </c>
      <c r="J12" s="3">
        <v>238.20372491092195</v>
      </c>
      <c r="K12" s="62">
        <v>503.31821833843787</v>
      </c>
      <c r="L12" s="3">
        <v>257.07945921286552</v>
      </c>
      <c r="M12" s="3">
        <v>246.238759125576</v>
      </c>
      <c r="N12" s="70">
        <v>0</v>
      </c>
      <c r="O12" s="3">
        <v>0</v>
      </c>
      <c r="P12" s="67">
        <v>0</v>
      </c>
      <c r="Q12" s="3">
        <v>503.31821833843787</v>
      </c>
      <c r="R12" s="3">
        <v>257.07945921286552</v>
      </c>
      <c r="S12" s="63">
        <v>246.238759125576</v>
      </c>
      <c r="T12" s="3">
        <v>520.24595708338109</v>
      </c>
      <c r="U12" s="3">
        <v>265.72562731028086</v>
      </c>
      <c r="V12" s="67">
        <v>254.52032977310031</v>
      </c>
      <c r="W12" s="3">
        <v>0</v>
      </c>
      <c r="X12" s="3">
        <v>0</v>
      </c>
      <c r="Y12" s="67">
        <v>0</v>
      </c>
      <c r="Z12" s="3">
        <v>520.24595708338109</v>
      </c>
      <c r="AA12" s="3">
        <v>265.72562731028086</v>
      </c>
      <c r="AB12" s="3">
        <v>254.52032977310031</v>
      </c>
    </row>
    <row r="13" spans="1:28" x14ac:dyDescent="0.2">
      <c r="A13" s="222" t="s">
        <v>12</v>
      </c>
      <c r="B13" s="3">
        <v>588.76769742133536</v>
      </c>
      <c r="C13" s="3">
        <v>301.12546356663717</v>
      </c>
      <c r="D13" s="3">
        <v>287.64223385469819</v>
      </c>
      <c r="E13" s="70">
        <v>0</v>
      </c>
      <c r="F13" s="3">
        <v>0</v>
      </c>
      <c r="G13" s="67">
        <v>0</v>
      </c>
      <c r="H13" s="3">
        <v>588.76769742133536</v>
      </c>
      <c r="I13" s="3">
        <v>301.12546356663717</v>
      </c>
      <c r="J13" s="3">
        <v>287.64223385469819</v>
      </c>
      <c r="K13" s="62">
        <v>608.62787632925222</v>
      </c>
      <c r="L13" s="3">
        <v>311.28295964931226</v>
      </c>
      <c r="M13" s="3">
        <v>297.34491667994024</v>
      </c>
      <c r="N13" s="70">
        <v>0</v>
      </c>
      <c r="O13" s="3">
        <v>0</v>
      </c>
      <c r="P13" s="67">
        <v>0</v>
      </c>
      <c r="Q13" s="3">
        <v>608.62787632925222</v>
      </c>
      <c r="R13" s="3">
        <v>311.28295964931226</v>
      </c>
      <c r="S13" s="63">
        <v>297.34491667994024</v>
      </c>
      <c r="T13" s="3">
        <v>629.09741887313464</v>
      </c>
      <c r="U13" s="3">
        <v>321.75211499618342</v>
      </c>
      <c r="V13" s="67">
        <v>307.34530387695133</v>
      </c>
      <c r="W13" s="3">
        <v>0</v>
      </c>
      <c r="X13" s="3">
        <v>0</v>
      </c>
      <c r="Y13" s="67">
        <v>0</v>
      </c>
      <c r="Z13" s="3">
        <v>629.09741887313464</v>
      </c>
      <c r="AA13" s="3">
        <v>321.75211499618342</v>
      </c>
      <c r="AB13" s="3">
        <v>307.34530387695133</v>
      </c>
    </row>
    <row r="14" spans="1:28" x14ac:dyDescent="0.2">
      <c r="A14" s="222" t="s">
        <v>13</v>
      </c>
      <c r="B14" s="3">
        <v>408.99130126214897</v>
      </c>
      <c r="C14" s="3">
        <v>208.24099221772423</v>
      </c>
      <c r="D14" s="3">
        <v>200.7503090444248</v>
      </c>
      <c r="E14" s="70">
        <v>0</v>
      </c>
      <c r="F14" s="3">
        <v>0</v>
      </c>
      <c r="G14" s="67">
        <v>0</v>
      </c>
      <c r="H14" s="3">
        <v>408.99130126214897</v>
      </c>
      <c r="I14" s="3">
        <v>208.24099221772423</v>
      </c>
      <c r="J14" s="3">
        <v>200.7503090444248</v>
      </c>
      <c r="K14" s="62">
        <v>422.78730340428842</v>
      </c>
      <c r="L14" s="3">
        <v>215.26533030474872</v>
      </c>
      <c r="M14" s="3">
        <v>207.5219730995419</v>
      </c>
      <c r="N14" s="70">
        <v>0</v>
      </c>
      <c r="O14" s="3">
        <v>0</v>
      </c>
      <c r="P14" s="67">
        <v>0</v>
      </c>
      <c r="Q14" s="3">
        <v>422.78730340428842</v>
      </c>
      <c r="R14" s="3">
        <v>215.26533030474872</v>
      </c>
      <c r="S14" s="63">
        <v>207.5219730995419</v>
      </c>
      <c r="T14" s="3">
        <v>437.00660395004013</v>
      </c>
      <c r="U14" s="3">
        <v>222.50519395258456</v>
      </c>
      <c r="V14" s="67">
        <v>214.50140999745562</v>
      </c>
      <c r="W14" s="3">
        <v>0</v>
      </c>
      <c r="X14" s="3">
        <v>0</v>
      </c>
      <c r="Y14" s="67">
        <v>0</v>
      </c>
      <c r="Z14" s="3">
        <v>437.00660395004013</v>
      </c>
      <c r="AA14" s="3">
        <v>222.50519395258456</v>
      </c>
      <c r="AB14" s="3">
        <v>214.50140999745562</v>
      </c>
    </row>
    <row r="15" spans="1:28" x14ac:dyDescent="0.2">
      <c r="A15" s="222" t="s">
        <v>14</v>
      </c>
      <c r="B15" s="3">
        <v>355.87085458668844</v>
      </c>
      <c r="C15" s="3">
        <v>188.82943304599794</v>
      </c>
      <c r="D15" s="3">
        <v>167.04142154069049</v>
      </c>
      <c r="E15" s="70">
        <v>0</v>
      </c>
      <c r="F15" s="3">
        <v>0</v>
      </c>
      <c r="G15" s="67">
        <v>0</v>
      </c>
      <c r="H15" s="3">
        <v>355.87085458668844</v>
      </c>
      <c r="I15" s="3">
        <v>188.82943304599794</v>
      </c>
      <c r="J15" s="3">
        <v>167.04142154069049</v>
      </c>
      <c r="K15" s="62">
        <v>367.87500982679205</v>
      </c>
      <c r="L15" s="3">
        <v>195.19898480605403</v>
      </c>
      <c r="M15" s="3">
        <v>172.6760250207401</v>
      </c>
      <c r="N15" s="70">
        <v>0</v>
      </c>
      <c r="O15" s="3">
        <v>0</v>
      </c>
      <c r="P15" s="67">
        <v>0</v>
      </c>
      <c r="Q15" s="3">
        <v>367.87500982679205</v>
      </c>
      <c r="R15" s="3">
        <v>195.19898480605403</v>
      </c>
      <c r="S15" s="63">
        <v>172.6760250207401</v>
      </c>
      <c r="T15" s="3">
        <v>380.24748479441757</v>
      </c>
      <c r="U15" s="3">
        <v>201.76397152356742</v>
      </c>
      <c r="V15" s="67">
        <v>178.48351327084814</v>
      </c>
      <c r="W15" s="3">
        <v>0</v>
      </c>
      <c r="X15" s="3">
        <v>0</v>
      </c>
      <c r="Y15" s="67">
        <v>0</v>
      </c>
      <c r="Z15" s="3">
        <v>380.24748479441757</v>
      </c>
      <c r="AA15" s="3">
        <v>201.76397152356742</v>
      </c>
      <c r="AB15" s="3">
        <v>178.48351327084814</v>
      </c>
    </row>
    <row r="16" spans="1:28" x14ac:dyDescent="0.2">
      <c r="A16" s="222" t="s">
        <v>15</v>
      </c>
      <c r="B16" s="3">
        <v>271.62387676616629</v>
      </c>
      <c r="C16" s="3">
        <v>123.46539853007559</v>
      </c>
      <c r="D16" s="3">
        <v>148.1584782360907</v>
      </c>
      <c r="E16" s="70">
        <v>0</v>
      </c>
      <c r="F16" s="3">
        <v>0</v>
      </c>
      <c r="G16" s="67">
        <v>0</v>
      </c>
      <c r="H16" s="3">
        <v>271.62387676616629</v>
      </c>
      <c r="I16" s="3">
        <v>123.46539853007559</v>
      </c>
      <c r="J16" s="3">
        <v>148.1584782360907</v>
      </c>
      <c r="K16" s="62">
        <v>280.78623199024651</v>
      </c>
      <c r="L16" s="3">
        <v>127.63010545011224</v>
      </c>
      <c r="M16" s="3">
        <v>153.15612654013469</v>
      </c>
      <c r="N16" s="70">
        <v>0</v>
      </c>
      <c r="O16" s="3">
        <v>0</v>
      </c>
      <c r="P16" s="67">
        <v>0</v>
      </c>
      <c r="Q16" s="3">
        <v>280.78623199024651</v>
      </c>
      <c r="R16" s="3">
        <v>127.63010545011224</v>
      </c>
      <c r="S16" s="63">
        <v>153.15612654013469</v>
      </c>
      <c r="T16" s="3">
        <v>290.22971288390136</v>
      </c>
      <c r="U16" s="3">
        <v>131.92259676540957</v>
      </c>
      <c r="V16" s="67">
        <v>158.30711611849142</v>
      </c>
      <c r="W16" s="3">
        <v>0</v>
      </c>
      <c r="X16" s="3">
        <v>0</v>
      </c>
      <c r="Y16" s="67">
        <v>0</v>
      </c>
      <c r="Z16" s="3">
        <v>290.22971288390136</v>
      </c>
      <c r="AA16" s="3">
        <v>131.92259676540957</v>
      </c>
      <c r="AB16" s="3">
        <v>158.30711611849142</v>
      </c>
    </row>
    <row r="17" spans="1:80" x14ac:dyDescent="0.2">
      <c r="A17" s="222" t="s">
        <v>16</v>
      </c>
      <c r="B17" s="3">
        <v>249.83586526085881</v>
      </c>
      <c r="C17" s="3">
        <v>124.91793263042942</v>
      </c>
      <c r="D17" s="3">
        <v>124.91793263042942</v>
      </c>
      <c r="E17" s="70">
        <v>0</v>
      </c>
      <c r="F17" s="3">
        <v>0</v>
      </c>
      <c r="G17" s="67">
        <v>0</v>
      </c>
      <c r="H17" s="3">
        <v>249.83586526085881</v>
      </c>
      <c r="I17" s="3">
        <v>124.91793263042942</v>
      </c>
      <c r="J17" s="3">
        <v>124.91793263042942</v>
      </c>
      <c r="K17" s="62">
        <v>258.263272204933</v>
      </c>
      <c r="L17" s="3">
        <v>129.1316361024665</v>
      </c>
      <c r="M17" s="3">
        <v>129.1316361024665</v>
      </c>
      <c r="N17" s="70">
        <v>0</v>
      </c>
      <c r="O17" s="3">
        <v>0</v>
      </c>
      <c r="P17" s="67">
        <v>0</v>
      </c>
      <c r="Q17" s="3">
        <v>258.263272204933</v>
      </c>
      <c r="R17" s="3">
        <v>129.1316361024665</v>
      </c>
      <c r="S17" s="63">
        <v>129.1316361024665</v>
      </c>
      <c r="T17" s="3">
        <v>266.94925463118165</v>
      </c>
      <c r="U17" s="3">
        <v>133.47462731559085</v>
      </c>
      <c r="V17" s="67">
        <v>133.47462731559085</v>
      </c>
      <c r="W17" s="3">
        <v>0</v>
      </c>
      <c r="X17" s="3">
        <v>0</v>
      </c>
      <c r="Y17" s="67">
        <v>0</v>
      </c>
      <c r="Z17" s="3">
        <v>266.94925463118165</v>
      </c>
      <c r="AA17" s="3">
        <v>133.47462731559085</v>
      </c>
      <c r="AB17" s="3">
        <v>133.47462731559085</v>
      </c>
    </row>
    <row r="18" spans="1:80" x14ac:dyDescent="0.2">
      <c r="A18" s="222" t="s">
        <v>17</v>
      </c>
      <c r="B18" s="3">
        <v>214.97504685236689</v>
      </c>
      <c r="C18" s="3">
        <v>101.67738702476814</v>
      </c>
      <c r="D18" s="3">
        <v>113.29765982759878</v>
      </c>
      <c r="E18" s="70">
        <v>0</v>
      </c>
      <c r="F18" s="3">
        <v>0</v>
      </c>
      <c r="G18" s="67">
        <v>0</v>
      </c>
      <c r="H18" s="3">
        <v>214.97504685236689</v>
      </c>
      <c r="I18" s="3">
        <v>101.67738702476814</v>
      </c>
      <c r="J18" s="3">
        <v>113.29765982759878</v>
      </c>
      <c r="K18" s="62">
        <v>222.22653654843074</v>
      </c>
      <c r="L18" s="3">
        <v>105.10714566479831</v>
      </c>
      <c r="M18" s="3">
        <v>117.11939088363241</v>
      </c>
      <c r="N18" s="70">
        <v>0</v>
      </c>
      <c r="O18" s="3">
        <v>0</v>
      </c>
      <c r="P18" s="67">
        <v>0</v>
      </c>
      <c r="Q18" s="3">
        <v>222.22653654843074</v>
      </c>
      <c r="R18" s="3">
        <v>105.10714566479831</v>
      </c>
      <c r="S18" s="63">
        <v>117.11939088363241</v>
      </c>
      <c r="T18" s="3">
        <v>229.70052142683056</v>
      </c>
      <c r="U18" s="3">
        <v>108.64213851269027</v>
      </c>
      <c r="V18" s="67">
        <v>121.05838291414055</v>
      </c>
      <c r="W18" s="3">
        <v>0</v>
      </c>
      <c r="X18" s="3">
        <v>0</v>
      </c>
      <c r="Y18" s="67">
        <v>0</v>
      </c>
      <c r="Z18" s="3">
        <v>229.70052142683056</v>
      </c>
      <c r="AA18" s="3">
        <v>108.64213851269027</v>
      </c>
      <c r="AB18" s="3">
        <v>121.05838291414055</v>
      </c>
    </row>
    <row r="19" spans="1:80" x14ac:dyDescent="0.2">
      <c r="A19" s="222" t="s">
        <v>18</v>
      </c>
      <c r="B19" s="3">
        <v>138.57050393586547</v>
      </c>
      <c r="C19" s="3">
        <v>71.730613802095192</v>
      </c>
      <c r="D19" s="3">
        <v>66.839890133770538</v>
      </c>
      <c r="E19" s="70">
        <v>0</v>
      </c>
      <c r="F19" s="3">
        <v>0</v>
      </c>
      <c r="G19" s="67">
        <v>0</v>
      </c>
      <c r="H19" s="3">
        <v>138.57050393586547</v>
      </c>
      <c r="I19" s="3">
        <v>71.730613802095192</v>
      </c>
      <c r="J19" s="3">
        <v>66.839890133770538</v>
      </c>
      <c r="K19" s="62">
        <v>143.2447328576965</v>
      </c>
      <c r="L19" s="3">
        <v>74.150214655748712</v>
      </c>
      <c r="M19" s="3">
        <v>69.094518201947665</v>
      </c>
      <c r="N19" s="70">
        <v>0</v>
      </c>
      <c r="O19" s="3">
        <v>0</v>
      </c>
      <c r="P19" s="67">
        <v>0</v>
      </c>
      <c r="Q19" s="3">
        <v>143.2447328576965</v>
      </c>
      <c r="R19" s="3">
        <v>74.150214655748712</v>
      </c>
      <c r="S19" s="63">
        <v>69.094518201947665</v>
      </c>
      <c r="T19" s="3">
        <v>148.06237967844706</v>
      </c>
      <c r="U19" s="3">
        <v>76.644055362960884</v>
      </c>
      <c r="V19" s="67">
        <v>71.418324315486274</v>
      </c>
      <c r="W19" s="3">
        <v>0</v>
      </c>
      <c r="X19" s="3">
        <v>0</v>
      </c>
      <c r="Y19" s="67">
        <v>0</v>
      </c>
      <c r="Z19" s="3">
        <v>148.06237967844706</v>
      </c>
      <c r="AA19" s="3">
        <v>76.644055362960884</v>
      </c>
      <c r="AB19" s="3">
        <v>71.418324315486274</v>
      </c>
    </row>
    <row r="20" spans="1:80" x14ac:dyDescent="0.2">
      <c r="A20" s="222" t="s">
        <v>19</v>
      </c>
      <c r="B20" s="3">
        <v>119.00760926256685</v>
      </c>
      <c r="C20" s="3">
        <v>81.5120611387445</v>
      </c>
      <c r="D20" s="3">
        <v>37.495548123822502</v>
      </c>
      <c r="E20" s="70">
        <v>0</v>
      </c>
      <c r="F20" s="3">
        <v>0</v>
      </c>
      <c r="G20" s="67">
        <v>0</v>
      </c>
      <c r="H20" s="3">
        <v>119.00760926256685</v>
      </c>
      <c r="I20" s="3">
        <v>81.5120611387445</v>
      </c>
      <c r="J20" s="3">
        <v>37.495548123822502</v>
      </c>
      <c r="K20" s="62">
        <v>123.02194704249217</v>
      </c>
      <c r="L20" s="3">
        <v>84.261607563350807</v>
      </c>
      <c r="M20" s="3">
        <v>38.760339479141379</v>
      </c>
      <c r="N20" s="70">
        <v>0</v>
      </c>
      <c r="O20" s="3">
        <v>0</v>
      </c>
      <c r="P20" s="67">
        <v>0</v>
      </c>
      <c r="Q20" s="3">
        <v>123.02194704249217</v>
      </c>
      <c r="R20" s="3">
        <v>84.261607563350807</v>
      </c>
      <c r="S20" s="63">
        <v>38.760339479141379</v>
      </c>
      <c r="T20" s="3">
        <v>127.15945548854879</v>
      </c>
      <c r="U20" s="3">
        <v>87.095517457910105</v>
      </c>
      <c r="V20" s="67">
        <v>40.063938030638617</v>
      </c>
      <c r="W20" s="3">
        <v>0</v>
      </c>
      <c r="X20" s="3">
        <v>0</v>
      </c>
      <c r="Y20" s="67">
        <v>0</v>
      </c>
      <c r="Z20" s="3">
        <v>127.15945548854879</v>
      </c>
      <c r="AA20" s="3">
        <v>87.095517457910105</v>
      </c>
      <c r="AB20" s="3">
        <v>40.063938030638617</v>
      </c>
    </row>
    <row r="21" spans="1:80" x14ac:dyDescent="0.2">
      <c r="A21" s="222" t="s">
        <v>20</v>
      </c>
      <c r="B21" s="3">
        <v>88.033026029844038</v>
      </c>
      <c r="C21" s="3">
        <v>39.125789346597394</v>
      </c>
      <c r="D21" s="3">
        <v>48.907236683246744</v>
      </c>
      <c r="E21" s="70">
        <v>0</v>
      </c>
      <c r="F21" s="4">
        <v>0</v>
      </c>
      <c r="G21" s="89">
        <v>0</v>
      </c>
      <c r="H21" s="3">
        <v>88.033026029844038</v>
      </c>
      <c r="I21" s="3">
        <v>39.125789346597394</v>
      </c>
      <c r="J21" s="3">
        <v>48.907236683246744</v>
      </c>
      <c r="K21" s="62">
        <v>91.002536168418871</v>
      </c>
      <c r="L21" s="3">
        <v>40.445571630408395</v>
      </c>
      <c r="M21" s="3">
        <v>50.55696453801049</v>
      </c>
      <c r="N21" s="70">
        <v>0</v>
      </c>
      <c r="O21" s="4">
        <v>0</v>
      </c>
      <c r="P21" s="89">
        <v>0</v>
      </c>
      <c r="Q21" s="3">
        <v>91.002536168418871</v>
      </c>
      <c r="R21" s="3">
        <v>40.445571630408395</v>
      </c>
      <c r="S21" s="63">
        <v>50.55696453801049</v>
      </c>
      <c r="T21" s="3">
        <v>94.06315885454292</v>
      </c>
      <c r="U21" s="3">
        <v>41.805848379796821</v>
      </c>
      <c r="V21" s="67">
        <v>52.257310474746042</v>
      </c>
      <c r="W21" s="3">
        <v>0</v>
      </c>
      <c r="X21" s="4">
        <v>0</v>
      </c>
      <c r="Y21" s="89">
        <v>0</v>
      </c>
      <c r="Z21" s="3">
        <v>94.06315885454292</v>
      </c>
      <c r="AA21" s="3">
        <v>41.805848379796821</v>
      </c>
      <c r="AB21" s="3">
        <v>52.257310474746042</v>
      </c>
    </row>
    <row r="22" spans="1:80" x14ac:dyDescent="0.2">
      <c r="A22" s="222" t="s">
        <v>27</v>
      </c>
      <c r="B22" s="3">
        <v>92.923749698168692</v>
      </c>
      <c r="C22" s="3">
        <v>68.470131356545423</v>
      </c>
      <c r="D22" s="3">
        <v>24.453618341623372</v>
      </c>
      <c r="E22" s="70">
        <v>0</v>
      </c>
      <c r="F22" s="4">
        <v>0</v>
      </c>
      <c r="G22" s="89">
        <v>0</v>
      </c>
      <c r="H22" s="3">
        <v>92.923749698168692</v>
      </c>
      <c r="I22" s="3">
        <v>68.470131356545423</v>
      </c>
      <c r="J22" s="3">
        <v>24.453618341623372</v>
      </c>
      <c r="K22" s="62">
        <v>96.058232622219919</v>
      </c>
      <c r="L22" s="3">
        <v>70.779750353214681</v>
      </c>
      <c r="M22" s="3">
        <v>25.278482269005252</v>
      </c>
      <c r="N22" s="70">
        <v>0</v>
      </c>
      <c r="O22" s="4">
        <v>0</v>
      </c>
      <c r="P22" s="89">
        <v>0</v>
      </c>
      <c r="Q22" s="3">
        <v>96.058232622219919</v>
      </c>
      <c r="R22" s="3">
        <v>70.779750353214681</v>
      </c>
      <c r="S22" s="63">
        <v>25.278482269005252</v>
      </c>
      <c r="T22" s="3">
        <v>99.28888990201753</v>
      </c>
      <c r="U22" s="3">
        <v>73.160234664644477</v>
      </c>
      <c r="V22" s="67">
        <v>26.128655237373003</v>
      </c>
      <c r="W22" s="3">
        <v>0</v>
      </c>
      <c r="X22" s="4">
        <v>0</v>
      </c>
      <c r="Y22" s="89">
        <v>0</v>
      </c>
      <c r="Z22" s="3">
        <v>99.28888990201753</v>
      </c>
      <c r="AA22" s="3">
        <v>73.160234664644477</v>
      </c>
      <c r="AB22" s="3">
        <v>26.128655237373003</v>
      </c>
    </row>
    <row r="23" spans="1:80" x14ac:dyDescent="0.2">
      <c r="A23" s="222" t="s">
        <v>41</v>
      </c>
      <c r="B23" s="3">
        <v>11.411688559424238</v>
      </c>
      <c r="C23" s="3">
        <v>3.2604824455497821</v>
      </c>
      <c r="D23" s="3">
        <v>8.1512061138744549</v>
      </c>
      <c r="E23" s="70">
        <v>0</v>
      </c>
      <c r="F23" s="4">
        <v>0</v>
      </c>
      <c r="G23" s="89">
        <v>0</v>
      </c>
      <c r="H23" s="3">
        <v>11.411688559424238</v>
      </c>
      <c r="I23" s="3">
        <v>3.2604824455497821</v>
      </c>
      <c r="J23" s="3">
        <v>8.1512061138744549</v>
      </c>
      <c r="K23" s="62">
        <v>11.796625058869122</v>
      </c>
      <c r="L23" s="3">
        <v>3.3704643025340348</v>
      </c>
      <c r="M23" s="3">
        <v>8.4261607563350864</v>
      </c>
      <c r="N23" s="70">
        <v>0</v>
      </c>
      <c r="O23" s="4">
        <v>0</v>
      </c>
      <c r="P23" s="89">
        <v>0</v>
      </c>
      <c r="Q23" s="3">
        <v>11.796625058869122</v>
      </c>
      <c r="R23" s="3">
        <v>3.3704643025340348</v>
      </c>
      <c r="S23" s="63">
        <v>8.4261607563350864</v>
      </c>
      <c r="T23" s="3">
        <v>12.193372444107402</v>
      </c>
      <c r="U23" s="3">
        <v>3.4838206983164004</v>
      </c>
      <c r="V23" s="67">
        <v>8.7095517457910017</v>
      </c>
      <c r="W23" s="3">
        <v>0</v>
      </c>
      <c r="X23" s="4">
        <v>0</v>
      </c>
      <c r="Y23" s="89">
        <v>0</v>
      </c>
      <c r="Z23" s="3">
        <v>12.193372444107402</v>
      </c>
      <c r="AA23" s="3">
        <v>3.4838206983164004</v>
      </c>
      <c r="AB23" s="3">
        <v>8.7095517457910017</v>
      </c>
    </row>
    <row r="24" spans="1:80" x14ac:dyDescent="0.2">
      <c r="A24" s="222" t="s">
        <v>32</v>
      </c>
      <c r="B24" s="3">
        <v>14.672171004974022</v>
      </c>
      <c r="C24" s="3">
        <v>13.04192978219913</v>
      </c>
      <c r="D24" s="3">
        <v>1.630241222774891</v>
      </c>
      <c r="E24" s="70">
        <v>0</v>
      </c>
      <c r="F24" s="4">
        <v>0</v>
      </c>
      <c r="G24" s="89">
        <v>0</v>
      </c>
      <c r="H24" s="3">
        <v>14.672171004974022</v>
      </c>
      <c r="I24" s="3">
        <v>13.04192978219913</v>
      </c>
      <c r="J24" s="3">
        <v>1.630241222774891</v>
      </c>
      <c r="K24" s="62">
        <v>15.167089361403157</v>
      </c>
      <c r="L24" s="3">
        <v>13.481857210136139</v>
      </c>
      <c r="M24" s="3">
        <v>1.6852321512670174</v>
      </c>
      <c r="N24" s="70">
        <v>0</v>
      </c>
      <c r="O24" s="4">
        <v>0</v>
      </c>
      <c r="P24" s="89">
        <v>0</v>
      </c>
      <c r="Q24" s="3">
        <v>15.167089361403157</v>
      </c>
      <c r="R24" s="3">
        <v>13.481857210136139</v>
      </c>
      <c r="S24" s="63">
        <v>1.6852321512670174</v>
      </c>
      <c r="T24" s="3">
        <v>15.677193142423802</v>
      </c>
      <c r="U24" s="3">
        <v>13.935282793265602</v>
      </c>
      <c r="V24" s="67">
        <v>1.7419103491582002</v>
      </c>
      <c r="W24" s="3">
        <v>0</v>
      </c>
      <c r="X24" s="4">
        <v>0</v>
      </c>
      <c r="Y24" s="89">
        <v>0</v>
      </c>
      <c r="Z24" s="3">
        <v>15.677193142423802</v>
      </c>
      <c r="AA24" s="3">
        <v>13.935282793265602</v>
      </c>
      <c r="AB24" s="3">
        <v>1.7419103491582002</v>
      </c>
    </row>
    <row r="25" spans="1:80" ht="12.75" thickBot="1" x14ac:dyDescent="0.25">
      <c r="A25" s="217" t="s">
        <v>30</v>
      </c>
      <c r="B25" s="7">
        <v>3.2604824455497821</v>
      </c>
      <c r="C25" s="7">
        <v>0</v>
      </c>
      <c r="D25" s="7">
        <v>3.2604824455497821</v>
      </c>
      <c r="E25" s="71">
        <v>0</v>
      </c>
      <c r="F25" s="2">
        <v>0</v>
      </c>
      <c r="G25" s="68">
        <v>0</v>
      </c>
      <c r="H25" s="7">
        <v>3.2604824455497821</v>
      </c>
      <c r="I25" s="7">
        <v>0</v>
      </c>
      <c r="J25" s="7">
        <v>3.2604824455497821</v>
      </c>
      <c r="K25" s="65">
        <v>3.3704643025340348</v>
      </c>
      <c r="L25" s="7">
        <v>0</v>
      </c>
      <c r="M25" s="7">
        <v>3.3704643025340348</v>
      </c>
      <c r="N25" s="71">
        <v>0</v>
      </c>
      <c r="O25" s="2">
        <v>0</v>
      </c>
      <c r="P25" s="90">
        <v>0</v>
      </c>
      <c r="Q25" s="7">
        <v>3.3704643025340348</v>
      </c>
      <c r="R25" s="7">
        <v>0</v>
      </c>
      <c r="S25" s="66">
        <v>3.3704643025340348</v>
      </c>
      <c r="T25" s="7">
        <v>3.4838206983164004</v>
      </c>
      <c r="U25" s="7">
        <v>0</v>
      </c>
      <c r="V25" s="68">
        <v>3.4838206983164004</v>
      </c>
      <c r="W25" s="7">
        <v>0</v>
      </c>
      <c r="X25" s="2">
        <v>0</v>
      </c>
      <c r="Y25" s="90">
        <v>0</v>
      </c>
      <c r="Z25" s="7">
        <v>3.4838206983164004</v>
      </c>
      <c r="AA25" s="7">
        <v>0</v>
      </c>
      <c r="AB25" s="7">
        <v>3.4838206983164004</v>
      </c>
    </row>
    <row r="26" spans="1:80" x14ac:dyDescent="0.2">
      <c r="A26" s="216" t="s">
        <v>97</v>
      </c>
      <c r="B26" s="155">
        <v>5185.0789525563096</v>
      </c>
      <c r="C26" s="155">
        <v>2646.5460319405806</v>
      </c>
      <c r="D26" s="122">
        <v>2538.5329206159281</v>
      </c>
      <c r="E26" s="155">
        <v>0</v>
      </c>
      <c r="F26" s="155">
        <v>0</v>
      </c>
      <c r="G26" s="122">
        <v>0</v>
      </c>
      <c r="H26" s="155">
        <v>5185.0789525563096</v>
      </c>
      <c r="I26" s="155">
        <v>2646.5460319405806</v>
      </c>
      <c r="J26" s="155">
        <v>2538.5329206159281</v>
      </c>
      <c r="K26" s="211">
        <v>5359.9808639562516</v>
      </c>
      <c r="L26" s="155">
        <v>2735.8187245706476</v>
      </c>
      <c r="M26" s="122">
        <v>2624.1621393857454</v>
      </c>
      <c r="N26" s="155">
        <v>0</v>
      </c>
      <c r="O26" s="155">
        <v>0</v>
      </c>
      <c r="P26" s="122">
        <v>0</v>
      </c>
      <c r="Q26" s="155">
        <v>5359.9808639562516</v>
      </c>
      <c r="R26" s="155">
        <v>2735.8187245706476</v>
      </c>
      <c r="S26" s="210">
        <v>2624.1621393857454</v>
      </c>
      <c r="T26" s="155">
        <v>5540.2492358079026</v>
      </c>
      <c r="U26" s="155">
        <v>2827.8305432087327</v>
      </c>
      <c r="V26" s="122">
        <v>2712.4186925987101</v>
      </c>
      <c r="W26" s="155">
        <v>0</v>
      </c>
      <c r="X26" s="155">
        <v>0</v>
      </c>
      <c r="Y26" s="122">
        <v>0</v>
      </c>
      <c r="Z26" s="155">
        <v>5540.2492358079026</v>
      </c>
      <c r="AA26" s="155">
        <v>2827.8305432087327</v>
      </c>
      <c r="AB26" s="155">
        <v>2712.4186925987101</v>
      </c>
    </row>
    <row r="27" spans="1:80" x14ac:dyDescent="0.2">
      <c r="A27" s="222" t="s">
        <v>22</v>
      </c>
      <c r="B27" s="3">
        <v>291.2052080763811</v>
      </c>
      <c r="C27" s="3">
        <v>151.09704192642451</v>
      </c>
      <c r="D27" s="67">
        <v>140.10816614995727</v>
      </c>
      <c r="E27" s="3">
        <v>0</v>
      </c>
      <c r="F27" s="3">
        <v>0</v>
      </c>
      <c r="G27" s="67">
        <v>0</v>
      </c>
      <c r="H27" s="3">
        <v>291.2052080763811</v>
      </c>
      <c r="I27" s="3">
        <v>151.09704192642451</v>
      </c>
      <c r="J27" s="3">
        <v>140.10816614995727</v>
      </c>
      <c r="K27" s="62">
        <v>301.0280763428367</v>
      </c>
      <c r="L27" s="3">
        <v>156.19381319675492</v>
      </c>
      <c r="M27" s="67">
        <v>144.83426314608184</v>
      </c>
      <c r="N27" s="3">
        <v>0</v>
      </c>
      <c r="O27" s="3">
        <v>0</v>
      </c>
      <c r="P27" s="67">
        <v>0</v>
      </c>
      <c r="Q27" s="3">
        <v>301.0280763428367</v>
      </c>
      <c r="R27" s="3">
        <v>156.19381319675492</v>
      </c>
      <c r="S27" s="63">
        <v>144.83426314608184</v>
      </c>
      <c r="T27" s="3">
        <v>311.15233659323269</v>
      </c>
      <c r="U27" s="3">
        <v>161.44696710026264</v>
      </c>
      <c r="V27" s="67">
        <v>149.70536949297079</v>
      </c>
      <c r="W27" s="3">
        <v>0</v>
      </c>
      <c r="X27" s="3">
        <v>0</v>
      </c>
      <c r="Y27" s="67">
        <v>0</v>
      </c>
      <c r="Z27" s="3">
        <v>311.15233659323269</v>
      </c>
      <c r="AA27" s="3">
        <v>161.44696710026264</v>
      </c>
      <c r="AB27" s="3">
        <v>149.70536949297079</v>
      </c>
    </row>
    <row r="28" spans="1:80" ht="12.75" thickBot="1" x14ac:dyDescent="0.25">
      <c r="A28" s="217" t="s">
        <v>21</v>
      </c>
      <c r="B28" s="7">
        <v>5825.025176170514</v>
      </c>
      <c r="C28" s="7">
        <v>3069.8129053008884</v>
      </c>
      <c r="D28" s="68">
        <v>2755.212270869536</v>
      </c>
      <c r="E28" s="7">
        <v>0</v>
      </c>
      <c r="F28" s="7">
        <v>0</v>
      </c>
      <c r="G28" s="68">
        <v>0</v>
      </c>
      <c r="H28" s="7">
        <v>5825.025176170514</v>
      </c>
      <c r="I28" s="7">
        <v>3069.8129053008884</v>
      </c>
      <c r="J28" s="7">
        <v>2755.212270869536</v>
      </c>
      <c r="K28" s="65">
        <v>6021.513608957247</v>
      </c>
      <c r="L28" s="7">
        <v>3173.3631404446692</v>
      </c>
      <c r="M28" s="68">
        <v>2848.150468512436</v>
      </c>
      <c r="N28" s="7">
        <v>0</v>
      </c>
      <c r="O28" s="7">
        <v>0</v>
      </c>
      <c r="P28" s="68">
        <v>0</v>
      </c>
      <c r="Q28" s="7">
        <v>6021.513608957247</v>
      </c>
      <c r="R28" s="7">
        <v>3173.3631404446692</v>
      </c>
      <c r="S28" s="66">
        <v>2848.150468512436</v>
      </c>
      <c r="T28" s="7">
        <v>6224.0308346562288</v>
      </c>
      <c r="U28" s="7">
        <v>3280.0905749525282</v>
      </c>
      <c r="V28" s="68">
        <v>2943.9402597035196</v>
      </c>
      <c r="W28" s="7">
        <v>0</v>
      </c>
      <c r="X28" s="7">
        <v>0</v>
      </c>
      <c r="Y28" s="68">
        <v>0</v>
      </c>
      <c r="Z28" s="7">
        <v>6224.0308346562288</v>
      </c>
      <c r="AA28" s="7">
        <v>3280.0905749525282</v>
      </c>
      <c r="AB28" s="7">
        <v>2943.9402597035196</v>
      </c>
    </row>
    <row r="29" spans="1:80" customFormat="1" ht="15" x14ac:dyDescent="0.25">
      <c r="A29" s="60" t="s">
        <v>121</v>
      </c>
      <c r="B29" s="60"/>
      <c r="C29" s="5"/>
      <c r="D29" s="5"/>
      <c r="E29" s="5"/>
      <c r="F29" s="5"/>
      <c r="G29" s="5"/>
      <c r="H29" s="5"/>
      <c r="I29" s="5"/>
      <c r="J29" s="5"/>
      <c r="K29" s="56"/>
      <c r="L29" s="56"/>
      <c r="M29" s="56"/>
      <c r="N29" s="56"/>
      <c r="O29" s="56"/>
      <c r="P29" s="56"/>
      <c r="Q29" s="56"/>
      <c r="R29" s="56"/>
      <c r="S29" s="56"/>
      <c r="T29" s="56"/>
      <c r="U29" s="56"/>
      <c r="V29" s="56"/>
      <c r="W29" s="56"/>
      <c r="X29" s="56"/>
      <c r="Y29" s="56"/>
      <c r="Z29" s="56"/>
      <c r="AA29" s="56"/>
      <c r="AB29" s="56"/>
      <c r="AC29" s="234"/>
      <c r="AD29" s="234"/>
      <c r="AE29" s="234"/>
      <c r="AF29" s="234"/>
      <c r="AG29" s="234"/>
      <c r="AH29" s="234"/>
      <c r="AI29" s="234"/>
      <c r="AJ29" s="234"/>
      <c r="AK29" s="234"/>
      <c r="AL29" s="234"/>
      <c r="AM29" s="234"/>
      <c r="AN29" s="234"/>
      <c r="AO29" s="234"/>
      <c r="AP29" s="234"/>
      <c r="AQ29" s="234"/>
      <c r="AR29" s="234"/>
      <c r="AS29" s="234"/>
      <c r="AT29" s="234"/>
      <c r="AU29" s="234"/>
      <c r="AV29" s="234"/>
      <c r="AW29" s="234"/>
      <c r="AX29" s="234"/>
      <c r="AY29" s="234"/>
      <c r="AZ29" s="234"/>
      <c r="BA29" s="234"/>
      <c r="BB29" s="234"/>
      <c r="BC29" s="234"/>
      <c r="BD29" s="234"/>
      <c r="BE29" s="234"/>
      <c r="BF29" s="234"/>
      <c r="BG29" s="234"/>
      <c r="BH29" s="234"/>
      <c r="BI29" s="234"/>
      <c r="BJ29" s="234"/>
      <c r="BK29" s="234"/>
      <c r="BL29" s="234"/>
      <c r="BM29" s="234"/>
      <c r="BN29" s="234"/>
      <c r="BO29" s="234"/>
      <c r="BP29" s="234"/>
      <c r="BQ29" s="234"/>
      <c r="BR29" s="234"/>
      <c r="BS29" s="234"/>
      <c r="BT29" s="234"/>
      <c r="BU29" s="234"/>
      <c r="BV29" s="234"/>
      <c r="BW29" s="234"/>
      <c r="BX29" s="234"/>
      <c r="BY29" s="234"/>
      <c r="BZ29" s="234"/>
      <c r="CA29" s="234"/>
      <c r="CB29" s="234"/>
    </row>
    <row r="34" s="1" customFormat="1" ht="12" customHeight="1" x14ac:dyDescent="0.2"/>
  </sheetData>
  <mergeCells count="4">
    <mergeCell ref="A2:A4"/>
    <mergeCell ref="B2:J2"/>
    <mergeCell ref="K2:S2"/>
    <mergeCell ref="T2:AB2"/>
  </mergeCells>
  <phoneticPr fontId="5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B34"/>
  <sheetViews>
    <sheetView workbookViewId="0">
      <pane xSplit="1" topLeftCell="B1" activePane="topRight" state="frozen"/>
      <selection pane="topRight" activeCell="K35" sqref="K35"/>
    </sheetView>
  </sheetViews>
  <sheetFormatPr defaultColWidth="9.140625" defaultRowHeight="12" x14ac:dyDescent="0.2"/>
  <cols>
    <col min="1" max="1" width="17" style="97" customWidth="1"/>
    <col min="2" max="16384" width="9.140625" style="1"/>
  </cols>
  <sheetData>
    <row r="1" spans="1:28" ht="12.75" thickBot="1" x14ac:dyDescent="0.25">
      <c r="A1" s="92" t="s">
        <v>118</v>
      </c>
      <c r="B1" s="59"/>
      <c r="C1" s="59"/>
      <c r="D1" s="59"/>
      <c r="E1" s="59"/>
      <c r="F1" s="59"/>
      <c r="G1" s="59"/>
      <c r="H1" s="59"/>
      <c r="I1" s="59"/>
      <c r="J1" s="59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</row>
    <row r="2" spans="1:28" x14ac:dyDescent="0.2">
      <c r="A2" s="265" t="s">
        <v>36</v>
      </c>
      <c r="B2" s="236" t="s">
        <v>85</v>
      </c>
      <c r="C2" s="236"/>
      <c r="D2" s="236"/>
      <c r="E2" s="236"/>
      <c r="F2" s="236"/>
      <c r="G2" s="236"/>
      <c r="H2" s="236"/>
      <c r="I2" s="236"/>
      <c r="J2" s="236"/>
      <c r="K2" s="235" t="s">
        <v>86</v>
      </c>
      <c r="L2" s="236"/>
      <c r="M2" s="236"/>
      <c r="N2" s="236"/>
      <c r="O2" s="236"/>
      <c r="P2" s="236"/>
      <c r="Q2" s="236"/>
      <c r="R2" s="236"/>
      <c r="S2" s="237"/>
      <c r="T2" s="236" t="s">
        <v>87</v>
      </c>
      <c r="U2" s="236"/>
      <c r="V2" s="236"/>
      <c r="W2" s="236"/>
      <c r="X2" s="236"/>
      <c r="Y2" s="236"/>
      <c r="Z2" s="236"/>
      <c r="AA2" s="236"/>
      <c r="AB2" s="236"/>
    </row>
    <row r="3" spans="1:28" ht="12.75" thickBot="1" x14ac:dyDescent="0.25">
      <c r="A3" s="266"/>
      <c r="B3" s="11"/>
      <c r="C3" s="11" t="s">
        <v>0</v>
      </c>
      <c r="D3" s="12"/>
      <c r="E3" s="13"/>
      <c r="F3" s="13" t="s">
        <v>1</v>
      </c>
      <c r="G3" s="14"/>
      <c r="H3" s="11"/>
      <c r="I3" s="11" t="s">
        <v>2</v>
      </c>
      <c r="J3" s="11"/>
      <c r="K3" s="88"/>
      <c r="L3" s="11" t="s">
        <v>0</v>
      </c>
      <c r="M3" s="12"/>
      <c r="N3" s="86"/>
      <c r="O3" s="13" t="s">
        <v>1</v>
      </c>
      <c r="P3" s="14"/>
      <c r="Q3" s="11"/>
      <c r="R3" s="11" t="s">
        <v>2</v>
      </c>
      <c r="S3" s="15"/>
      <c r="T3" s="11"/>
      <c r="U3" s="11" t="s">
        <v>0</v>
      </c>
      <c r="V3" s="12"/>
      <c r="W3" s="13"/>
      <c r="X3" s="13" t="s">
        <v>1</v>
      </c>
      <c r="Y3" s="14"/>
      <c r="Z3" s="11"/>
      <c r="AA3" s="11" t="s">
        <v>2</v>
      </c>
      <c r="AB3" s="11"/>
    </row>
    <row r="4" spans="1:28" ht="12.75" thickBot="1" x14ac:dyDescent="0.25">
      <c r="A4" s="267"/>
      <c r="B4" s="9" t="s">
        <v>0</v>
      </c>
      <c r="C4" s="10" t="s">
        <v>3</v>
      </c>
      <c r="D4" s="16" t="s">
        <v>4</v>
      </c>
      <c r="E4" s="17" t="s">
        <v>0</v>
      </c>
      <c r="F4" s="10" t="s">
        <v>3</v>
      </c>
      <c r="G4" s="16" t="s">
        <v>4</v>
      </c>
      <c r="H4" s="17" t="s">
        <v>0</v>
      </c>
      <c r="I4" s="10" t="s">
        <v>3</v>
      </c>
      <c r="J4" s="10" t="s">
        <v>4</v>
      </c>
      <c r="K4" s="141" t="s">
        <v>0</v>
      </c>
      <c r="L4" s="135" t="s">
        <v>3</v>
      </c>
      <c r="M4" s="142" t="s">
        <v>4</v>
      </c>
      <c r="N4" s="136" t="s">
        <v>0</v>
      </c>
      <c r="O4" s="137" t="s">
        <v>3</v>
      </c>
      <c r="P4" s="138" t="s">
        <v>4</v>
      </c>
      <c r="Q4" s="139" t="s">
        <v>0</v>
      </c>
      <c r="R4" s="135" t="s">
        <v>3</v>
      </c>
      <c r="S4" s="140" t="s">
        <v>4</v>
      </c>
      <c r="T4" s="9" t="s">
        <v>0</v>
      </c>
      <c r="U4" s="10" t="s">
        <v>3</v>
      </c>
      <c r="V4" s="10" t="s">
        <v>4</v>
      </c>
      <c r="W4" s="19" t="s">
        <v>0</v>
      </c>
      <c r="X4" s="20" t="s">
        <v>3</v>
      </c>
      <c r="Y4" s="21" t="s">
        <v>4</v>
      </c>
      <c r="Z4" s="17" t="s">
        <v>0</v>
      </c>
      <c r="AA4" s="10" t="s">
        <v>3</v>
      </c>
      <c r="AB4" s="10" t="s">
        <v>4</v>
      </c>
    </row>
    <row r="5" spans="1:28" ht="12.75" thickBot="1" x14ac:dyDescent="0.25">
      <c r="A5" s="93" t="s">
        <v>102</v>
      </c>
      <c r="B5" s="64">
        <v>157209.50612547269</v>
      </c>
      <c r="C5" s="64">
        <v>77922.858631938027</v>
      </c>
      <c r="D5" s="64">
        <v>79286.647493552329</v>
      </c>
      <c r="E5" s="64">
        <v>102328.73833045248</v>
      </c>
      <c r="F5" s="64">
        <v>50678.80078333478</v>
      </c>
      <c r="G5" s="85">
        <v>51649.937547061716</v>
      </c>
      <c r="H5" s="64">
        <v>54880.767795058033</v>
      </c>
      <c r="I5" s="64">
        <v>27244.057848590506</v>
      </c>
      <c r="J5" s="64">
        <v>27636.709946479001</v>
      </c>
      <c r="K5" s="75">
        <v>162512.4616568425</v>
      </c>
      <c r="L5" s="72">
        <v>80551.334888791462</v>
      </c>
      <c r="M5" s="85">
        <v>81961.126768067275</v>
      </c>
      <c r="N5" s="84">
        <v>105780.46820556943</v>
      </c>
      <c r="O5" s="72">
        <v>52388.286637971541</v>
      </c>
      <c r="P5" s="85">
        <v>53392.181567537613</v>
      </c>
      <c r="Q5" s="72">
        <v>56731.99345129235</v>
      </c>
      <c r="R5" s="72">
        <v>28163.048250778902</v>
      </c>
      <c r="S5" s="74">
        <v>28568.945200493912</v>
      </c>
      <c r="T5" s="72">
        <v>167978.12610815692</v>
      </c>
      <c r="U5" s="72">
        <v>83260.459857526483</v>
      </c>
      <c r="V5" s="85">
        <v>84717.666250621493</v>
      </c>
      <c r="W5" s="84">
        <v>109338.1064249363</v>
      </c>
      <c r="X5" s="72">
        <v>54150.224110485127</v>
      </c>
      <c r="Y5" s="85">
        <v>55187.882314407732</v>
      </c>
      <c r="Z5" s="64">
        <v>58640.019683228224</v>
      </c>
      <c r="AA5" s="64">
        <v>29110.235747045816</v>
      </c>
      <c r="AB5" s="64">
        <v>29529.783936217595</v>
      </c>
    </row>
    <row r="6" spans="1:28" x14ac:dyDescent="0.2">
      <c r="A6" s="94" t="s">
        <v>5</v>
      </c>
      <c r="B6" s="3">
        <v>21874.943249079661</v>
      </c>
      <c r="C6" s="3">
        <v>10880.50562649444</v>
      </c>
      <c r="D6" s="3">
        <v>10994.437622583329</v>
      </c>
      <c r="E6" s="70">
        <v>13467.033204369591</v>
      </c>
      <c r="F6" s="3">
        <v>6608.0557731600138</v>
      </c>
      <c r="G6" s="122">
        <v>6858.977431213094</v>
      </c>
      <c r="H6" s="3">
        <v>8407.9100447081782</v>
      </c>
      <c r="I6" s="3">
        <v>4272.4498533362084</v>
      </c>
      <c r="J6" s="3">
        <v>4135.4601913720944</v>
      </c>
      <c r="K6" s="62">
        <v>22612.823891025688</v>
      </c>
      <c r="L6" s="3">
        <v>11247.524383294618</v>
      </c>
      <c r="M6" s="67">
        <v>11365.299507727064</v>
      </c>
      <c r="N6" s="70">
        <v>13921.300124874084</v>
      </c>
      <c r="O6" s="3">
        <v>6830.9572170787633</v>
      </c>
      <c r="P6" s="67">
        <v>7090.3429077929113</v>
      </c>
      <c r="Q6" s="3">
        <v>8691.5237661475985</v>
      </c>
      <c r="R6" s="3">
        <v>4416.5671662151799</v>
      </c>
      <c r="S6" s="63">
        <v>4274.9565999334018</v>
      </c>
      <c r="T6" s="3">
        <v>23373.344693098352</v>
      </c>
      <c r="U6" s="3">
        <v>11625.804261412839</v>
      </c>
      <c r="V6" s="3">
        <v>11747.540431689373</v>
      </c>
      <c r="W6" s="154">
        <v>14389.505174714624</v>
      </c>
      <c r="X6" s="155">
        <v>7060.6978760421116</v>
      </c>
      <c r="Y6" s="122">
        <v>7328.8072986751222</v>
      </c>
      <c r="Z6" s="3">
        <v>8983.8395183875873</v>
      </c>
      <c r="AA6" s="3">
        <v>4565.1063853716023</v>
      </c>
      <c r="AB6" s="3">
        <v>4418.7331330152019</v>
      </c>
    </row>
    <row r="7" spans="1:28" x14ac:dyDescent="0.2">
      <c r="A7" s="94" t="s">
        <v>6</v>
      </c>
      <c r="B7" s="3">
        <v>19696.028338550106</v>
      </c>
      <c r="C7" s="3">
        <v>9803.1410940777532</v>
      </c>
      <c r="D7" s="3">
        <v>9892.8872444680073</v>
      </c>
      <c r="E7" s="70">
        <v>12479.91757963055</v>
      </c>
      <c r="F7" s="3">
        <v>6165.1703311568726</v>
      </c>
      <c r="G7" s="67">
        <v>6314.7472484739628</v>
      </c>
      <c r="H7" s="3">
        <v>7216.1107589152107</v>
      </c>
      <c r="I7" s="3">
        <v>3637.9707629211657</v>
      </c>
      <c r="J7" s="3">
        <v>3578.1399959943296</v>
      </c>
      <c r="K7" s="62">
        <v>20360.410315158693</v>
      </c>
      <c r="L7" s="3">
        <v>10133.818433953147</v>
      </c>
      <c r="M7" s="67">
        <v>10226.591881205686</v>
      </c>
      <c r="N7" s="70">
        <v>12900.887338963657</v>
      </c>
      <c r="O7" s="3">
        <v>6373.132463439576</v>
      </c>
      <c r="P7" s="67">
        <v>6527.7548755272455</v>
      </c>
      <c r="Q7" s="3">
        <v>7459.5229761946803</v>
      </c>
      <c r="R7" s="3">
        <v>3760.685970514864</v>
      </c>
      <c r="S7" s="63">
        <v>3698.8370056797962</v>
      </c>
      <c r="T7" s="3">
        <v>21045.177315440349</v>
      </c>
      <c r="U7" s="3">
        <v>10474.641842862295</v>
      </c>
      <c r="V7" s="3">
        <v>10570.535472576716</v>
      </c>
      <c r="W7" s="70">
        <v>13334.773581301111</v>
      </c>
      <c r="X7" s="3">
        <v>6587.4754325545355</v>
      </c>
      <c r="Y7" s="67">
        <v>6747.2981487452371</v>
      </c>
      <c r="Z7" s="3">
        <v>7710.4037341378998</v>
      </c>
      <c r="AA7" s="3">
        <v>3887.1664103064886</v>
      </c>
      <c r="AB7" s="3">
        <v>3823.2373238302289</v>
      </c>
    </row>
    <row r="8" spans="1:28" ht="17.25" customHeight="1" x14ac:dyDescent="0.2">
      <c r="A8" s="94" t="s">
        <v>7</v>
      </c>
      <c r="B8" s="3">
        <v>18942.94107657866</v>
      </c>
      <c r="C8" s="3">
        <v>9582.0273902177069</v>
      </c>
      <c r="D8" s="3">
        <v>9360.9136863576605</v>
      </c>
      <c r="E8" s="70">
        <v>12365.45872116182</v>
      </c>
      <c r="F8" s="3">
        <v>6221.099091545002</v>
      </c>
      <c r="G8" s="67">
        <v>6144.3596296171036</v>
      </c>
      <c r="H8" s="3">
        <v>6577.4823554135473</v>
      </c>
      <c r="I8" s="3">
        <v>3360.92829867299</v>
      </c>
      <c r="J8" s="3">
        <v>3216.554056740842</v>
      </c>
      <c r="K8" s="62">
        <v>19581.920083864596</v>
      </c>
      <c r="L8" s="3">
        <v>9905.246172606312</v>
      </c>
      <c r="M8" s="67">
        <v>9676.6739112594769</v>
      </c>
      <c r="N8" s="70">
        <v>12782.567580148825</v>
      </c>
      <c r="O8" s="3">
        <v>6430.9478001332263</v>
      </c>
      <c r="P8" s="67">
        <v>6351.6197800186828</v>
      </c>
      <c r="Q8" s="3">
        <v>6799.3525037160216</v>
      </c>
      <c r="R8" s="3">
        <v>3474.2983724742239</v>
      </c>
      <c r="S8" s="63">
        <v>3325.0541312417777</v>
      </c>
      <c r="T8" s="3">
        <v>20240.504683488904</v>
      </c>
      <c r="U8" s="3">
        <v>10238.382175449953</v>
      </c>
      <c r="V8" s="3">
        <v>10002.122508037612</v>
      </c>
      <c r="W8" s="70">
        <v>13212.474459346487</v>
      </c>
      <c r="X8" s="3">
        <v>6647.235230782363</v>
      </c>
      <c r="Y8" s="67">
        <v>6565.2392285627857</v>
      </c>
      <c r="Z8" s="3">
        <v>7028.0302241410782</v>
      </c>
      <c r="AA8" s="3">
        <v>3591.1469446664164</v>
      </c>
      <c r="AB8" s="3">
        <v>3436.8832794737027</v>
      </c>
    </row>
    <row r="9" spans="1:28" x14ac:dyDescent="0.2">
      <c r="A9" s="94" t="s">
        <v>8</v>
      </c>
      <c r="B9" s="3">
        <v>18019.009054464408</v>
      </c>
      <c r="C9" s="3">
        <v>8829.5616863904488</v>
      </c>
      <c r="D9" s="3">
        <v>9189.4473680698775</v>
      </c>
      <c r="E9" s="70">
        <v>12200.39933082296</v>
      </c>
      <c r="F9" s="3">
        <v>5928.4984814035752</v>
      </c>
      <c r="G9" s="67">
        <v>6271.9008494180698</v>
      </c>
      <c r="H9" s="3">
        <v>5818.6097236389369</v>
      </c>
      <c r="I9" s="3">
        <v>2901.0632049873952</v>
      </c>
      <c r="J9" s="3">
        <v>2917.5465186520964</v>
      </c>
      <c r="K9" s="62">
        <v>18626.822195592307</v>
      </c>
      <c r="L9" s="3">
        <v>9127.3984657156361</v>
      </c>
      <c r="M9" s="67">
        <v>9499.4237298753433</v>
      </c>
      <c r="N9" s="70">
        <v>12611.940443761137</v>
      </c>
      <c r="O9" s="3">
        <v>6128.4772523379443</v>
      </c>
      <c r="P9" s="67">
        <v>6483.4631914214069</v>
      </c>
      <c r="Q9" s="3">
        <v>6014.8817518312362</v>
      </c>
      <c r="R9" s="3">
        <v>2998.9212133777864</v>
      </c>
      <c r="S9" s="63">
        <v>3015.9605384537981</v>
      </c>
      <c r="T9" s="3">
        <v>19253.284676561139</v>
      </c>
      <c r="U9" s="3">
        <v>9434.3736774604786</v>
      </c>
      <c r="V9" s="3">
        <v>9818.9109990993984</v>
      </c>
      <c r="W9" s="70">
        <v>13036.1087434983</v>
      </c>
      <c r="X9" s="3">
        <v>6334.5919091345295</v>
      </c>
      <c r="Y9" s="67">
        <v>6701.5168343625064</v>
      </c>
      <c r="Z9" s="3">
        <v>6217.1759330615769</v>
      </c>
      <c r="AA9" s="3">
        <v>3099.7817683249937</v>
      </c>
      <c r="AB9" s="3">
        <v>3117.3941647359311</v>
      </c>
    </row>
    <row r="10" spans="1:28" x14ac:dyDescent="0.2">
      <c r="A10" s="94" t="s">
        <v>9</v>
      </c>
      <c r="B10" s="3">
        <v>16487.804764462377</v>
      </c>
      <c r="C10" s="3">
        <v>7873.6229004588204</v>
      </c>
      <c r="D10" s="3">
        <v>8614.1818640081347</v>
      </c>
      <c r="E10" s="70">
        <v>11487.550642578719</v>
      </c>
      <c r="F10" s="3">
        <v>5540.862165277661</v>
      </c>
      <c r="G10" s="67">
        <v>5946.6884773028278</v>
      </c>
      <c r="H10" s="3">
        <v>5000.2541218864717</v>
      </c>
      <c r="I10" s="3">
        <v>2332.7607351809052</v>
      </c>
      <c r="J10" s="3">
        <v>2667.4933867053128</v>
      </c>
      <c r="K10" s="62">
        <v>17043.967668535784</v>
      </c>
      <c r="L10" s="3">
        <v>8139.2141686972309</v>
      </c>
      <c r="M10" s="67">
        <v>8904.7534998387855</v>
      </c>
      <c r="N10" s="70">
        <v>11875.046104668014</v>
      </c>
      <c r="O10" s="3">
        <v>5727.7652756013367</v>
      </c>
      <c r="P10" s="67">
        <v>6147.2808290669082</v>
      </c>
      <c r="Q10" s="3">
        <v>5168.9215638680025</v>
      </c>
      <c r="R10" s="3">
        <v>2411.4488930961261</v>
      </c>
      <c r="S10" s="63">
        <v>2757.4726707721084</v>
      </c>
      <c r="T10" s="3">
        <v>17617.195144435958</v>
      </c>
      <c r="U10" s="3">
        <v>8412.9544904612576</v>
      </c>
      <c r="V10" s="3">
        <v>9204.2406539735257</v>
      </c>
      <c r="W10" s="70">
        <v>12274.430968401126</v>
      </c>
      <c r="X10" s="3">
        <v>5920.403075397614</v>
      </c>
      <c r="Y10" s="67">
        <v>6354.0278930023369</v>
      </c>
      <c r="Z10" s="3">
        <v>5342.7641760336583</v>
      </c>
      <c r="AA10" s="3">
        <v>2492.5514150629297</v>
      </c>
      <c r="AB10" s="3">
        <v>2850.2127609703721</v>
      </c>
    </row>
    <row r="11" spans="1:28" x14ac:dyDescent="0.2">
      <c r="A11" s="95" t="s">
        <v>10</v>
      </c>
      <c r="B11" s="3">
        <v>13001.253164073119</v>
      </c>
      <c r="C11" s="3">
        <v>6396.948327140969</v>
      </c>
      <c r="D11" s="3">
        <v>6604.3048369348498</v>
      </c>
      <c r="E11" s="70">
        <v>9062.9605959189012</v>
      </c>
      <c r="F11" s="3">
        <v>4367.8167670151352</v>
      </c>
      <c r="G11" s="67">
        <v>4695.143828904047</v>
      </c>
      <c r="H11" s="3">
        <v>3938.2925681563825</v>
      </c>
      <c r="I11" s="3">
        <v>2029.1315601255824</v>
      </c>
      <c r="J11" s="3">
        <v>1909.1610080305697</v>
      </c>
      <c r="K11" s="62">
        <v>13439.80849752135</v>
      </c>
      <c r="L11" s="3">
        <v>6612.7287424009728</v>
      </c>
      <c r="M11" s="67">
        <v>6827.0797551206078</v>
      </c>
      <c r="N11" s="70">
        <v>9368.670334510567</v>
      </c>
      <c r="O11" s="3">
        <v>4515.1509750731157</v>
      </c>
      <c r="P11" s="67">
        <v>4853.5193594376824</v>
      </c>
      <c r="Q11" s="3">
        <v>4071.1381630110145</v>
      </c>
      <c r="R11" s="3">
        <v>2097.5777673280891</v>
      </c>
      <c r="S11" s="63">
        <v>1973.5603956831462</v>
      </c>
      <c r="T11" s="3">
        <v>13891.819886620202</v>
      </c>
      <c r="U11" s="3">
        <v>6835.1298804177959</v>
      </c>
      <c r="V11" s="3">
        <v>7056.690006201231</v>
      </c>
      <c r="W11" s="70">
        <v>9683.7600690619602</v>
      </c>
      <c r="X11" s="3">
        <v>4667.0057923941813</v>
      </c>
      <c r="Y11" s="67">
        <v>5016.7542766666038</v>
      </c>
      <c r="Z11" s="3">
        <v>4208.0598175570658</v>
      </c>
      <c r="AA11" s="3">
        <v>2168.124088022993</v>
      </c>
      <c r="AB11" s="3">
        <v>2039.9357295340421</v>
      </c>
    </row>
    <row r="12" spans="1:28" x14ac:dyDescent="0.2">
      <c r="A12" s="95" t="s">
        <v>11</v>
      </c>
      <c r="B12" s="3">
        <v>10037.515452222449</v>
      </c>
      <c r="C12" s="3">
        <v>5017.259589476409</v>
      </c>
      <c r="D12" s="3">
        <v>5020.2558627457292</v>
      </c>
      <c r="E12" s="70">
        <v>7072.7030522300847</v>
      </c>
      <c r="F12" s="3">
        <v>3546.089414240178</v>
      </c>
      <c r="G12" s="67">
        <v>3526.6136379895966</v>
      </c>
      <c r="H12" s="3">
        <v>2964.812399992054</v>
      </c>
      <c r="I12" s="3">
        <v>1471.1701752360084</v>
      </c>
      <c r="J12" s="3">
        <v>1493.6422247559067</v>
      </c>
      <c r="K12" s="62">
        <v>10376.098654978472</v>
      </c>
      <c r="L12" s="3">
        <v>5186.5006560476231</v>
      </c>
      <c r="M12" s="67">
        <v>5189.5979989297066</v>
      </c>
      <c r="N12" s="70">
        <v>7311.2778731568815</v>
      </c>
      <c r="O12" s="3">
        <v>3665.7053009447673</v>
      </c>
      <c r="P12" s="67">
        <v>3645.5725722112306</v>
      </c>
      <c r="Q12" s="3">
        <v>3064.8207818207511</v>
      </c>
      <c r="R12" s="3">
        <v>1520.795355102596</v>
      </c>
      <c r="S12" s="63">
        <v>1544.0254267182152</v>
      </c>
      <c r="T12" s="3">
        <v>10725.070499872127</v>
      </c>
      <c r="U12" s="3">
        <v>5360.9344931454743</v>
      </c>
      <c r="V12" s="3">
        <v>5364.1360067275255</v>
      </c>
      <c r="W12" s="70">
        <v>7557.172810432543</v>
      </c>
      <c r="X12" s="3">
        <v>3788.9913243582869</v>
      </c>
      <c r="Y12" s="67">
        <v>3768.1814860749487</v>
      </c>
      <c r="Z12" s="3">
        <v>3167.8976894401931</v>
      </c>
      <c r="AA12" s="3">
        <v>1571.9431687873237</v>
      </c>
      <c r="AB12" s="3">
        <v>1595.9545206527105</v>
      </c>
    </row>
    <row r="13" spans="1:28" x14ac:dyDescent="0.2">
      <c r="A13" s="95" t="s">
        <v>12</v>
      </c>
      <c r="B13" s="3">
        <v>7994.0570825460545</v>
      </c>
      <c r="C13" s="3">
        <v>3998.5266779075323</v>
      </c>
      <c r="D13" s="3">
        <v>3995.5304046382121</v>
      </c>
      <c r="E13" s="70">
        <v>5337.8608292936733</v>
      </c>
      <c r="F13" s="3">
        <v>2692.1515324839133</v>
      </c>
      <c r="G13" s="67">
        <v>2645.7092968094498</v>
      </c>
      <c r="H13" s="3">
        <v>2656.1962532520706</v>
      </c>
      <c r="I13" s="3">
        <v>1306.3751454234209</v>
      </c>
      <c r="J13" s="3">
        <v>1349.8211078285576</v>
      </c>
      <c r="K13" s="62">
        <v>8263.7108093975476</v>
      </c>
      <c r="L13" s="3">
        <v>4133.4040761392444</v>
      </c>
      <c r="M13" s="67">
        <v>4130.3067332571609</v>
      </c>
      <c r="N13" s="70">
        <v>5517.9163444305541</v>
      </c>
      <c r="O13" s="3">
        <v>2782.9625795512384</v>
      </c>
      <c r="P13" s="67">
        <v>2734.9537648789587</v>
      </c>
      <c r="Q13" s="3">
        <v>2745.7944649662477</v>
      </c>
      <c r="R13" s="3">
        <v>1350.4414965880553</v>
      </c>
      <c r="S13" s="63">
        <v>1395.3529683782524</v>
      </c>
      <c r="T13" s="3">
        <v>8541.6382369132625</v>
      </c>
      <c r="U13" s="3">
        <v>4272.4198752480934</v>
      </c>
      <c r="V13" s="3">
        <v>4269.2183616660423</v>
      </c>
      <c r="W13" s="70">
        <v>5703.4964464249442</v>
      </c>
      <c r="X13" s="3">
        <v>2876.5599534734583</v>
      </c>
      <c r="Y13" s="67">
        <v>2826.9364929516519</v>
      </c>
      <c r="Z13" s="3">
        <v>2838.141790488834</v>
      </c>
      <c r="AA13" s="3">
        <v>1395.859921774487</v>
      </c>
      <c r="AB13" s="3">
        <v>1442.2818687142349</v>
      </c>
    </row>
    <row r="14" spans="1:28" x14ac:dyDescent="0.2">
      <c r="A14" s="95" t="s">
        <v>13</v>
      </c>
      <c r="B14" s="3">
        <v>6711.6521232769974</v>
      </c>
      <c r="C14" s="3">
        <v>3355.8260616383436</v>
      </c>
      <c r="D14" s="3">
        <v>3355.8260616383436</v>
      </c>
      <c r="E14" s="70">
        <v>4425.4956187856642</v>
      </c>
      <c r="F14" s="3">
        <v>2224.7329024699579</v>
      </c>
      <c r="G14" s="67">
        <v>2200.7627163153961</v>
      </c>
      <c r="H14" s="3">
        <v>2286.1565044910226</v>
      </c>
      <c r="I14" s="3">
        <v>1131.0931591682142</v>
      </c>
      <c r="J14" s="3">
        <v>1155.0633453227724</v>
      </c>
      <c r="K14" s="62">
        <v>6938.0480558658237</v>
      </c>
      <c r="L14" s="3">
        <v>3469.0240279325249</v>
      </c>
      <c r="M14" s="67">
        <v>3469.0240279325249</v>
      </c>
      <c r="N14" s="70">
        <v>4574.7754368361384</v>
      </c>
      <c r="O14" s="3">
        <v>2299.7770899463594</v>
      </c>
      <c r="P14" s="67">
        <v>2274.998346889699</v>
      </c>
      <c r="Q14" s="3">
        <v>2363.2726190290518</v>
      </c>
      <c r="R14" s="3">
        <v>1169.2469379862257</v>
      </c>
      <c r="S14" s="63">
        <v>1194.0256810428862</v>
      </c>
      <c r="T14" s="3">
        <v>7171.390423795383</v>
      </c>
      <c r="U14" s="3">
        <v>3585.695211897983</v>
      </c>
      <c r="V14" s="3">
        <v>3585.695211897983</v>
      </c>
      <c r="W14" s="70">
        <v>4728.635560690378</v>
      </c>
      <c r="X14" s="3">
        <v>2377.1238346733417</v>
      </c>
      <c r="Y14" s="67">
        <v>2351.5117260169254</v>
      </c>
      <c r="Z14" s="3">
        <v>2442.7548631054083</v>
      </c>
      <c r="AA14" s="3">
        <v>1208.5713772244699</v>
      </c>
      <c r="AB14" s="3">
        <v>1234.1834858808825</v>
      </c>
    </row>
    <row r="15" spans="1:28" x14ac:dyDescent="0.2">
      <c r="A15" s="95" t="s">
        <v>14</v>
      </c>
      <c r="B15" s="3">
        <v>5772.3705148057443</v>
      </c>
      <c r="C15" s="3">
        <v>2925.403678112571</v>
      </c>
      <c r="D15" s="3">
        <v>2846.9668366934734</v>
      </c>
      <c r="E15" s="70">
        <v>3560.1610799671203</v>
      </c>
      <c r="F15" s="3">
        <v>1875.2215235568481</v>
      </c>
      <c r="G15" s="67">
        <v>1684.9395564104889</v>
      </c>
      <c r="H15" s="3">
        <v>2212.2094348389242</v>
      </c>
      <c r="I15" s="3">
        <v>1050.1821545558403</v>
      </c>
      <c r="J15" s="3">
        <v>1162.0272802830896</v>
      </c>
      <c r="K15" s="62">
        <v>5967.0828124561285</v>
      </c>
      <c r="L15" s="3">
        <v>3024.0827338413751</v>
      </c>
      <c r="M15" s="67">
        <v>2943.0000786142496</v>
      </c>
      <c r="N15" s="70">
        <v>3680.2516289201503</v>
      </c>
      <c r="O15" s="3">
        <v>1938.4760721893051</v>
      </c>
      <c r="P15" s="67">
        <v>1741.775556730908</v>
      </c>
      <c r="Q15" s="3">
        <v>2286.8311835354743</v>
      </c>
      <c r="R15" s="3">
        <v>1085.6066616521327</v>
      </c>
      <c r="S15" s="63">
        <v>1201.2245218834043</v>
      </c>
      <c r="T15" s="3">
        <v>6167.7694064207071</v>
      </c>
      <c r="U15" s="3">
        <v>3125.7895280652201</v>
      </c>
      <c r="V15" s="3">
        <v>3041.9798783554261</v>
      </c>
      <c r="W15" s="70">
        <v>3804.0268784944792</v>
      </c>
      <c r="X15" s="3">
        <v>2003.6714402840892</v>
      </c>
      <c r="Y15" s="67">
        <v>1800.3554382103296</v>
      </c>
      <c r="Z15" s="3">
        <v>2363.742527926167</v>
      </c>
      <c r="AA15" s="3">
        <v>1122.1180877810705</v>
      </c>
      <c r="AB15" s="3">
        <v>1241.624440145036</v>
      </c>
    </row>
    <row r="16" spans="1:28" x14ac:dyDescent="0.2">
      <c r="A16" s="95" t="s">
        <v>15</v>
      </c>
      <c r="B16" s="3">
        <v>4620.5109732252922</v>
      </c>
      <c r="C16" s="3">
        <v>2374.893254078534</v>
      </c>
      <c r="D16" s="3">
        <v>2245.6177191470583</v>
      </c>
      <c r="E16" s="70">
        <v>2726.4065063641197</v>
      </c>
      <c r="F16" s="3">
        <v>1452.534100353867</v>
      </c>
      <c r="G16" s="67">
        <v>1273.8724060103389</v>
      </c>
      <c r="H16" s="3">
        <v>1894.1044668614486</v>
      </c>
      <c r="I16" s="3">
        <v>922.35915372469822</v>
      </c>
      <c r="J16" s="3">
        <v>971.74531313673037</v>
      </c>
      <c r="K16" s="62">
        <v>4776.3690051389058</v>
      </c>
      <c r="L16" s="3">
        <v>2455.0026165991421</v>
      </c>
      <c r="M16" s="67">
        <v>2321.3663885396204</v>
      </c>
      <c r="N16" s="70">
        <v>2818.3730344688529</v>
      </c>
      <c r="O16" s="3">
        <v>1501.5306523542397</v>
      </c>
      <c r="P16" s="67">
        <v>1316.842382114676</v>
      </c>
      <c r="Q16" s="3">
        <v>1957.9959706699094</v>
      </c>
      <c r="R16" s="3">
        <v>953.47196424495985</v>
      </c>
      <c r="S16" s="63">
        <v>1004.5240064250057</v>
      </c>
      <c r="T16" s="3">
        <v>4937.00918012688</v>
      </c>
      <c r="U16" s="3">
        <v>2537.5699495464805</v>
      </c>
      <c r="V16" s="3">
        <v>2399.4392305803385</v>
      </c>
      <c r="W16" s="70">
        <v>2913.1613426903723</v>
      </c>
      <c r="X16" s="3">
        <v>1552.0305501813102</v>
      </c>
      <c r="Y16" s="67">
        <v>1361.1307925090016</v>
      </c>
      <c r="Z16" s="3">
        <v>2023.847837436447</v>
      </c>
      <c r="AA16" s="3">
        <v>985.53939936511267</v>
      </c>
      <c r="AB16" s="3">
        <v>1038.3084380712764</v>
      </c>
    </row>
    <row r="17" spans="1:80" x14ac:dyDescent="0.2">
      <c r="A17" s="95" t="s">
        <v>16</v>
      </c>
      <c r="B17" s="3">
        <v>3695.2467513000106</v>
      </c>
      <c r="C17" s="3">
        <v>1881.0316599582636</v>
      </c>
      <c r="D17" s="3">
        <v>1814.2150913419848</v>
      </c>
      <c r="E17" s="70">
        <v>2122.1523206169973</v>
      </c>
      <c r="F17" s="3">
        <v>1108.2835185699957</v>
      </c>
      <c r="G17" s="67">
        <v>1013.8688020469931</v>
      </c>
      <c r="H17" s="3">
        <v>1573.0944306832396</v>
      </c>
      <c r="I17" s="3">
        <v>772.74814138824786</v>
      </c>
      <c r="J17" s="3">
        <v>800.34628929497171</v>
      </c>
      <c r="K17" s="62">
        <v>3819.8939795890888</v>
      </c>
      <c r="L17" s="3">
        <v>1944.4821947987218</v>
      </c>
      <c r="M17" s="67">
        <v>1875.4117847904297</v>
      </c>
      <c r="N17" s="70">
        <v>2193.7362830895154</v>
      </c>
      <c r="O17" s="3">
        <v>1145.6678877462998</v>
      </c>
      <c r="P17" s="67">
        <v>1048.0683953432783</v>
      </c>
      <c r="Q17" s="3">
        <v>1626.1576964996364</v>
      </c>
      <c r="R17" s="3">
        <v>798.81430705246794</v>
      </c>
      <c r="S17" s="63">
        <v>827.34338944719946</v>
      </c>
      <c r="T17" s="3">
        <v>3948.3657196613467</v>
      </c>
      <c r="U17" s="3">
        <v>2009.8795624848146</v>
      </c>
      <c r="V17" s="3">
        <v>1938.4861571764716</v>
      </c>
      <c r="W17" s="70">
        <v>2267.516633814922</v>
      </c>
      <c r="X17" s="3">
        <v>1184.1993097883253</v>
      </c>
      <c r="Y17" s="67">
        <v>1083.3173240265362</v>
      </c>
      <c r="Z17" s="3">
        <v>1680.849085846364</v>
      </c>
      <c r="AA17" s="3">
        <v>825.68025269644318</v>
      </c>
      <c r="AB17" s="3">
        <v>855.16883314988706</v>
      </c>
    </row>
    <row r="18" spans="1:80" x14ac:dyDescent="0.2">
      <c r="A18" s="95" t="s">
        <v>17</v>
      </c>
      <c r="B18" s="3">
        <v>3364.0689764193762</v>
      </c>
      <c r="C18" s="3">
        <v>1684.9395564104889</v>
      </c>
      <c r="D18" s="3">
        <v>1679.1294200090733</v>
      </c>
      <c r="E18" s="70">
        <v>1984.1615810833896</v>
      </c>
      <c r="F18" s="3">
        <v>1032.7517453515936</v>
      </c>
      <c r="G18" s="67">
        <v>951.40983573177596</v>
      </c>
      <c r="H18" s="3">
        <v>1379.9073953361726</v>
      </c>
      <c r="I18" s="3">
        <v>652.18781105887524</v>
      </c>
      <c r="J18" s="3">
        <v>727.71958427727736</v>
      </c>
      <c r="K18" s="62">
        <v>3477.5449908523365</v>
      </c>
      <c r="L18" s="3">
        <v>1741.775556730908</v>
      </c>
      <c r="M18" s="67">
        <v>1735.7694341214913</v>
      </c>
      <c r="N18" s="70">
        <v>2051.0908711158686</v>
      </c>
      <c r="O18" s="3">
        <v>1067.5882938238826</v>
      </c>
      <c r="P18" s="67">
        <v>983.50257729204566</v>
      </c>
      <c r="Q18" s="3">
        <v>1426.4541197365309</v>
      </c>
      <c r="R18" s="3">
        <v>674.18726290706184</v>
      </c>
      <c r="S18" s="63">
        <v>752.26685682948494</v>
      </c>
      <c r="T18" s="3">
        <v>3594.5027542199941</v>
      </c>
      <c r="U18" s="3">
        <v>1800.3554382103296</v>
      </c>
      <c r="V18" s="3">
        <v>1794.1473160096041</v>
      </c>
      <c r="W18" s="70">
        <v>2120.0737315476918</v>
      </c>
      <c r="X18" s="3">
        <v>1103.493721178894</v>
      </c>
      <c r="Y18" s="67">
        <v>1016.5800103687378</v>
      </c>
      <c r="Z18" s="3">
        <v>1474.4290226722417</v>
      </c>
      <c r="AA18" s="3">
        <v>696.86171703139883</v>
      </c>
      <c r="AB18" s="3">
        <v>777.5673056408242</v>
      </c>
    </row>
    <row r="19" spans="1:80" x14ac:dyDescent="0.2">
      <c r="A19" s="95" t="s">
        <v>18</v>
      </c>
      <c r="B19" s="3">
        <v>2337.7659134592254</v>
      </c>
      <c r="C19" s="3">
        <v>1126.4966849374457</v>
      </c>
      <c r="D19" s="3">
        <v>1211.2692285217397</v>
      </c>
      <c r="E19" s="70">
        <v>1328.6465965615314</v>
      </c>
      <c r="F19" s="3">
        <v>653.72673033272906</v>
      </c>
      <c r="G19" s="67">
        <v>674.91986622880256</v>
      </c>
      <c r="H19" s="3">
        <v>1009.1193168976539</v>
      </c>
      <c r="I19" s="3">
        <v>472.76995460471682</v>
      </c>
      <c r="J19" s="3">
        <v>536.34936229293737</v>
      </c>
      <c r="K19" s="62">
        <v>2416.622904916856</v>
      </c>
      <c r="L19" s="3">
        <v>1164.4954165254946</v>
      </c>
      <c r="M19" s="67">
        <v>1252.1274883913773</v>
      </c>
      <c r="N19" s="70">
        <v>1373.4642032825993</v>
      </c>
      <c r="O19" s="3">
        <v>675.77809265807241</v>
      </c>
      <c r="P19" s="67">
        <v>697.68611062454306</v>
      </c>
      <c r="Q19" s="3">
        <v>1043.1587016342726</v>
      </c>
      <c r="R19" s="3">
        <v>488.71732386743764</v>
      </c>
      <c r="S19" s="63">
        <v>554.44137776685034</v>
      </c>
      <c r="T19" s="3">
        <v>2497.899440692875</v>
      </c>
      <c r="U19" s="3">
        <v>1203.6600512683028</v>
      </c>
      <c r="V19" s="3">
        <v>1294.2393894245272</v>
      </c>
      <c r="W19" s="70">
        <v>1419.6569345639148</v>
      </c>
      <c r="X19" s="3">
        <v>698.50605001243605</v>
      </c>
      <c r="Y19" s="67">
        <v>721.15088455149214</v>
      </c>
      <c r="Z19" s="3">
        <v>1078.2425061289152</v>
      </c>
      <c r="AA19" s="3">
        <v>505.15400125587996</v>
      </c>
      <c r="AB19" s="3">
        <v>573.08850487304846</v>
      </c>
    </row>
    <row r="20" spans="1:80" x14ac:dyDescent="0.2">
      <c r="A20" s="95" t="s">
        <v>19</v>
      </c>
      <c r="B20" s="3">
        <v>1933.4660902110136</v>
      </c>
      <c r="C20" s="3">
        <v>974.88425121938133</v>
      </c>
      <c r="D20" s="3">
        <v>958.58183899163248</v>
      </c>
      <c r="E20" s="70">
        <v>1082.4801719225238</v>
      </c>
      <c r="F20" s="3">
        <v>539.60984473848714</v>
      </c>
      <c r="G20" s="67">
        <v>542.87032718403691</v>
      </c>
      <c r="H20" s="3">
        <v>850.9859182884901</v>
      </c>
      <c r="I20" s="3">
        <v>435.27440648089447</v>
      </c>
      <c r="J20" s="3">
        <v>415.71151180759585</v>
      </c>
      <c r="K20" s="62">
        <v>1998.6853314026464</v>
      </c>
      <c r="L20" s="3">
        <v>1007.7688264576661</v>
      </c>
      <c r="M20" s="67">
        <v>990.9165049449964</v>
      </c>
      <c r="N20" s="70">
        <v>1118.9941484412864</v>
      </c>
      <c r="O20" s="3">
        <v>557.81184206938428</v>
      </c>
      <c r="P20" s="67">
        <v>561.18230637191823</v>
      </c>
      <c r="Q20" s="3">
        <v>879.69118296137617</v>
      </c>
      <c r="R20" s="3">
        <v>449.95698438829595</v>
      </c>
      <c r="S20" s="63">
        <v>429.73419857309159</v>
      </c>
      <c r="T20" s="3">
        <v>2065.9056741015947</v>
      </c>
      <c r="U20" s="3">
        <v>1041.6623887965939</v>
      </c>
      <c r="V20" s="3">
        <v>1024.2432853050123</v>
      </c>
      <c r="W20" s="70">
        <v>1156.6284718410325</v>
      </c>
      <c r="X20" s="3">
        <v>576.57232557136479</v>
      </c>
      <c r="Y20" s="67">
        <v>580.05614626968111</v>
      </c>
      <c r="Z20" s="3">
        <v>909.27720226057352</v>
      </c>
      <c r="AA20" s="3">
        <v>465.09006322524095</v>
      </c>
      <c r="AB20" s="3">
        <v>444.18713903534234</v>
      </c>
    </row>
    <row r="21" spans="1:80" x14ac:dyDescent="0.2">
      <c r="A21" s="95" t="s">
        <v>20</v>
      </c>
      <c r="B21" s="3">
        <v>1320.495390447657</v>
      </c>
      <c r="C21" s="3">
        <v>626.01262954555602</v>
      </c>
      <c r="D21" s="3">
        <v>694.48276090210118</v>
      </c>
      <c r="E21" s="70">
        <v>798.81819915969379</v>
      </c>
      <c r="F21" s="3">
        <v>373.32524001544886</v>
      </c>
      <c r="G21" s="67">
        <v>425.49295914424516</v>
      </c>
      <c r="H21" s="3">
        <v>521.67719128796341</v>
      </c>
      <c r="I21" s="3">
        <v>252.6873895301074</v>
      </c>
      <c r="J21" s="3">
        <v>268.98980175785624</v>
      </c>
      <c r="K21" s="62">
        <v>1365.0380425262645</v>
      </c>
      <c r="L21" s="3">
        <v>647.12914608653386</v>
      </c>
      <c r="M21" s="67">
        <v>717.90889643974674</v>
      </c>
      <c r="N21" s="70">
        <v>825.76375412083303</v>
      </c>
      <c r="O21" s="3">
        <v>385.91816264014881</v>
      </c>
      <c r="P21" s="67">
        <v>439.84559148069377</v>
      </c>
      <c r="Q21" s="3">
        <v>539.27428840544758</v>
      </c>
      <c r="R21" s="3">
        <v>261.21098344638858</v>
      </c>
      <c r="S21" s="63">
        <v>278.06330495905888</v>
      </c>
      <c r="T21" s="3">
        <v>1410.947382818124</v>
      </c>
      <c r="U21" s="3">
        <v>668.89357407674731</v>
      </c>
      <c r="V21" s="3">
        <v>742.05380874139007</v>
      </c>
      <c r="W21" s="70">
        <v>853.53607108751237</v>
      </c>
      <c r="X21" s="3">
        <v>398.89746995722868</v>
      </c>
      <c r="Y21" s="67">
        <v>454.63860113029165</v>
      </c>
      <c r="Z21" s="3">
        <v>557.41131173062502</v>
      </c>
      <c r="AA21" s="3">
        <v>269.99610411952057</v>
      </c>
      <c r="AB21" s="3">
        <v>287.41520761110274</v>
      </c>
    </row>
    <row r="22" spans="1:80" x14ac:dyDescent="0.2">
      <c r="A22" s="95" t="s">
        <v>53</v>
      </c>
      <c r="B22" s="3">
        <v>1119.9757200463462</v>
      </c>
      <c r="C22" s="3">
        <v>505.37477906021451</v>
      </c>
      <c r="D22" s="3">
        <v>614.60094098613183</v>
      </c>
      <c r="E22" s="70">
        <v>707.52469068430025</v>
      </c>
      <c r="F22" s="3">
        <v>319.52727966387766</v>
      </c>
      <c r="G22" s="67">
        <v>387.99741102042282</v>
      </c>
      <c r="H22" s="3">
        <v>412.45102936204609</v>
      </c>
      <c r="I22" s="3">
        <v>185.84749939633713</v>
      </c>
      <c r="J22" s="3">
        <v>226.60352996570924</v>
      </c>
      <c r="K22" s="62">
        <v>1157.7544879204268</v>
      </c>
      <c r="L22" s="3">
        <v>522.42196689277785</v>
      </c>
      <c r="M22" s="67">
        <v>635.33252102766505</v>
      </c>
      <c r="N22" s="70">
        <v>731.39075364988253</v>
      </c>
      <c r="O22" s="3">
        <v>330.30550164833681</v>
      </c>
      <c r="P22" s="67">
        <v>401.08525200155208</v>
      </c>
      <c r="Q22" s="3">
        <v>426.36373427055753</v>
      </c>
      <c r="R22" s="3">
        <v>192.11646524444038</v>
      </c>
      <c r="S22" s="63">
        <v>234.24726902611613</v>
      </c>
      <c r="T22" s="3">
        <v>1196.6924098716702</v>
      </c>
      <c r="U22" s="3">
        <v>539.99220823904341</v>
      </c>
      <c r="V22" s="3">
        <v>656.70020163264019</v>
      </c>
      <c r="W22" s="70">
        <v>755.98909153465536</v>
      </c>
      <c r="X22" s="3">
        <v>341.41442843500749</v>
      </c>
      <c r="Y22" s="67">
        <v>414.57466309965264</v>
      </c>
      <c r="Z22" s="3">
        <v>440.70331833702591</v>
      </c>
      <c r="AA22" s="3">
        <v>198.57777980403455</v>
      </c>
      <c r="AB22" s="3">
        <v>242.12553853298928</v>
      </c>
    </row>
    <row r="23" spans="1:80" x14ac:dyDescent="0.2">
      <c r="A23" s="95" t="s">
        <v>28</v>
      </c>
      <c r="B23" s="3">
        <v>136.94026271309059</v>
      </c>
      <c r="C23" s="3">
        <v>47.276995460471852</v>
      </c>
      <c r="D23" s="3">
        <v>89.663267252618922</v>
      </c>
      <c r="E23" s="70">
        <v>60.318925242670986</v>
      </c>
      <c r="F23" s="3">
        <v>16.302412227748913</v>
      </c>
      <c r="G23" s="67">
        <v>44.016513014922069</v>
      </c>
      <c r="H23" s="3">
        <v>76.621337470419846</v>
      </c>
      <c r="I23" s="3">
        <v>30.974583232722939</v>
      </c>
      <c r="J23" s="3">
        <v>45.64675423769696</v>
      </c>
      <c r="K23" s="62">
        <v>141.55950070642947</v>
      </c>
      <c r="L23" s="3">
        <v>48.871732386743474</v>
      </c>
      <c r="M23" s="67">
        <v>92.687768319685887</v>
      </c>
      <c r="N23" s="70">
        <v>62.353589596879601</v>
      </c>
      <c r="O23" s="3">
        <v>16.852321512670173</v>
      </c>
      <c r="P23" s="67">
        <v>45.501268084209443</v>
      </c>
      <c r="Q23" s="3">
        <v>79.20591110954976</v>
      </c>
      <c r="R23" s="3">
        <v>32.019410874073316</v>
      </c>
      <c r="S23" s="63">
        <v>47.186500235476458</v>
      </c>
      <c r="T23" s="3">
        <v>146.32046932928887</v>
      </c>
      <c r="U23" s="3">
        <v>50.515400125587838</v>
      </c>
      <c r="V23" s="3">
        <v>95.805069203701123</v>
      </c>
      <c r="W23" s="70">
        <v>64.45068291885346</v>
      </c>
      <c r="X23" s="3">
        <v>17.419103491582003</v>
      </c>
      <c r="Y23" s="67">
        <v>47.031579427271431</v>
      </c>
      <c r="Z23" s="3">
        <v>81.869786410435495</v>
      </c>
      <c r="AA23" s="3">
        <v>33.096296634005803</v>
      </c>
      <c r="AB23" s="3">
        <v>48.773489776429635</v>
      </c>
    </row>
    <row r="24" spans="1:80" x14ac:dyDescent="0.2">
      <c r="A24" s="95" t="s">
        <v>29</v>
      </c>
      <c r="B24" s="3">
        <v>78.25157869319473</v>
      </c>
      <c r="C24" s="3">
        <v>16.302412227748913</v>
      </c>
      <c r="D24" s="3">
        <v>61.949166465445877</v>
      </c>
      <c r="E24" s="70">
        <v>32.604824455497827</v>
      </c>
      <c r="F24" s="3">
        <v>6.5209648910995641</v>
      </c>
      <c r="G24" s="67">
        <v>26.083859564398264</v>
      </c>
      <c r="H24" s="3">
        <v>45.64675423769696</v>
      </c>
      <c r="I24" s="3">
        <v>9.7814473366493466</v>
      </c>
      <c r="J24" s="3">
        <v>35.86530690104761</v>
      </c>
      <c r="K24" s="62">
        <v>80.891143260816776</v>
      </c>
      <c r="L24" s="3">
        <v>16.852321512670173</v>
      </c>
      <c r="M24" s="67">
        <v>64.038821748146617</v>
      </c>
      <c r="N24" s="70">
        <v>33.704643025340332</v>
      </c>
      <c r="O24" s="3">
        <v>6.7409286050680697</v>
      </c>
      <c r="P24" s="67">
        <v>26.963714420272268</v>
      </c>
      <c r="Q24" s="3">
        <v>47.186500235476458</v>
      </c>
      <c r="R24" s="3">
        <v>10.111392907602104</v>
      </c>
      <c r="S24" s="63">
        <v>37.075107327874363</v>
      </c>
      <c r="T24" s="3">
        <v>83.611696759593698</v>
      </c>
      <c r="U24" s="3">
        <v>17.419103491582003</v>
      </c>
      <c r="V24" s="3">
        <v>66.192593268011663</v>
      </c>
      <c r="W24" s="70">
        <v>34.838206983164007</v>
      </c>
      <c r="X24" s="3">
        <v>6.9676413966328008</v>
      </c>
      <c r="Y24" s="67">
        <v>27.870565586531203</v>
      </c>
      <c r="Z24" s="3">
        <v>48.773489776429635</v>
      </c>
      <c r="AA24" s="3">
        <v>10.451462094949202</v>
      </c>
      <c r="AB24" s="3">
        <v>38.322027681480414</v>
      </c>
    </row>
    <row r="25" spans="1:80" ht="12.75" thickBot="1" x14ac:dyDescent="0.25">
      <c r="A25" s="96" t="s">
        <v>30</v>
      </c>
      <c r="B25" s="7">
        <v>65.209648910995654</v>
      </c>
      <c r="C25" s="7">
        <v>22.82337711884848</v>
      </c>
      <c r="D25" s="7">
        <v>42.386271792147177</v>
      </c>
      <c r="E25" s="71">
        <v>26.083859564398264</v>
      </c>
      <c r="F25" s="7">
        <v>6.5209648910995641</v>
      </c>
      <c r="G25" s="68">
        <v>19.562894673298697</v>
      </c>
      <c r="H25" s="7">
        <v>39.125789346597394</v>
      </c>
      <c r="I25" s="7">
        <v>16.302412227748913</v>
      </c>
      <c r="J25" s="7">
        <v>22.82337711884848</v>
      </c>
      <c r="K25" s="65">
        <v>67.409286050680649</v>
      </c>
      <c r="L25" s="7">
        <v>23.593250117738236</v>
      </c>
      <c r="M25" s="68">
        <v>43.816035932942427</v>
      </c>
      <c r="N25" s="71">
        <v>26.963714420272268</v>
      </c>
      <c r="O25" s="7">
        <v>6.7409286050680697</v>
      </c>
      <c r="P25" s="68">
        <v>20.222785815204205</v>
      </c>
      <c r="Q25" s="7">
        <v>40.445571630408395</v>
      </c>
      <c r="R25" s="7">
        <v>16.852321512670173</v>
      </c>
      <c r="S25" s="66">
        <v>23.593250117738236</v>
      </c>
      <c r="T25" s="7">
        <v>69.67641396632807</v>
      </c>
      <c r="U25" s="7">
        <v>24.386744888214803</v>
      </c>
      <c r="V25" s="7">
        <v>45.289669078113228</v>
      </c>
      <c r="W25" s="71">
        <v>27.870565586531203</v>
      </c>
      <c r="X25" s="7">
        <v>6.9676413966328008</v>
      </c>
      <c r="Y25" s="68">
        <v>20.902924189898403</v>
      </c>
      <c r="Z25" s="7">
        <v>41.805848379796821</v>
      </c>
      <c r="AA25" s="7">
        <v>17.419103491582003</v>
      </c>
      <c r="AB25" s="7">
        <v>24.386744888214803</v>
      </c>
    </row>
    <row r="26" spans="1:80" x14ac:dyDescent="0.2">
      <c r="A26" s="219" t="s">
        <v>97</v>
      </c>
      <c r="B26" s="3">
        <v>71567.348085829057</v>
      </c>
      <c r="C26" s="3">
        <v>35666.706554935488</v>
      </c>
      <c r="D26" s="122">
        <v>35900.641530940957</v>
      </c>
      <c r="E26" s="3">
        <v>45702.428464837081</v>
      </c>
      <c r="F26" s="3">
        <v>22540.984852721285</v>
      </c>
      <c r="G26" s="122">
        <v>23161.443612128642</v>
      </c>
      <c r="H26" s="3">
        <v>25864.919621024168</v>
      </c>
      <c r="I26" s="3">
        <v>13125.721702207669</v>
      </c>
      <c r="J26" s="3">
        <v>12739.197918806713</v>
      </c>
      <c r="K26" s="62">
        <v>73981.441697290007</v>
      </c>
      <c r="L26" s="3">
        <v>36869.807839764886</v>
      </c>
      <c r="M26" s="122">
        <v>37111.633857511966</v>
      </c>
      <c r="N26" s="3">
        <v>47244.052453072269</v>
      </c>
      <c r="O26" s="3">
        <v>23301.332259507628</v>
      </c>
      <c r="P26" s="122">
        <v>23942.720193563106</v>
      </c>
      <c r="Q26" s="3">
        <v>26737.389244204049</v>
      </c>
      <c r="R26" s="3">
        <v>13568.475580254148</v>
      </c>
      <c r="S26" s="63">
        <v>13168.913663945797</v>
      </c>
      <c r="T26" s="3">
        <v>76469.606185217257</v>
      </c>
      <c r="U26" s="3">
        <v>38109.823503700223</v>
      </c>
      <c r="V26" s="122">
        <v>38359.782681545395</v>
      </c>
      <c r="W26" s="3">
        <v>48832.977606237844</v>
      </c>
      <c r="X26" s="3">
        <v>24085.009167133187</v>
      </c>
      <c r="Y26" s="122">
        <v>24747.968439134122</v>
      </c>
      <c r="Z26" s="3">
        <v>27636.628578997461</v>
      </c>
      <c r="AA26" s="3">
        <v>14024.814336576626</v>
      </c>
      <c r="AB26" s="3">
        <v>13611.814242421162</v>
      </c>
    </row>
    <row r="27" spans="1:80" x14ac:dyDescent="0.2">
      <c r="A27" s="219" t="s">
        <v>22</v>
      </c>
      <c r="B27" s="3">
        <v>3692.2622608930528</v>
      </c>
      <c r="C27" s="3">
        <v>1833.7686451979926</v>
      </c>
      <c r="D27" s="67">
        <v>1858.4936156950444</v>
      </c>
      <c r="E27" s="3">
        <v>2570.0233222213128</v>
      </c>
      <c r="F27" s="3">
        <v>1273.3359805981518</v>
      </c>
      <c r="G27" s="67">
        <v>1296.6873416231451</v>
      </c>
      <c r="H27" s="3">
        <v>1122.2389386717241</v>
      </c>
      <c r="I27" s="3">
        <v>560.43266459982488</v>
      </c>
      <c r="J27" s="3">
        <v>561.80627407188331</v>
      </c>
      <c r="K27" s="62">
        <v>3816.8088170263463</v>
      </c>
      <c r="L27" s="3">
        <v>1895.6249147060557</v>
      </c>
      <c r="M27" s="67">
        <v>1921.1839023200691</v>
      </c>
      <c r="N27" s="3">
        <v>2656.7147681012189</v>
      </c>
      <c r="O27" s="3">
        <v>1316.2878621217519</v>
      </c>
      <c r="P27" s="67">
        <v>1340.4269059794312</v>
      </c>
      <c r="Q27" s="3">
        <v>1160.0940489250033</v>
      </c>
      <c r="R27" s="3">
        <v>579.33705258432985</v>
      </c>
      <c r="S27" s="63">
        <v>580.75699634066405</v>
      </c>
      <c r="T27" s="3">
        <v>3945.1767960499906</v>
      </c>
      <c r="U27" s="3">
        <v>1959.3791007167945</v>
      </c>
      <c r="V27" s="67">
        <v>1985.7976953332006</v>
      </c>
      <c r="W27" s="3">
        <v>2746.0661404053335</v>
      </c>
      <c r="X27" s="3">
        <v>1360.5576227449217</v>
      </c>
      <c r="Y27" s="67">
        <v>1385.5085176604164</v>
      </c>
      <c r="Z27" s="3">
        <v>1199.1106556446618</v>
      </c>
      <c r="AA27" s="3">
        <v>598.82147797187747</v>
      </c>
      <c r="AB27" s="3">
        <v>600.28917767278892</v>
      </c>
    </row>
    <row r="28" spans="1:80" ht="12.75" thickBot="1" x14ac:dyDescent="0.25">
      <c r="A28" s="183" t="s">
        <v>21</v>
      </c>
      <c r="B28" s="7">
        <v>85642.15803967313</v>
      </c>
      <c r="C28" s="7">
        <v>42256.152076999875</v>
      </c>
      <c r="D28" s="68">
        <v>43386.005962609845</v>
      </c>
      <c r="E28" s="7">
        <v>56626.309865571617</v>
      </c>
      <c r="F28" s="7">
        <v>28137.815930621084</v>
      </c>
      <c r="G28" s="68">
        <v>28488.493934942067</v>
      </c>
      <c r="H28" s="7">
        <v>29015.848174041039</v>
      </c>
      <c r="I28" s="7">
        <v>14118.336146378861</v>
      </c>
      <c r="J28" s="7">
        <v>14897.512027667179</v>
      </c>
      <c r="K28" s="65">
        <v>88531.019959554804</v>
      </c>
      <c r="L28" s="7">
        <v>43681.527048990523</v>
      </c>
      <c r="M28" s="68">
        <v>44849.492910525776</v>
      </c>
      <c r="N28" s="7">
        <v>58536.415752456247</v>
      </c>
      <c r="O28" s="7">
        <v>29086.954378447386</v>
      </c>
      <c r="P28" s="68">
        <v>29449.46137395746</v>
      </c>
      <c r="Q28" s="7">
        <v>29994.604207066513</v>
      </c>
      <c r="R28" s="7">
        <v>14594.572670526204</v>
      </c>
      <c r="S28" s="66">
        <v>15400.031536548722</v>
      </c>
      <c r="T28" s="7">
        <v>91508.519922924883</v>
      </c>
      <c r="U28" s="7">
        <v>45150.636353840178</v>
      </c>
      <c r="V28" s="68">
        <v>46357.883569090314</v>
      </c>
      <c r="W28" s="7">
        <v>60505.128818662131</v>
      </c>
      <c r="X28" s="7">
        <v>30065.214943377312</v>
      </c>
      <c r="Y28" s="68">
        <v>30439.913875299822</v>
      </c>
      <c r="Z28" s="7">
        <v>31003.39110426636</v>
      </c>
      <c r="AA28" s="7">
        <v>15085.421410467017</v>
      </c>
      <c r="AB28" s="7">
        <v>15917.969693794541</v>
      </c>
    </row>
    <row r="29" spans="1:80" customFormat="1" ht="15" x14ac:dyDescent="0.25">
      <c r="A29" s="60" t="s">
        <v>121</v>
      </c>
      <c r="B29" s="60"/>
      <c r="C29" s="5"/>
      <c r="D29" s="5"/>
      <c r="E29" s="5"/>
      <c r="F29" s="5"/>
      <c r="G29" s="5"/>
      <c r="H29" s="5"/>
      <c r="I29" s="5"/>
      <c r="J29" s="5"/>
      <c r="K29" s="56"/>
      <c r="L29" s="56"/>
      <c r="M29" s="56"/>
      <c r="N29" s="56"/>
      <c r="O29" s="56"/>
      <c r="P29" s="56"/>
      <c r="Q29" s="56"/>
      <c r="R29" s="56"/>
      <c r="S29" s="56"/>
      <c r="T29" s="56"/>
      <c r="U29" s="56"/>
      <c r="V29" s="56"/>
      <c r="W29" s="56"/>
      <c r="X29" s="56"/>
      <c r="Y29" s="56"/>
      <c r="Z29" s="56"/>
      <c r="AA29" s="56"/>
      <c r="AB29" s="56"/>
      <c r="AC29" s="234"/>
      <c r="AD29" s="234"/>
      <c r="AE29" s="234"/>
      <c r="AF29" s="234"/>
      <c r="AG29" s="234"/>
      <c r="AH29" s="234"/>
      <c r="AI29" s="234"/>
      <c r="AJ29" s="234"/>
      <c r="AK29" s="234"/>
      <c r="AL29" s="234"/>
      <c r="AM29" s="234"/>
      <c r="AN29" s="234"/>
      <c r="AO29" s="234"/>
      <c r="AP29" s="234"/>
      <c r="AQ29" s="234"/>
      <c r="AR29" s="234"/>
      <c r="AS29" s="234"/>
      <c r="AT29" s="234"/>
      <c r="AU29" s="234"/>
      <c r="AV29" s="234"/>
      <c r="AW29" s="234"/>
      <c r="AX29" s="234"/>
      <c r="AY29" s="234"/>
      <c r="AZ29" s="234"/>
      <c r="BA29" s="234"/>
      <c r="BB29" s="234"/>
      <c r="BC29" s="234"/>
      <c r="BD29" s="234"/>
      <c r="BE29" s="234"/>
      <c r="BF29" s="234"/>
      <c r="BG29" s="234"/>
      <c r="BH29" s="234"/>
      <c r="BI29" s="234"/>
      <c r="BJ29" s="234"/>
      <c r="BK29" s="234"/>
      <c r="BL29" s="234"/>
      <c r="BM29" s="234"/>
      <c r="BN29" s="234"/>
      <c r="BO29" s="234"/>
      <c r="BP29" s="234"/>
      <c r="BQ29" s="234"/>
      <c r="BR29" s="234"/>
      <c r="BS29" s="234"/>
      <c r="BT29" s="234"/>
      <c r="BU29" s="234"/>
      <c r="BV29" s="234"/>
      <c r="BW29" s="234"/>
      <c r="BX29" s="234"/>
      <c r="BY29" s="234"/>
      <c r="BZ29" s="234"/>
      <c r="CA29" s="234"/>
      <c r="CB29" s="234"/>
    </row>
    <row r="34" spans="30:35" x14ac:dyDescent="0.2">
      <c r="AD34" s="249"/>
      <c r="AE34" s="249"/>
      <c r="AF34" s="249"/>
      <c r="AG34" s="249"/>
      <c r="AH34" s="249"/>
      <c r="AI34" s="249"/>
    </row>
  </sheetData>
  <mergeCells count="5">
    <mergeCell ref="AD34:AI34"/>
    <mergeCell ref="A2:A4"/>
    <mergeCell ref="B2:J2"/>
    <mergeCell ref="K2:S2"/>
    <mergeCell ref="T2:AB2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T34"/>
  <sheetViews>
    <sheetView workbookViewId="0">
      <pane xSplit="1" topLeftCell="B1" activePane="topRight" state="frozen"/>
      <selection pane="topRight" activeCell="A26" sqref="A26:A28"/>
    </sheetView>
  </sheetViews>
  <sheetFormatPr defaultColWidth="9.140625" defaultRowHeight="12" x14ac:dyDescent="0.2"/>
  <cols>
    <col min="1" max="1" width="15.5703125" style="73" customWidth="1"/>
    <col min="2" max="28" width="9.140625" style="1"/>
    <col min="29" max="29" width="5" style="1" customWidth="1"/>
    <col min="30" max="16384" width="9.140625" style="1"/>
  </cols>
  <sheetData>
    <row r="1" spans="1:176" ht="12.75" thickBot="1" x14ac:dyDescent="0.25">
      <c r="A1" s="108" t="s">
        <v>119</v>
      </c>
      <c r="B1" s="59"/>
      <c r="C1" s="59"/>
      <c r="D1" s="59"/>
      <c r="E1" s="59"/>
      <c r="F1" s="59"/>
      <c r="G1" s="59"/>
      <c r="H1" s="59"/>
      <c r="I1" s="59"/>
      <c r="J1" s="59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</row>
    <row r="2" spans="1:176" x14ac:dyDescent="0.2">
      <c r="A2" s="268" t="s">
        <v>36</v>
      </c>
      <c r="B2" s="236" t="s">
        <v>88</v>
      </c>
      <c r="C2" s="236"/>
      <c r="D2" s="236"/>
      <c r="E2" s="236"/>
      <c r="F2" s="236"/>
      <c r="G2" s="236"/>
      <c r="H2" s="236"/>
      <c r="I2" s="236"/>
      <c r="J2" s="237"/>
      <c r="K2" s="235" t="s">
        <v>90</v>
      </c>
      <c r="L2" s="236"/>
      <c r="M2" s="236"/>
      <c r="N2" s="236"/>
      <c r="O2" s="236"/>
      <c r="P2" s="236"/>
      <c r="Q2" s="236"/>
      <c r="R2" s="236"/>
      <c r="S2" s="237"/>
      <c r="T2" s="235" t="s">
        <v>91</v>
      </c>
      <c r="U2" s="236"/>
      <c r="V2" s="236"/>
      <c r="W2" s="236"/>
      <c r="X2" s="236"/>
      <c r="Y2" s="236"/>
      <c r="Z2" s="236"/>
      <c r="AA2" s="236"/>
      <c r="AB2" s="236"/>
    </row>
    <row r="3" spans="1:176" ht="12.75" thickBot="1" x14ac:dyDescent="0.25">
      <c r="A3" s="261"/>
      <c r="B3" s="104"/>
      <c r="C3" s="104" t="s">
        <v>0</v>
      </c>
      <c r="D3" s="104"/>
      <c r="E3" s="86"/>
      <c r="F3" s="13" t="s">
        <v>1</v>
      </c>
      <c r="G3" s="14"/>
      <c r="H3" s="104"/>
      <c r="I3" s="104" t="s">
        <v>2</v>
      </c>
      <c r="J3" s="105"/>
      <c r="K3" s="11"/>
      <c r="L3" s="11" t="s">
        <v>0</v>
      </c>
      <c r="M3" s="11"/>
      <c r="N3" s="86"/>
      <c r="O3" s="13" t="s">
        <v>1</v>
      </c>
      <c r="P3" s="14"/>
      <c r="Q3" s="11"/>
      <c r="R3" s="11" t="s">
        <v>2</v>
      </c>
      <c r="S3" s="15"/>
      <c r="T3" s="11"/>
      <c r="U3" s="11" t="s">
        <v>0</v>
      </c>
      <c r="V3" s="12"/>
      <c r="W3" s="99"/>
      <c r="X3" s="99" t="s">
        <v>1</v>
      </c>
      <c r="Y3" s="100"/>
      <c r="Z3" s="11"/>
      <c r="AA3" s="11" t="s">
        <v>2</v>
      </c>
      <c r="AB3" s="11"/>
    </row>
    <row r="4" spans="1:176" ht="13.5" customHeight="1" thickBot="1" x14ac:dyDescent="0.25">
      <c r="A4" s="242"/>
      <c r="B4" s="9" t="s">
        <v>0</v>
      </c>
      <c r="C4" s="10" t="s">
        <v>3</v>
      </c>
      <c r="D4" s="10" t="s">
        <v>4</v>
      </c>
      <c r="E4" s="87" t="s">
        <v>0</v>
      </c>
      <c r="F4" s="10" t="s">
        <v>3</v>
      </c>
      <c r="G4" s="21" t="s">
        <v>4</v>
      </c>
      <c r="H4" s="106" t="s">
        <v>0</v>
      </c>
      <c r="I4" s="20" t="s">
        <v>3</v>
      </c>
      <c r="J4" s="107" t="s">
        <v>4</v>
      </c>
      <c r="K4" s="134" t="s">
        <v>0</v>
      </c>
      <c r="L4" s="135" t="s">
        <v>3</v>
      </c>
      <c r="M4" s="135" t="s">
        <v>4</v>
      </c>
      <c r="N4" s="136" t="s">
        <v>0</v>
      </c>
      <c r="O4" s="137" t="s">
        <v>3</v>
      </c>
      <c r="P4" s="138" t="s">
        <v>4</v>
      </c>
      <c r="Q4" s="139" t="s">
        <v>0</v>
      </c>
      <c r="R4" s="135" t="s">
        <v>3</v>
      </c>
      <c r="S4" s="140" t="s">
        <v>4</v>
      </c>
      <c r="T4" s="9" t="s">
        <v>0</v>
      </c>
      <c r="U4" s="10" t="s">
        <v>3</v>
      </c>
      <c r="V4" s="10" t="s">
        <v>4</v>
      </c>
      <c r="W4" s="101" t="s">
        <v>0</v>
      </c>
      <c r="X4" s="102" t="s">
        <v>3</v>
      </c>
      <c r="Y4" s="103" t="s">
        <v>4</v>
      </c>
      <c r="Z4" s="17" t="s">
        <v>0</v>
      </c>
      <c r="AA4" s="10" t="s">
        <v>3</v>
      </c>
      <c r="AB4" s="10" t="s">
        <v>4</v>
      </c>
    </row>
    <row r="5" spans="1:176" s="81" customFormat="1" ht="15" customHeight="1" thickBot="1" x14ac:dyDescent="0.25">
      <c r="A5" s="218" t="s">
        <v>89</v>
      </c>
      <c r="B5" s="98">
        <v>11779.25649768971</v>
      </c>
      <c r="C5" s="98">
        <v>6050.6732072120149</v>
      </c>
      <c r="D5" s="98">
        <v>5728.5832904783983</v>
      </c>
      <c r="E5" s="198">
        <v>0</v>
      </c>
      <c r="F5" s="198">
        <v>0</v>
      </c>
      <c r="G5" s="198">
        <v>0</v>
      </c>
      <c r="H5" s="98">
        <v>11779.25649768971</v>
      </c>
      <c r="I5" s="98">
        <v>6050.6732072120149</v>
      </c>
      <c r="J5" s="98">
        <v>5728.5832904783983</v>
      </c>
      <c r="K5" s="75">
        <v>12176.591715758379</v>
      </c>
      <c r="L5" s="72">
        <v>6254.7731483855569</v>
      </c>
      <c r="M5" s="85">
        <v>5921.8185673729722</v>
      </c>
      <c r="N5" s="84">
        <v>0</v>
      </c>
      <c r="O5" s="72">
        <v>0</v>
      </c>
      <c r="P5" s="85">
        <v>0</v>
      </c>
      <c r="Q5" s="72">
        <v>12176.591715758379</v>
      </c>
      <c r="R5" s="72">
        <v>6254.7731483855569</v>
      </c>
      <c r="S5" s="74">
        <v>5921.8185673729722</v>
      </c>
      <c r="T5" s="84">
        <v>12586.118245613308</v>
      </c>
      <c r="U5" s="72">
        <v>6465.1354239943685</v>
      </c>
      <c r="V5" s="85">
        <v>6120.9828216187416</v>
      </c>
      <c r="W5" s="84">
        <v>0</v>
      </c>
      <c r="X5" s="72">
        <v>0</v>
      </c>
      <c r="Y5" s="85">
        <v>0</v>
      </c>
      <c r="Z5" s="98">
        <v>12586.118245613308</v>
      </c>
      <c r="AA5" s="98">
        <v>6465.1354239943685</v>
      </c>
      <c r="AB5" s="98">
        <v>6120.9828216187416</v>
      </c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DI5" s="6"/>
      <c r="DJ5" s="6"/>
      <c r="DK5" s="6"/>
      <c r="DL5" s="6"/>
      <c r="DM5" s="6"/>
      <c r="DN5" s="6"/>
      <c r="DO5" s="6"/>
      <c r="DP5" s="6"/>
      <c r="DQ5" s="6"/>
      <c r="DR5" s="6"/>
      <c r="DS5" s="6"/>
      <c r="DT5" s="6"/>
      <c r="DU5" s="6"/>
      <c r="DV5" s="6"/>
      <c r="DW5" s="6"/>
      <c r="DX5" s="6"/>
      <c r="DY5" s="6"/>
      <c r="DZ5" s="6"/>
      <c r="EA5" s="6"/>
      <c r="EB5" s="6"/>
      <c r="EC5" s="6"/>
      <c r="ED5" s="6"/>
      <c r="EE5" s="6"/>
      <c r="EF5" s="6"/>
      <c r="EG5" s="6"/>
      <c r="EH5" s="6"/>
      <c r="EI5" s="6"/>
      <c r="EJ5" s="6"/>
      <c r="EK5" s="6"/>
      <c r="EL5" s="6"/>
      <c r="EM5" s="6"/>
      <c r="EN5" s="6"/>
      <c r="EO5" s="6"/>
      <c r="EP5" s="6"/>
      <c r="EQ5" s="6"/>
      <c r="ER5" s="6"/>
      <c r="ES5" s="6"/>
      <c r="ET5" s="6"/>
      <c r="EU5" s="6"/>
      <c r="EV5" s="6"/>
      <c r="EW5" s="6"/>
      <c r="EX5" s="6"/>
      <c r="EY5" s="6"/>
      <c r="EZ5" s="6"/>
      <c r="FA5" s="6"/>
      <c r="FB5" s="6"/>
      <c r="FC5" s="6"/>
      <c r="FD5" s="6"/>
      <c r="FE5" s="6"/>
      <c r="FF5" s="6"/>
      <c r="FG5" s="6"/>
      <c r="FH5" s="6"/>
      <c r="FI5" s="6"/>
      <c r="FJ5" s="6"/>
      <c r="FK5" s="6"/>
      <c r="FL5" s="6"/>
      <c r="FM5" s="6"/>
      <c r="FN5" s="6"/>
      <c r="FO5" s="6"/>
      <c r="FP5" s="6"/>
      <c r="FQ5" s="6"/>
      <c r="FR5" s="6"/>
      <c r="FS5" s="6"/>
      <c r="FT5" s="6"/>
    </row>
    <row r="6" spans="1:176" ht="15" customHeight="1" x14ac:dyDescent="0.2">
      <c r="A6" s="213" t="s">
        <v>5</v>
      </c>
      <c r="B6" s="3">
        <v>2076.5462620500643</v>
      </c>
      <c r="C6" s="3">
        <v>1022.6752982271278</v>
      </c>
      <c r="D6" s="3">
        <v>1053.8709638229161</v>
      </c>
      <c r="E6" s="70">
        <v>0</v>
      </c>
      <c r="F6" s="3">
        <v>0</v>
      </c>
      <c r="G6" s="67">
        <v>0</v>
      </c>
      <c r="H6" s="3">
        <v>2076.5462620500643</v>
      </c>
      <c r="I6" s="3">
        <v>1022.6752982271278</v>
      </c>
      <c r="J6" s="63">
        <v>1053.8709638229161</v>
      </c>
      <c r="K6" s="62">
        <v>2146.5918512620847</v>
      </c>
      <c r="L6" s="3">
        <v>1057.1719502623096</v>
      </c>
      <c r="M6" s="3">
        <v>1089.4199009997546</v>
      </c>
      <c r="N6" s="70">
        <v>0</v>
      </c>
      <c r="O6" s="3">
        <v>0</v>
      </c>
      <c r="P6" s="67">
        <v>0</v>
      </c>
      <c r="Q6" s="3">
        <v>2146.5918512620847</v>
      </c>
      <c r="R6" s="3">
        <v>1057.1719502623096</v>
      </c>
      <c r="S6" s="63">
        <v>1089.4199009997546</v>
      </c>
      <c r="T6" s="62">
        <v>2218.7866273027639</v>
      </c>
      <c r="U6" s="3">
        <v>1092.7270522444728</v>
      </c>
      <c r="V6" s="3">
        <v>1126.0595750582961</v>
      </c>
      <c r="W6" s="70">
        <v>0</v>
      </c>
      <c r="X6" s="3">
        <v>0</v>
      </c>
      <c r="Y6" s="67">
        <v>0</v>
      </c>
      <c r="Z6" s="3">
        <v>2218.7866273027639</v>
      </c>
      <c r="AA6" s="3">
        <v>1092.7270522444728</v>
      </c>
      <c r="AB6" s="3">
        <v>1126.0595750582961</v>
      </c>
    </row>
    <row r="7" spans="1:176" ht="15" customHeight="1" x14ac:dyDescent="0.2">
      <c r="A7" s="213" t="s">
        <v>6</v>
      </c>
      <c r="B7" s="3">
        <v>1686.9674935677524</v>
      </c>
      <c r="C7" s="3">
        <v>844.13408120697352</v>
      </c>
      <c r="D7" s="3">
        <v>842.83341236073784</v>
      </c>
      <c r="E7" s="70">
        <v>0</v>
      </c>
      <c r="F7" s="3">
        <v>0</v>
      </c>
      <c r="G7" s="67">
        <v>0</v>
      </c>
      <c r="H7" s="3">
        <v>1686.9674935677524</v>
      </c>
      <c r="I7" s="3">
        <v>844.13408120697352</v>
      </c>
      <c r="J7" s="63">
        <v>842.83341236073784</v>
      </c>
      <c r="K7" s="62">
        <v>1743.8718998061308</v>
      </c>
      <c r="L7" s="3">
        <v>872.6082212599581</v>
      </c>
      <c r="M7" s="3">
        <v>871.26367854615228</v>
      </c>
      <c r="N7" s="70">
        <v>0</v>
      </c>
      <c r="O7" s="3">
        <v>0</v>
      </c>
      <c r="P7" s="67">
        <v>0</v>
      </c>
      <c r="Q7" s="3">
        <v>1743.8718998061308</v>
      </c>
      <c r="R7" s="3">
        <v>872.6082212599581</v>
      </c>
      <c r="S7" s="63">
        <v>871.26367854615228</v>
      </c>
      <c r="T7" s="62">
        <v>1802.5222860806277</v>
      </c>
      <c r="U7" s="3">
        <v>901.95602441505582</v>
      </c>
      <c r="V7" s="3">
        <v>900.56626166557191</v>
      </c>
      <c r="W7" s="70">
        <v>0</v>
      </c>
      <c r="X7" s="3">
        <v>0</v>
      </c>
      <c r="Y7" s="67">
        <v>0</v>
      </c>
      <c r="Z7" s="3">
        <v>1802.5222860806277</v>
      </c>
      <c r="AA7" s="3">
        <v>901.95602441505582</v>
      </c>
      <c r="AB7" s="3">
        <v>900.56626166557191</v>
      </c>
    </row>
    <row r="8" spans="1:176" ht="15" customHeight="1" x14ac:dyDescent="0.2">
      <c r="A8" s="213" t="s">
        <v>7</v>
      </c>
      <c r="B8" s="3">
        <v>1581.6133170226531</v>
      </c>
      <c r="C8" s="3">
        <v>846.73541889944488</v>
      </c>
      <c r="D8" s="3">
        <v>734.87789812317635</v>
      </c>
      <c r="E8" s="70">
        <v>0</v>
      </c>
      <c r="F8" s="3">
        <v>0</v>
      </c>
      <c r="G8" s="67">
        <v>0</v>
      </c>
      <c r="H8" s="3">
        <v>1581.6133170226531</v>
      </c>
      <c r="I8" s="3">
        <v>846.73541889944488</v>
      </c>
      <c r="J8" s="63">
        <v>734.87789812317635</v>
      </c>
      <c r="K8" s="62">
        <v>1634.9639399878592</v>
      </c>
      <c r="L8" s="3">
        <v>875.29730668756974</v>
      </c>
      <c r="M8" s="3">
        <v>759.66663330026904</v>
      </c>
      <c r="N8" s="70">
        <v>0</v>
      </c>
      <c r="O8" s="3">
        <v>0</v>
      </c>
      <c r="P8" s="67">
        <v>0</v>
      </c>
      <c r="Q8" s="3">
        <v>1634.9639399878592</v>
      </c>
      <c r="R8" s="3">
        <v>875.29730668756974</v>
      </c>
      <c r="S8" s="63">
        <v>759.66663330026904</v>
      </c>
      <c r="T8" s="62">
        <v>1689.9515033724313</v>
      </c>
      <c r="U8" s="3">
        <v>904.73554991402364</v>
      </c>
      <c r="V8" s="3">
        <v>785.21595345840763</v>
      </c>
      <c r="W8" s="70">
        <v>0</v>
      </c>
      <c r="X8" s="3">
        <v>0</v>
      </c>
      <c r="Y8" s="67">
        <v>0</v>
      </c>
      <c r="Z8" s="3">
        <v>1689.9515033724313</v>
      </c>
      <c r="AA8" s="3">
        <v>904.73554991402364</v>
      </c>
      <c r="AB8" s="3">
        <v>785.21595345840763</v>
      </c>
    </row>
    <row r="9" spans="1:176" ht="15" customHeight="1" x14ac:dyDescent="0.2">
      <c r="A9" s="213" t="s">
        <v>8</v>
      </c>
      <c r="B9" s="3">
        <v>1281.5776374305024</v>
      </c>
      <c r="C9" s="3">
        <v>664.82698447626581</v>
      </c>
      <c r="D9" s="3">
        <v>616.75065295422064</v>
      </c>
      <c r="E9" s="70">
        <v>0</v>
      </c>
      <c r="F9" s="3">
        <v>0</v>
      </c>
      <c r="G9" s="67">
        <v>0</v>
      </c>
      <c r="H9" s="3">
        <v>1281.5776374305024</v>
      </c>
      <c r="I9" s="3">
        <v>664.82698447626581</v>
      </c>
      <c r="J9" s="63">
        <v>616.75065295422064</v>
      </c>
      <c r="K9" s="62">
        <v>1324.8075246597564</v>
      </c>
      <c r="L9" s="3">
        <v>687.25277806572842</v>
      </c>
      <c r="M9" s="3">
        <v>637.55474659403171</v>
      </c>
      <c r="N9" s="70">
        <v>0</v>
      </c>
      <c r="O9" s="3">
        <v>0</v>
      </c>
      <c r="P9" s="67">
        <v>0</v>
      </c>
      <c r="Q9" s="3">
        <v>1324.8075246597564</v>
      </c>
      <c r="R9" s="3">
        <v>687.25277806572842</v>
      </c>
      <c r="S9" s="63">
        <v>637.55474659403171</v>
      </c>
      <c r="T9" s="62">
        <v>1369.3638209503904</v>
      </c>
      <c r="U9" s="3">
        <v>710.3666552411479</v>
      </c>
      <c r="V9" s="3">
        <v>658.99716570924704</v>
      </c>
      <c r="W9" s="70">
        <v>0</v>
      </c>
      <c r="X9" s="3">
        <v>0</v>
      </c>
      <c r="Y9" s="67">
        <v>0</v>
      </c>
      <c r="Z9" s="3">
        <v>1369.3638209503904</v>
      </c>
      <c r="AA9" s="3">
        <v>710.3666552411479</v>
      </c>
      <c r="AB9" s="3">
        <v>658.99716570924704</v>
      </c>
    </row>
    <row r="10" spans="1:176" ht="15" customHeight="1" x14ac:dyDescent="0.2">
      <c r="A10" s="213" t="s">
        <v>9</v>
      </c>
      <c r="B10" s="3">
        <v>958.28329883305707</v>
      </c>
      <c r="C10" s="3">
        <v>482.84444423426788</v>
      </c>
      <c r="D10" s="3">
        <v>475.43885459877299</v>
      </c>
      <c r="E10" s="70">
        <v>0</v>
      </c>
      <c r="F10" s="3">
        <v>0</v>
      </c>
      <c r="G10" s="67">
        <v>0</v>
      </c>
      <c r="H10" s="3">
        <v>958.28329883305707</v>
      </c>
      <c r="I10" s="3">
        <v>482.84444423426788</v>
      </c>
      <c r="J10" s="63">
        <v>475.43885459877299</v>
      </c>
      <c r="K10" s="62">
        <v>990.60789449724768</v>
      </c>
      <c r="L10" s="3">
        <v>499.13164390433366</v>
      </c>
      <c r="M10" s="3">
        <v>491.47625059291755</v>
      </c>
      <c r="N10" s="70">
        <v>0</v>
      </c>
      <c r="O10" s="3">
        <v>0</v>
      </c>
      <c r="P10" s="67">
        <v>0</v>
      </c>
      <c r="Q10" s="3">
        <v>990.60789449724768</v>
      </c>
      <c r="R10" s="3">
        <v>499.13164390433366</v>
      </c>
      <c r="S10" s="63">
        <v>491.47625059291755</v>
      </c>
      <c r="T10" s="62">
        <v>1023.9242955845818</v>
      </c>
      <c r="U10" s="3">
        <v>515.91857860985169</v>
      </c>
      <c r="V10" s="3">
        <v>508.00571697473129</v>
      </c>
      <c r="W10" s="70">
        <v>0</v>
      </c>
      <c r="X10" s="3">
        <v>0</v>
      </c>
      <c r="Y10" s="67">
        <v>0</v>
      </c>
      <c r="Z10" s="3">
        <v>1023.9242955845818</v>
      </c>
      <c r="AA10" s="3">
        <v>515.91857860985169</v>
      </c>
      <c r="AB10" s="3">
        <v>508.00571697473129</v>
      </c>
    </row>
    <row r="11" spans="1:176" ht="15" customHeight="1" x14ac:dyDescent="0.2">
      <c r="A11" s="214" t="s">
        <v>10</v>
      </c>
      <c r="B11" s="3">
        <v>702.049897444924</v>
      </c>
      <c r="C11" s="3">
        <v>393.97736860832919</v>
      </c>
      <c r="D11" s="3">
        <v>308.07252883658845</v>
      </c>
      <c r="E11" s="70">
        <v>0</v>
      </c>
      <c r="F11" s="3">
        <v>0</v>
      </c>
      <c r="G11" s="67">
        <v>0</v>
      </c>
      <c r="H11" s="3">
        <v>702.049897444924</v>
      </c>
      <c r="I11" s="3">
        <v>393.97736860832919</v>
      </c>
      <c r="J11" s="63">
        <v>308.07252883658845</v>
      </c>
      <c r="K11" s="62">
        <v>725.73128592225044</v>
      </c>
      <c r="L11" s="3">
        <v>407.26692416734039</v>
      </c>
      <c r="M11" s="3">
        <v>318.46436175491357</v>
      </c>
      <c r="N11" s="70">
        <v>0</v>
      </c>
      <c r="O11" s="3">
        <v>0</v>
      </c>
      <c r="P11" s="67">
        <v>0</v>
      </c>
      <c r="Q11" s="3">
        <v>725.73128592225044</v>
      </c>
      <c r="R11" s="3">
        <v>407.26692416734039</v>
      </c>
      <c r="S11" s="63">
        <v>318.46436175491357</v>
      </c>
      <c r="T11" s="62">
        <v>750.13928300941575</v>
      </c>
      <c r="U11" s="3">
        <v>420.96423898840681</v>
      </c>
      <c r="V11" s="3">
        <v>329.17504402101008</v>
      </c>
      <c r="W11" s="70">
        <v>0</v>
      </c>
      <c r="X11" s="3">
        <v>0</v>
      </c>
      <c r="Y11" s="67">
        <v>0</v>
      </c>
      <c r="Z11" s="3">
        <v>750.13928300941575</v>
      </c>
      <c r="AA11" s="3">
        <v>420.96423898840681</v>
      </c>
      <c r="AB11" s="3">
        <v>329.17504402101008</v>
      </c>
    </row>
    <row r="12" spans="1:176" ht="15" customHeight="1" x14ac:dyDescent="0.2">
      <c r="A12" s="214" t="s">
        <v>11</v>
      </c>
      <c r="B12" s="3">
        <v>599.25465386395456</v>
      </c>
      <c r="C12" s="3">
        <v>298.12919029731739</v>
      </c>
      <c r="D12" s="3">
        <v>301.12546356663717</v>
      </c>
      <c r="E12" s="70">
        <v>0</v>
      </c>
      <c r="F12" s="3">
        <v>0</v>
      </c>
      <c r="G12" s="67">
        <v>0</v>
      </c>
      <c r="H12" s="3">
        <v>599.25465386395456</v>
      </c>
      <c r="I12" s="3">
        <v>298.12919029731739</v>
      </c>
      <c r="J12" s="63">
        <v>301.12546356663717</v>
      </c>
      <c r="K12" s="62">
        <v>619.46857641654196</v>
      </c>
      <c r="L12" s="3">
        <v>308.18561676722959</v>
      </c>
      <c r="M12" s="3">
        <v>311.28295964931226</v>
      </c>
      <c r="N12" s="70">
        <v>0</v>
      </c>
      <c r="O12" s="3">
        <v>0</v>
      </c>
      <c r="P12" s="67">
        <v>0</v>
      </c>
      <c r="Q12" s="3">
        <v>619.46857641654196</v>
      </c>
      <c r="R12" s="3">
        <v>308.18561676722959</v>
      </c>
      <c r="S12" s="63">
        <v>311.28295964931226</v>
      </c>
      <c r="T12" s="62">
        <v>640.30271641031516</v>
      </c>
      <c r="U12" s="3">
        <v>318.55060141413185</v>
      </c>
      <c r="V12" s="3">
        <v>321.75211499618342</v>
      </c>
      <c r="W12" s="70">
        <v>0</v>
      </c>
      <c r="X12" s="3">
        <v>0</v>
      </c>
      <c r="Y12" s="67">
        <v>0</v>
      </c>
      <c r="Z12" s="3">
        <v>640.30271641031516</v>
      </c>
      <c r="AA12" s="3">
        <v>318.55060141413185</v>
      </c>
      <c r="AB12" s="3">
        <v>321.75211499618342</v>
      </c>
    </row>
    <row r="13" spans="1:176" ht="15" customHeight="1" x14ac:dyDescent="0.2">
      <c r="A13" s="214" t="s">
        <v>12</v>
      </c>
      <c r="B13" s="3">
        <v>512.36272905368116</v>
      </c>
      <c r="C13" s="3">
        <v>236.70558827626206</v>
      </c>
      <c r="D13" s="3">
        <v>275.6571407774191</v>
      </c>
      <c r="E13" s="70">
        <v>0</v>
      </c>
      <c r="F13" s="3">
        <v>0</v>
      </c>
      <c r="G13" s="67">
        <v>0</v>
      </c>
      <c r="H13" s="3">
        <v>512.36272905368116</v>
      </c>
      <c r="I13" s="3">
        <v>236.70558827626206</v>
      </c>
      <c r="J13" s="63">
        <v>275.6571407774191</v>
      </c>
      <c r="K13" s="62">
        <v>529.6456328361412</v>
      </c>
      <c r="L13" s="3">
        <v>244.69008768453463</v>
      </c>
      <c r="M13" s="3">
        <v>284.95554515160956</v>
      </c>
      <c r="N13" s="70">
        <v>0</v>
      </c>
      <c r="O13" s="3">
        <v>0</v>
      </c>
      <c r="P13" s="67">
        <v>0</v>
      </c>
      <c r="Q13" s="3">
        <v>529.6456328361412</v>
      </c>
      <c r="R13" s="3">
        <v>244.69008768453463</v>
      </c>
      <c r="S13" s="63">
        <v>284.95554515160956</v>
      </c>
      <c r="T13" s="62">
        <v>547.45882253081948</v>
      </c>
      <c r="U13" s="3">
        <v>252.91957298207453</v>
      </c>
      <c r="V13" s="3">
        <v>294.53924954874503</v>
      </c>
      <c r="W13" s="70">
        <v>0</v>
      </c>
      <c r="X13" s="3">
        <v>0</v>
      </c>
      <c r="Y13" s="67">
        <v>0</v>
      </c>
      <c r="Z13" s="3">
        <v>547.45882253081948</v>
      </c>
      <c r="AA13" s="3">
        <v>252.91957298207453</v>
      </c>
      <c r="AB13" s="3">
        <v>294.53924954874503</v>
      </c>
    </row>
    <row r="14" spans="1:176" ht="15" customHeight="1" x14ac:dyDescent="0.2">
      <c r="A14" s="214" t="s">
        <v>13</v>
      </c>
      <c r="B14" s="3">
        <v>465.92049337922464</v>
      </c>
      <c r="C14" s="3">
        <v>247.19254471888127</v>
      </c>
      <c r="D14" s="3">
        <v>218.72794866034343</v>
      </c>
      <c r="E14" s="70">
        <v>0</v>
      </c>
      <c r="F14" s="3">
        <v>0</v>
      </c>
      <c r="G14" s="67">
        <v>0</v>
      </c>
      <c r="H14" s="3">
        <v>465.92049337922464</v>
      </c>
      <c r="I14" s="3">
        <v>247.19254471888127</v>
      </c>
      <c r="J14" s="63">
        <v>218.72794866034343</v>
      </c>
      <c r="K14" s="62">
        <v>481.63681816385918</v>
      </c>
      <c r="L14" s="3">
        <v>255.53078777182418</v>
      </c>
      <c r="M14" s="3">
        <v>226.10603039203826</v>
      </c>
      <c r="N14" s="70">
        <v>0</v>
      </c>
      <c r="O14" s="3">
        <v>0</v>
      </c>
      <c r="P14" s="67">
        <v>0</v>
      </c>
      <c r="Q14" s="3">
        <v>481.63681816385918</v>
      </c>
      <c r="R14" s="3">
        <v>255.53078777182418</v>
      </c>
      <c r="S14" s="63">
        <v>226.10603039203826</v>
      </c>
      <c r="T14" s="62">
        <v>497.83536200902006</v>
      </c>
      <c r="U14" s="3">
        <v>264.12487051925507</v>
      </c>
      <c r="V14" s="3">
        <v>233.71049148976508</v>
      </c>
      <c r="W14" s="70">
        <v>0</v>
      </c>
      <c r="X14" s="3">
        <v>0</v>
      </c>
      <c r="Y14" s="67">
        <v>0</v>
      </c>
      <c r="Z14" s="3">
        <v>497.83536200902006</v>
      </c>
      <c r="AA14" s="3">
        <v>264.12487051925507</v>
      </c>
      <c r="AB14" s="3">
        <v>233.71049148976508</v>
      </c>
    </row>
    <row r="15" spans="1:176" ht="15" customHeight="1" x14ac:dyDescent="0.2">
      <c r="A15" s="214" t="s">
        <v>14</v>
      </c>
      <c r="B15" s="3">
        <v>435.76023010614909</v>
      </c>
      <c r="C15" s="3">
        <v>217.88011505307455</v>
      </c>
      <c r="D15" s="3">
        <v>217.88011505307455</v>
      </c>
      <c r="E15" s="70">
        <v>1.4525341003538317</v>
      </c>
      <c r="F15" s="3">
        <v>1.4525341003538317</v>
      </c>
      <c r="G15" s="67">
        <v>0</v>
      </c>
      <c r="H15" s="3">
        <v>435.76023010614909</v>
      </c>
      <c r="I15" s="3">
        <v>217.88011505307455</v>
      </c>
      <c r="J15" s="63">
        <v>217.88011505307455</v>
      </c>
      <c r="K15" s="62">
        <v>450.4591957062749</v>
      </c>
      <c r="L15" s="3">
        <v>225.22959785313927</v>
      </c>
      <c r="M15" s="3">
        <v>225.22959785313927</v>
      </c>
      <c r="N15" s="70">
        <v>1.5015306523542604</v>
      </c>
      <c r="O15" s="3">
        <v>1.5015306523542604</v>
      </c>
      <c r="P15" s="67">
        <v>0</v>
      </c>
      <c r="Q15" s="3">
        <v>450.4591957062749</v>
      </c>
      <c r="R15" s="3">
        <v>225.22959785313927</v>
      </c>
      <c r="S15" s="63">
        <v>225.22959785313927</v>
      </c>
      <c r="T15" s="62">
        <v>465.60916505438985</v>
      </c>
      <c r="U15" s="3">
        <v>232.80458252719313</v>
      </c>
      <c r="V15" s="3">
        <v>232.80458252719313</v>
      </c>
      <c r="W15" s="70">
        <v>1.552030550181291</v>
      </c>
      <c r="X15" s="3">
        <v>1.552030550181291</v>
      </c>
      <c r="Y15" s="67">
        <v>0</v>
      </c>
      <c r="Z15" s="3">
        <v>465.60916505438985</v>
      </c>
      <c r="AA15" s="3">
        <v>232.80458252719313</v>
      </c>
      <c r="AB15" s="3">
        <v>232.80458252719313</v>
      </c>
    </row>
    <row r="16" spans="1:176" ht="15" customHeight="1" x14ac:dyDescent="0.2">
      <c r="A16" s="214" t="s">
        <v>15</v>
      </c>
      <c r="B16" s="3">
        <v>389.27913889482653</v>
      </c>
      <c r="C16" s="3">
        <v>213.52251275201306</v>
      </c>
      <c r="D16" s="3">
        <v>175.75662614281347</v>
      </c>
      <c r="E16" s="70">
        <v>0</v>
      </c>
      <c r="F16" s="3">
        <v>0</v>
      </c>
      <c r="G16" s="67">
        <v>0</v>
      </c>
      <c r="H16" s="3">
        <v>389.27913889482653</v>
      </c>
      <c r="I16" s="3">
        <v>213.52251275201306</v>
      </c>
      <c r="J16" s="63">
        <v>175.75662614281347</v>
      </c>
      <c r="K16" s="62">
        <v>402.41021483093942</v>
      </c>
      <c r="L16" s="3">
        <v>220.72500589607648</v>
      </c>
      <c r="M16" s="3">
        <v>181.68520893486567</v>
      </c>
      <c r="N16" s="70">
        <v>0</v>
      </c>
      <c r="O16" s="3">
        <v>0</v>
      </c>
      <c r="P16" s="67">
        <v>0</v>
      </c>
      <c r="Q16" s="3">
        <v>402.41021483093942</v>
      </c>
      <c r="R16" s="3">
        <v>220.72500589607648</v>
      </c>
      <c r="S16" s="63">
        <v>181.68520893486567</v>
      </c>
      <c r="T16" s="62">
        <v>415.9441874485878</v>
      </c>
      <c r="U16" s="3">
        <v>228.14849087664928</v>
      </c>
      <c r="V16" s="3">
        <v>187.79569657193585</v>
      </c>
      <c r="W16" s="70">
        <v>0</v>
      </c>
      <c r="X16" s="3">
        <v>0</v>
      </c>
      <c r="Y16" s="67">
        <v>0</v>
      </c>
      <c r="Z16" s="3">
        <v>415.9441874485878</v>
      </c>
      <c r="AA16" s="3">
        <v>228.14849087664928</v>
      </c>
      <c r="AB16" s="3">
        <v>187.79569657193585</v>
      </c>
    </row>
    <row r="17" spans="1:80" ht="15" customHeight="1" x14ac:dyDescent="0.2">
      <c r="A17" s="214" t="s">
        <v>16</v>
      </c>
      <c r="B17" s="3">
        <v>261.45613806368948</v>
      </c>
      <c r="C17" s="3">
        <v>137.99073953361389</v>
      </c>
      <c r="D17" s="3">
        <v>123.46539853007559</v>
      </c>
      <c r="E17" s="70">
        <v>0</v>
      </c>
      <c r="F17" s="3">
        <v>0</v>
      </c>
      <c r="G17" s="67">
        <v>0</v>
      </c>
      <c r="H17" s="3">
        <v>261.45613806368948</v>
      </c>
      <c r="I17" s="3">
        <v>137.99073953361389</v>
      </c>
      <c r="J17" s="63">
        <v>123.46539853007559</v>
      </c>
      <c r="K17" s="62">
        <v>270.27551742376687</v>
      </c>
      <c r="L17" s="3">
        <v>142.64541197365486</v>
      </c>
      <c r="M17" s="3">
        <v>127.63010545011224</v>
      </c>
      <c r="N17" s="70">
        <v>0</v>
      </c>
      <c r="O17" s="3">
        <v>0</v>
      </c>
      <c r="P17" s="67">
        <v>0</v>
      </c>
      <c r="Q17" s="3">
        <v>270.27551742376687</v>
      </c>
      <c r="R17" s="3">
        <v>142.64541197365486</v>
      </c>
      <c r="S17" s="63">
        <v>127.63010545011224</v>
      </c>
      <c r="T17" s="62">
        <v>279.36549903263216</v>
      </c>
      <c r="U17" s="3">
        <v>147.44290226722242</v>
      </c>
      <c r="V17" s="3">
        <v>131.92259676540957</v>
      </c>
      <c r="W17" s="70">
        <v>0</v>
      </c>
      <c r="X17" s="3">
        <v>0</v>
      </c>
      <c r="Y17" s="67">
        <v>0</v>
      </c>
      <c r="Z17" s="3">
        <v>279.36549903263216</v>
      </c>
      <c r="AA17" s="3">
        <v>147.44290226722242</v>
      </c>
      <c r="AB17" s="3">
        <v>131.92259676540957</v>
      </c>
    </row>
    <row r="18" spans="1:80" ht="15" customHeight="1" x14ac:dyDescent="0.2">
      <c r="A18" s="214" t="s">
        <v>17</v>
      </c>
      <c r="B18" s="3">
        <v>239.668126558382</v>
      </c>
      <c r="C18" s="3">
        <v>114.75019392795261</v>
      </c>
      <c r="D18" s="3">
        <v>124.91793263042942</v>
      </c>
      <c r="E18" s="70">
        <v>1.4525341003538317</v>
      </c>
      <c r="F18" s="3">
        <v>0</v>
      </c>
      <c r="G18" s="67">
        <v>1.4525341003538317</v>
      </c>
      <c r="H18" s="3">
        <v>239.668126558382</v>
      </c>
      <c r="I18" s="3">
        <v>114.75019392795261</v>
      </c>
      <c r="J18" s="63">
        <v>124.91793263042942</v>
      </c>
      <c r="K18" s="62">
        <v>247.7525576384532</v>
      </c>
      <c r="L18" s="3">
        <v>118.62092153598667</v>
      </c>
      <c r="M18" s="3">
        <v>129.1316361024665</v>
      </c>
      <c r="N18" s="70">
        <v>1.5015306523542604</v>
      </c>
      <c r="O18" s="3">
        <v>0</v>
      </c>
      <c r="P18" s="67">
        <v>1.5015306523542604</v>
      </c>
      <c r="Q18" s="3">
        <v>247.7525576384532</v>
      </c>
      <c r="R18" s="3">
        <v>118.62092153598667</v>
      </c>
      <c r="S18" s="63">
        <v>129.1316361024665</v>
      </c>
      <c r="T18" s="62">
        <v>256.08504077991245</v>
      </c>
      <c r="U18" s="3">
        <v>122.61041346432184</v>
      </c>
      <c r="V18" s="3">
        <v>133.47462731559085</v>
      </c>
      <c r="W18" s="70">
        <v>1.552030550181291</v>
      </c>
      <c r="X18" s="3">
        <v>0</v>
      </c>
      <c r="Y18" s="67">
        <v>1.552030550181291</v>
      </c>
      <c r="Z18" s="3">
        <v>256.08504077991245</v>
      </c>
      <c r="AA18" s="3">
        <v>122.61041346432184</v>
      </c>
      <c r="AB18" s="3">
        <v>133.47462731559085</v>
      </c>
    </row>
    <row r="19" spans="1:80" ht="15" customHeight="1" x14ac:dyDescent="0.2">
      <c r="A19" s="214" t="s">
        <v>18</v>
      </c>
      <c r="B19" s="3">
        <v>216.82208262905993</v>
      </c>
      <c r="C19" s="3">
        <v>123.8983329308915</v>
      </c>
      <c r="D19" s="3">
        <v>92.923749698168692</v>
      </c>
      <c r="E19" s="70">
        <v>1.630241222774891</v>
      </c>
      <c r="F19" s="3">
        <v>1.630241222774891</v>
      </c>
      <c r="G19" s="67">
        <v>0</v>
      </c>
      <c r="H19" s="3">
        <v>216.82208262905993</v>
      </c>
      <c r="I19" s="3">
        <v>123.8983329308915</v>
      </c>
      <c r="J19" s="63">
        <v>92.923749698168692</v>
      </c>
      <c r="K19" s="62">
        <v>224.13587611851395</v>
      </c>
      <c r="L19" s="3">
        <v>128.07764349629323</v>
      </c>
      <c r="M19" s="3">
        <v>96.058232622219919</v>
      </c>
      <c r="N19" s="70">
        <v>1.6852321512670174</v>
      </c>
      <c r="O19" s="3">
        <v>1.6852321512670174</v>
      </c>
      <c r="P19" s="67">
        <v>0</v>
      </c>
      <c r="Q19" s="3">
        <v>224.13587611851395</v>
      </c>
      <c r="R19" s="3">
        <v>128.07764349629323</v>
      </c>
      <c r="S19" s="63">
        <v>96.058232622219919</v>
      </c>
      <c r="T19" s="62">
        <v>231.67407643804015</v>
      </c>
      <c r="U19" s="3">
        <v>132.38518653602335</v>
      </c>
      <c r="V19" s="3">
        <v>99.28888990201753</v>
      </c>
      <c r="W19" s="70">
        <v>1.7419103491582002</v>
      </c>
      <c r="X19" s="3">
        <v>1.7419103491582002</v>
      </c>
      <c r="Y19" s="67">
        <v>0</v>
      </c>
      <c r="Z19" s="3">
        <v>231.67407643804015</v>
      </c>
      <c r="AA19" s="3">
        <v>132.38518653602335</v>
      </c>
      <c r="AB19" s="3">
        <v>99.28888990201753</v>
      </c>
    </row>
    <row r="20" spans="1:80" ht="15" customHeight="1" x14ac:dyDescent="0.2">
      <c r="A20" s="214" t="s">
        <v>19</v>
      </c>
      <c r="B20" s="3">
        <v>161.39388105471386</v>
      </c>
      <c r="C20" s="3">
        <v>99.44471458926823</v>
      </c>
      <c r="D20" s="3">
        <v>61.949166465445877</v>
      </c>
      <c r="E20" s="70">
        <v>0</v>
      </c>
      <c r="F20" s="3">
        <v>0</v>
      </c>
      <c r="G20" s="67">
        <v>0</v>
      </c>
      <c r="H20" s="3">
        <v>161.39388105471386</v>
      </c>
      <c r="I20" s="3">
        <v>99.44471458926823</v>
      </c>
      <c r="J20" s="63">
        <v>61.949166465445877</v>
      </c>
      <c r="K20" s="62">
        <v>166.83798297543493</v>
      </c>
      <c r="L20" s="3">
        <v>102.79916122728798</v>
      </c>
      <c r="M20" s="3">
        <v>64.038821748146617</v>
      </c>
      <c r="N20" s="70">
        <v>0</v>
      </c>
      <c r="O20" s="3">
        <v>0</v>
      </c>
      <c r="P20" s="67">
        <v>0</v>
      </c>
      <c r="Q20" s="3">
        <v>166.83798297543493</v>
      </c>
      <c r="R20" s="3">
        <v>102.79916122728798</v>
      </c>
      <c r="S20" s="63">
        <v>64.038821748146617</v>
      </c>
      <c r="T20" s="62">
        <v>172.44912456666171</v>
      </c>
      <c r="U20" s="3">
        <v>106.25653129865034</v>
      </c>
      <c r="V20" s="3">
        <v>66.192593268011663</v>
      </c>
      <c r="W20" s="70">
        <v>0</v>
      </c>
      <c r="X20" s="3">
        <v>0</v>
      </c>
      <c r="Y20" s="67">
        <v>0</v>
      </c>
      <c r="Z20" s="3">
        <v>172.44912456666171</v>
      </c>
      <c r="AA20" s="3">
        <v>106.25653129865034</v>
      </c>
      <c r="AB20" s="3">
        <v>66.192593268011663</v>
      </c>
    </row>
    <row r="21" spans="1:80" ht="15" customHeight="1" x14ac:dyDescent="0.2">
      <c r="A21" s="214" t="s">
        <v>20</v>
      </c>
      <c r="B21" s="3">
        <v>84.772543584294269</v>
      </c>
      <c r="C21" s="3">
        <v>44.016513014922069</v>
      </c>
      <c r="D21" s="3">
        <v>40.756030569372285</v>
      </c>
      <c r="E21" s="70">
        <v>0</v>
      </c>
      <c r="F21" s="3">
        <v>0</v>
      </c>
      <c r="G21" s="67">
        <v>0</v>
      </c>
      <c r="H21" s="3">
        <v>84.772543584294269</v>
      </c>
      <c r="I21" s="3">
        <v>44.016513014922069</v>
      </c>
      <c r="J21" s="63">
        <v>40.756030569372285</v>
      </c>
      <c r="K21" s="62">
        <v>87.632071865884839</v>
      </c>
      <c r="L21" s="3">
        <v>45.501268084209443</v>
      </c>
      <c r="M21" s="3">
        <v>42.130803781675411</v>
      </c>
      <c r="N21" s="70">
        <v>0</v>
      </c>
      <c r="O21" s="4">
        <v>0</v>
      </c>
      <c r="P21" s="89">
        <v>0</v>
      </c>
      <c r="Q21" s="3">
        <v>87.632071865884839</v>
      </c>
      <c r="R21" s="3">
        <v>45.501268084209443</v>
      </c>
      <c r="S21" s="63">
        <v>42.130803781675411</v>
      </c>
      <c r="T21" s="62">
        <v>90.579338156226513</v>
      </c>
      <c r="U21" s="3">
        <v>47.031579427271431</v>
      </c>
      <c r="V21" s="3">
        <v>43.547758728955024</v>
      </c>
      <c r="W21" s="70">
        <v>0</v>
      </c>
      <c r="X21" s="4">
        <v>0</v>
      </c>
      <c r="Y21" s="89">
        <v>0</v>
      </c>
      <c r="Z21" s="3">
        <v>90.579338156226513</v>
      </c>
      <c r="AA21" s="3">
        <v>47.031579427271431</v>
      </c>
      <c r="AB21" s="3">
        <v>43.547758728955024</v>
      </c>
    </row>
    <row r="22" spans="1:80" ht="15" customHeight="1" x14ac:dyDescent="0.2">
      <c r="A22" s="214" t="s">
        <v>27</v>
      </c>
      <c r="B22" s="3">
        <v>79.881819915969615</v>
      </c>
      <c r="C22" s="3">
        <v>37.495548123822502</v>
      </c>
      <c r="D22" s="3">
        <v>42.386271792147177</v>
      </c>
      <c r="E22" s="70">
        <v>0</v>
      </c>
      <c r="F22" s="3">
        <v>0</v>
      </c>
      <c r="G22" s="67">
        <v>0</v>
      </c>
      <c r="H22" s="3">
        <v>79.881819915969615</v>
      </c>
      <c r="I22" s="3">
        <v>37.495548123822502</v>
      </c>
      <c r="J22" s="63">
        <v>42.386271792147177</v>
      </c>
      <c r="K22" s="62">
        <v>82.576375412083792</v>
      </c>
      <c r="L22" s="3">
        <v>38.760339479141379</v>
      </c>
      <c r="M22" s="3">
        <v>43.816035932942427</v>
      </c>
      <c r="N22" s="70">
        <v>0</v>
      </c>
      <c r="O22" s="4">
        <v>0</v>
      </c>
      <c r="P22" s="89">
        <v>0</v>
      </c>
      <c r="Q22" s="3">
        <v>82.576375412083792</v>
      </c>
      <c r="R22" s="3">
        <v>38.760339479141379</v>
      </c>
      <c r="S22" s="63">
        <v>43.816035932942427</v>
      </c>
      <c r="T22" s="62">
        <v>85.353607108751902</v>
      </c>
      <c r="U22" s="3">
        <v>40.063938030638617</v>
      </c>
      <c r="V22" s="3">
        <v>45.289669078113228</v>
      </c>
      <c r="W22" s="70">
        <v>0</v>
      </c>
      <c r="X22" s="4">
        <v>0</v>
      </c>
      <c r="Y22" s="89">
        <v>0</v>
      </c>
      <c r="Z22" s="3">
        <v>85.353607108751902</v>
      </c>
      <c r="AA22" s="3">
        <v>40.063938030638617</v>
      </c>
      <c r="AB22" s="3">
        <v>45.289669078113228</v>
      </c>
    </row>
    <row r="23" spans="1:80" ht="15" customHeight="1" x14ac:dyDescent="0.2">
      <c r="A23" s="214" t="s">
        <v>41</v>
      </c>
      <c r="B23" s="3">
        <v>16.302412227748913</v>
      </c>
      <c r="C23" s="3">
        <v>9.7814473366493466</v>
      </c>
      <c r="D23" s="3">
        <v>6.5209648910995641</v>
      </c>
      <c r="E23" s="70">
        <v>0</v>
      </c>
      <c r="F23" s="3">
        <v>0</v>
      </c>
      <c r="G23" s="67">
        <v>0</v>
      </c>
      <c r="H23" s="3">
        <v>16.302412227748913</v>
      </c>
      <c r="I23" s="3">
        <v>9.7814473366493466</v>
      </c>
      <c r="J23" s="63">
        <v>6.5209648910995641</v>
      </c>
      <c r="K23" s="62">
        <v>16.852321512670173</v>
      </c>
      <c r="L23" s="3">
        <v>10.111392907602104</v>
      </c>
      <c r="M23" s="3">
        <v>6.7409286050680697</v>
      </c>
      <c r="N23" s="70">
        <v>0</v>
      </c>
      <c r="O23" s="4">
        <v>0</v>
      </c>
      <c r="P23" s="89">
        <v>0</v>
      </c>
      <c r="Q23" s="3">
        <v>16.852321512670173</v>
      </c>
      <c r="R23" s="3">
        <v>10.111392907602104</v>
      </c>
      <c r="S23" s="63">
        <v>6.7409286050680697</v>
      </c>
      <c r="T23" s="62">
        <v>17.419103491582003</v>
      </c>
      <c r="U23" s="3">
        <v>10.451462094949202</v>
      </c>
      <c r="V23" s="3">
        <v>6.9676413966328008</v>
      </c>
      <c r="W23" s="70">
        <v>0</v>
      </c>
      <c r="X23" s="4">
        <v>0</v>
      </c>
      <c r="Y23" s="89">
        <v>0</v>
      </c>
      <c r="Z23" s="3">
        <v>17.419103491582003</v>
      </c>
      <c r="AA23" s="3">
        <v>10.451462094949202</v>
      </c>
      <c r="AB23" s="3">
        <v>6.9676413966328008</v>
      </c>
    </row>
    <row r="24" spans="1:80" ht="15" customHeight="1" x14ac:dyDescent="0.2">
      <c r="A24" s="214" t="s">
        <v>32</v>
      </c>
      <c r="B24" s="3">
        <v>14.672171004974022</v>
      </c>
      <c r="C24" s="3">
        <v>6.5209648910995641</v>
      </c>
      <c r="D24" s="3">
        <v>8.1512061138744549</v>
      </c>
      <c r="E24" s="70">
        <v>0</v>
      </c>
      <c r="F24" s="3">
        <v>0</v>
      </c>
      <c r="G24" s="67">
        <v>0</v>
      </c>
      <c r="H24" s="3">
        <v>14.672171004974022</v>
      </c>
      <c r="I24" s="3">
        <v>6.5209648910995641</v>
      </c>
      <c r="J24" s="63">
        <v>8.1512061138744549</v>
      </c>
      <c r="K24" s="62">
        <v>15.167089361403157</v>
      </c>
      <c r="L24" s="3">
        <v>6.7409286050680697</v>
      </c>
      <c r="M24" s="3">
        <v>8.4261607563350864</v>
      </c>
      <c r="N24" s="70">
        <v>0</v>
      </c>
      <c r="O24" s="4">
        <v>0</v>
      </c>
      <c r="P24" s="89">
        <v>0</v>
      </c>
      <c r="Q24" s="3">
        <v>15.167089361403157</v>
      </c>
      <c r="R24" s="3">
        <v>6.7409286050680697</v>
      </c>
      <c r="S24" s="63">
        <v>8.4261607563350864</v>
      </c>
      <c r="T24" s="62">
        <v>15.677193142423802</v>
      </c>
      <c r="U24" s="3">
        <v>6.9676413966328008</v>
      </c>
      <c r="V24" s="3">
        <v>8.7095517457910017</v>
      </c>
      <c r="W24" s="70">
        <v>0</v>
      </c>
      <c r="X24" s="4">
        <v>0</v>
      </c>
      <c r="Y24" s="89">
        <v>0</v>
      </c>
      <c r="Z24" s="3">
        <v>15.677193142423802</v>
      </c>
      <c r="AA24" s="3">
        <v>6.9676413966328008</v>
      </c>
      <c r="AB24" s="3">
        <v>8.7095517457910017</v>
      </c>
    </row>
    <row r="25" spans="1:80" ht="15" customHeight="1" thickBot="1" x14ac:dyDescent="0.25">
      <c r="A25" s="215" t="s">
        <v>30</v>
      </c>
      <c r="B25" s="7">
        <v>14.672171004974022</v>
      </c>
      <c r="C25" s="7">
        <v>8.1512061138744549</v>
      </c>
      <c r="D25" s="7">
        <v>6.5209648910995641</v>
      </c>
      <c r="E25" s="71">
        <v>0</v>
      </c>
      <c r="F25" s="7">
        <v>0</v>
      </c>
      <c r="G25" s="68">
        <v>0</v>
      </c>
      <c r="H25" s="7">
        <v>14.672171004974022</v>
      </c>
      <c r="I25" s="7">
        <v>8.1512061138744549</v>
      </c>
      <c r="J25" s="66">
        <v>6.5209648910995641</v>
      </c>
      <c r="K25" s="65">
        <v>15.167089361403157</v>
      </c>
      <c r="L25" s="7">
        <v>8.4261607563350864</v>
      </c>
      <c r="M25" s="7">
        <v>6.7409286050680697</v>
      </c>
      <c r="N25" s="71">
        <v>0</v>
      </c>
      <c r="O25" s="2">
        <v>0</v>
      </c>
      <c r="P25" s="90">
        <v>0</v>
      </c>
      <c r="Q25" s="7">
        <v>15.167089361403157</v>
      </c>
      <c r="R25" s="7">
        <v>8.4261607563350864</v>
      </c>
      <c r="S25" s="66">
        <v>6.7409286050680697</v>
      </c>
      <c r="T25" s="65">
        <v>15.677193142423802</v>
      </c>
      <c r="U25" s="7">
        <v>8.7095517457910017</v>
      </c>
      <c r="V25" s="7">
        <v>6.9676413966328008</v>
      </c>
      <c r="W25" s="71">
        <v>0</v>
      </c>
      <c r="X25" s="2">
        <v>0</v>
      </c>
      <c r="Y25" s="90">
        <v>0</v>
      </c>
      <c r="Z25" s="7">
        <v>15.677193142423802</v>
      </c>
      <c r="AA25" s="7">
        <v>8.7095517457910017</v>
      </c>
      <c r="AB25" s="7">
        <v>6.9676413966328008</v>
      </c>
    </row>
    <row r="26" spans="1:80" ht="15" customHeight="1" x14ac:dyDescent="0.2">
      <c r="A26" s="229" t="s">
        <v>97</v>
      </c>
      <c r="B26" s="3">
        <v>6133.5789096016633</v>
      </c>
      <c r="C26" s="3">
        <v>3111.8915452304764</v>
      </c>
      <c r="D26" s="3">
        <v>3021.6873643714162</v>
      </c>
      <c r="E26" s="70">
        <v>0</v>
      </c>
      <c r="F26" s="3">
        <v>0</v>
      </c>
      <c r="G26" s="67">
        <v>0</v>
      </c>
      <c r="H26" s="3">
        <v>6133.5789096016633</v>
      </c>
      <c r="I26" s="3">
        <v>3111.8915452304764</v>
      </c>
      <c r="J26" s="63">
        <v>3021.6873643714162</v>
      </c>
      <c r="K26" s="62">
        <v>6340.4754071916323</v>
      </c>
      <c r="L26" s="3">
        <v>3216.8611675467919</v>
      </c>
      <c r="M26" s="3">
        <v>3123.6142396451287</v>
      </c>
      <c r="N26" s="70">
        <v>0</v>
      </c>
      <c r="O26" s="3">
        <v>0</v>
      </c>
      <c r="P26" s="67">
        <v>0</v>
      </c>
      <c r="Q26" s="3">
        <v>6340.4754071916323</v>
      </c>
      <c r="R26" s="3">
        <v>3216.8611675467919</v>
      </c>
      <c r="S26" s="63">
        <v>3123.6142396451287</v>
      </c>
      <c r="T26" s="62">
        <v>6553.7200450797809</v>
      </c>
      <c r="U26" s="3">
        <v>3325.0515398378707</v>
      </c>
      <c r="V26" s="3">
        <v>3228.6685052411249</v>
      </c>
      <c r="W26" s="70">
        <v>0</v>
      </c>
      <c r="X26" s="3">
        <v>0</v>
      </c>
      <c r="Y26" s="67">
        <v>0</v>
      </c>
      <c r="Z26" s="3">
        <v>6553.7200450797809</v>
      </c>
      <c r="AA26" s="3">
        <v>3325.0515398378707</v>
      </c>
      <c r="AB26" s="3">
        <v>3228.6685052411249</v>
      </c>
    </row>
    <row r="27" spans="1:80" ht="15" customHeight="1" x14ac:dyDescent="0.2">
      <c r="A27" s="180" t="s">
        <v>22</v>
      </c>
      <c r="B27" s="3">
        <v>273.3482849396222</v>
      </c>
      <c r="C27" s="3">
        <v>140.10816614995727</v>
      </c>
      <c r="D27" s="3">
        <v>133.24011878966525</v>
      </c>
      <c r="E27" s="70">
        <v>0</v>
      </c>
      <c r="F27" s="3">
        <v>0</v>
      </c>
      <c r="G27" s="67">
        <v>0</v>
      </c>
      <c r="H27" s="3">
        <v>273.3482849396222</v>
      </c>
      <c r="I27" s="3">
        <v>140.10816614995727</v>
      </c>
      <c r="J27" s="63">
        <v>133.24011878966525</v>
      </c>
      <c r="K27" s="62">
        <v>282.56880751049295</v>
      </c>
      <c r="L27" s="3">
        <v>144.83426314608184</v>
      </c>
      <c r="M27" s="3">
        <v>137.73454436441116</v>
      </c>
      <c r="N27" s="70">
        <v>0</v>
      </c>
      <c r="O27" s="3">
        <v>0</v>
      </c>
      <c r="P27" s="67">
        <v>0</v>
      </c>
      <c r="Q27" s="3">
        <v>282.56880751049295</v>
      </c>
      <c r="R27" s="3">
        <v>144.83426314608184</v>
      </c>
      <c r="S27" s="63">
        <v>137.73454436441116</v>
      </c>
      <c r="T27" s="62">
        <v>292.0722404813838</v>
      </c>
      <c r="U27" s="3">
        <v>149.70536949297079</v>
      </c>
      <c r="V27" s="3">
        <v>142.36687098841338</v>
      </c>
      <c r="W27" s="70">
        <v>0</v>
      </c>
      <c r="X27" s="3">
        <v>0</v>
      </c>
      <c r="Y27" s="67">
        <v>0</v>
      </c>
      <c r="Z27" s="3">
        <v>292.0722404813838</v>
      </c>
      <c r="AA27" s="3">
        <v>149.70536949297079</v>
      </c>
      <c r="AB27" s="3">
        <v>142.36687098841338</v>
      </c>
    </row>
    <row r="28" spans="1:80" ht="15" customHeight="1" thickBot="1" x14ac:dyDescent="0.25">
      <c r="A28" s="196" t="s">
        <v>21</v>
      </c>
      <c r="B28" s="7">
        <v>5645.677588088769</v>
      </c>
      <c r="C28" s="7">
        <v>2938.7816619816335</v>
      </c>
      <c r="D28" s="7">
        <v>2706.8959261070499</v>
      </c>
      <c r="E28" s="71">
        <v>0</v>
      </c>
      <c r="F28" s="7">
        <v>0</v>
      </c>
      <c r="G28" s="68">
        <v>0</v>
      </c>
      <c r="H28" s="7">
        <v>5645.677588088769</v>
      </c>
      <c r="I28" s="7">
        <v>2938.7816619816335</v>
      </c>
      <c r="J28" s="66">
        <v>2706.8959261070499</v>
      </c>
      <c r="K28" s="65">
        <v>5836.1163085668868</v>
      </c>
      <c r="L28" s="7">
        <v>3037.9119808388295</v>
      </c>
      <c r="M28" s="7">
        <v>2798.2043277279231</v>
      </c>
      <c r="N28" s="71">
        <v>0</v>
      </c>
      <c r="O28" s="7">
        <v>0</v>
      </c>
      <c r="P28" s="68">
        <v>0</v>
      </c>
      <c r="Q28" s="7">
        <v>5836.1163085668868</v>
      </c>
      <c r="R28" s="7">
        <v>3037.9119808388295</v>
      </c>
      <c r="S28" s="66">
        <v>2798.2043277279231</v>
      </c>
      <c r="T28" s="65">
        <v>6032.398200533331</v>
      </c>
      <c r="U28" s="7">
        <v>3140.0838841559544</v>
      </c>
      <c r="V28" s="7">
        <v>2892.3143163771679</v>
      </c>
      <c r="W28" s="71">
        <v>0</v>
      </c>
      <c r="X28" s="7">
        <v>0</v>
      </c>
      <c r="Y28" s="68">
        <v>0</v>
      </c>
      <c r="Z28" s="7">
        <v>6032.398200533331</v>
      </c>
      <c r="AA28" s="7">
        <v>3140.0838841559544</v>
      </c>
      <c r="AB28" s="7">
        <v>2892.3143163771679</v>
      </c>
    </row>
    <row r="29" spans="1:80" customFormat="1" ht="15" x14ac:dyDescent="0.25">
      <c r="A29" s="60" t="s">
        <v>121</v>
      </c>
      <c r="B29" s="60"/>
      <c r="C29" s="5"/>
      <c r="D29" s="5"/>
      <c r="E29" s="5"/>
      <c r="F29" s="5"/>
      <c r="G29" s="5"/>
      <c r="H29" s="5"/>
      <c r="I29" s="5"/>
      <c r="J29" s="5"/>
      <c r="K29" s="56"/>
      <c r="L29" s="56"/>
      <c r="M29" s="56"/>
      <c r="N29" s="56"/>
      <c r="O29" s="56"/>
      <c r="P29" s="56"/>
      <c r="Q29" s="56"/>
      <c r="R29" s="56"/>
      <c r="S29" s="56"/>
      <c r="T29" s="56"/>
      <c r="U29" s="56"/>
      <c r="V29" s="56"/>
      <c r="W29" s="56"/>
      <c r="X29" s="56"/>
      <c r="Y29" s="56"/>
      <c r="Z29" s="56"/>
      <c r="AA29" s="56"/>
      <c r="AB29" s="56"/>
      <c r="AC29" s="234"/>
      <c r="AD29" s="234"/>
      <c r="AE29" s="234"/>
      <c r="AF29" s="234"/>
      <c r="AG29" s="234"/>
      <c r="AH29" s="234"/>
      <c r="AI29" s="234"/>
      <c r="AJ29" s="234"/>
      <c r="AK29" s="234"/>
      <c r="AL29" s="234"/>
      <c r="AM29" s="234"/>
      <c r="AN29" s="234"/>
      <c r="AO29" s="234"/>
      <c r="AP29" s="234"/>
      <c r="AQ29" s="234"/>
      <c r="AR29" s="234"/>
      <c r="AS29" s="234"/>
      <c r="AT29" s="234"/>
      <c r="AU29" s="234"/>
      <c r="AV29" s="234"/>
      <c r="AW29" s="234"/>
      <c r="AX29" s="234"/>
      <c r="AY29" s="234"/>
      <c r="AZ29" s="234"/>
      <c r="BA29" s="234"/>
      <c r="BB29" s="234"/>
      <c r="BC29" s="234"/>
      <c r="BD29" s="234"/>
      <c r="BE29" s="234"/>
      <c r="BF29" s="234"/>
      <c r="BG29" s="234"/>
      <c r="BH29" s="234"/>
      <c r="BI29" s="234"/>
      <c r="BJ29" s="234"/>
      <c r="BK29" s="234"/>
      <c r="BL29" s="234"/>
      <c r="BM29" s="234"/>
      <c r="BN29" s="234"/>
      <c r="BO29" s="234"/>
      <c r="BP29" s="234"/>
      <c r="BQ29" s="234"/>
      <c r="BR29" s="234"/>
      <c r="BS29" s="234"/>
      <c r="BT29" s="234"/>
      <c r="BU29" s="234"/>
      <c r="BV29" s="234"/>
      <c r="BW29" s="234"/>
      <c r="BX29" s="234"/>
      <c r="BY29" s="234"/>
      <c r="BZ29" s="234"/>
      <c r="CA29" s="234"/>
      <c r="CB29" s="234"/>
    </row>
    <row r="31" spans="1:80" x14ac:dyDescent="0.2">
      <c r="B31" s="6"/>
    </row>
    <row r="34" ht="12" customHeight="1" x14ac:dyDescent="0.2"/>
  </sheetData>
  <mergeCells count="4">
    <mergeCell ref="A2:A4"/>
    <mergeCell ref="B2:J2"/>
    <mergeCell ref="K2:S2"/>
    <mergeCell ref="T2:AB2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B35"/>
  <sheetViews>
    <sheetView tabSelected="1" workbookViewId="0">
      <pane xSplit="1" topLeftCell="B1" activePane="topRight" state="frozen"/>
      <selection pane="topRight" activeCell="R18" sqref="R18"/>
    </sheetView>
  </sheetViews>
  <sheetFormatPr defaultColWidth="9.140625" defaultRowHeight="12" x14ac:dyDescent="0.2"/>
  <cols>
    <col min="1" max="1" width="17.42578125" style="73" customWidth="1"/>
    <col min="2" max="16384" width="9.140625" style="1"/>
  </cols>
  <sheetData>
    <row r="1" spans="1:69" ht="12.75" customHeight="1" thickBot="1" x14ac:dyDescent="0.25">
      <c r="A1" s="108" t="s">
        <v>120</v>
      </c>
      <c r="B1" s="59"/>
      <c r="C1" s="59"/>
      <c r="D1" s="59"/>
      <c r="E1" s="59"/>
      <c r="F1" s="59"/>
      <c r="G1" s="59"/>
      <c r="H1" s="59"/>
      <c r="I1" s="59"/>
      <c r="J1" s="59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</row>
    <row r="2" spans="1:69" ht="12.75" customHeight="1" x14ac:dyDescent="0.2">
      <c r="A2" s="268" t="s">
        <v>36</v>
      </c>
      <c r="B2" s="236" t="s">
        <v>93</v>
      </c>
      <c r="C2" s="236"/>
      <c r="D2" s="236"/>
      <c r="E2" s="236"/>
      <c r="F2" s="236"/>
      <c r="G2" s="236"/>
      <c r="H2" s="236"/>
      <c r="I2" s="236"/>
      <c r="J2" s="236"/>
      <c r="K2" s="235" t="s">
        <v>94</v>
      </c>
      <c r="L2" s="236"/>
      <c r="M2" s="236"/>
      <c r="N2" s="236"/>
      <c r="O2" s="236"/>
      <c r="P2" s="236"/>
      <c r="Q2" s="236"/>
      <c r="R2" s="236"/>
      <c r="S2" s="237"/>
      <c r="T2" s="236" t="s">
        <v>95</v>
      </c>
      <c r="U2" s="236"/>
      <c r="V2" s="236"/>
      <c r="W2" s="236"/>
      <c r="X2" s="236"/>
      <c r="Y2" s="236"/>
      <c r="Z2" s="236"/>
      <c r="AA2" s="236"/>
      <c r="AB2" s="236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</row>
    <row r="3" spans="1:69" ht="12.75" thickBot="1" x14ac:dyDescent="0.25">
      <c r="A3" s="261"/>
      <c r="B3" s="11"/>
      <c r="C3" s="11" t="s">
        <v>0</v>
      </c>
      <c r="D3" s="12"/>
      <c r="E3" s="13"/>
      <c r="F3" s="13" t="s">
        <v>1</v>
      </c>
      <c r="G3" s="14"/>
      <c r="H3" s="11"/>
      <c r="I3" s="11" t="s">
        <v>2</v>
      </c>
      <c r="J3" s="11"/>
      <c r="K3" s="88"/>
      <c r="L3" s="11" t="s">
        <v>0</v>
      </c>
      <c r="M3" s="12"/>
      <c r="N3" s="13"/>
      <c r="O3" s="13" t="s">
        <v>1</v>
      </c>
      <c r="P3" s="14"/>
      <c r="Q3" s="11"/>
      <c r="R3" s="11" t="s">
        <v>2</v>
      </c>
      <c r="S3" s="15"/>
      <c r="T3" s="11"/>
      <c r="U3" s="11" t="s">
        <v>0</v>
      </c>
      <c r="V3" s="12"/>
      <c r="W3" s="13"/>
      <c r="X3" s="13" t="s">
        <v>1</v>
      </c>
      <c r="Y3" s="14"/>
      <c r="Z3" s="11"/>
      <c r="AA3" s="11" t="s">
        <v>2</v>
      </c>
      <c r="AB3" s="11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</row>
    <row r="4" spans="1:69" ht="12.75" thickBot="1" x14ac:dyDescent="0.25">
      <c r="A4" s="242"/>
      <c r="B4" s="9" t="s">
        <v>0</v>
      </c>
      <c r="C4" s="10" t="s">
        <v>3</v>
      </c>
      <c r="D4" s="16" t="s">
        <v>4</v>
      </c>
      <c r="E4" s="17" t="s">
        <v>0</v>
      </c>
      <c r="F4" s="10" t="s">
        <v>3</v>
      </c>
      <c r="G4" s="16" t="s">
        <v>4</v>
      </c>
      <c r="H4" s="17" t="s">
        <v>0</v>
      </c>
      <c r="I4" s="10" t="s">
        <v>3</v>
      </c>
      <c r="J4" s="10" t="s">
        <v>4</v>
      </c>
      <c r="K4" s="141" t="s">
        <v>0</v>
      </c>
      <c r="L4" s="135" t="s">
        <v>3</v>
      </c>
      <c r="M4" s="135" t="s">
        <v>4</v>
      </c>
      <c r="N4" s="136" t="s">
        <v>0</v>
      </c>
      <c r="O4" s="137" t="s">
        <v>3</v>
      </c>
      <c r="P4" s="138" t="s">
        <v>4</v>
      </c>
      <c r="Q4" s="139" t="s">
        <v>0</v>
      </c>
      <c r="R4" s="135" t="s">
        <v>3</v>
      </c>
      <c r="S4" s="140" t="s">
        <v>4</v>
      </c>
      <c r="T4" s="9" t="s">
        <v>0</v>
      </c>
      <c r="U4" s="10" t="s">
        <v>3</v>
      </c>
      <c r="V4" s="10" t="s">
        <v>4</v>
      </c>
      <c r="W4" s="19" t="s">
        <v>0</v>
      </c>
      <c r="X4" s="20" t="s">
        <v>3</v>
      </c>
      <c r="Y4" s="21" t="s">
        <v>4</v>
      </c>
      <c r="Z4" s="17" t="s">
        <v>0</v>
      </c>
      <c r="AA4" s="10" t="s">
        <v>3</v>
      </c>
      <c r="AB4" s="10" t="s">
        <v>4</v>
      </c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</row>
    <row r="5" spans="1:69" s="6" customFormat="1" ht="15" customHeight="1" thickBot="1" x14ac:dyDescent="0.25">
      <c r="A5" s="212" t="s">
        <v>92</v>
      </c>
      <c r="B5" s="64">
        <v>12085.40655191376</v>
      </c>
      <c r="C5" s="64">
        <v>6361.4982537021333</v>
      </c>
      <c r="D5" s="64">
        <v>5723.9082982123118</v>
      </c>
      <c r="E5" s="64">
        <v>0</v>
      </c>
      <c r="F5" s="64">
        <v>0</v>
      </c>
      <c r="G5" s="64">
        <v>0</v>
      </c>
      <c r="H5" s="64">
        <v>12085.40655191376</v>
      </c>
      <c r="I5" s="64">
        <v>6361.4982537021333</v>
      </c>
      <c r="J5" s="64">
        <v>5723.9082982123118</v>
      </c>
      <c r="K5" s="79">
        <v>12493.068754422035</v>
      </c>
      <c r="L5" s="77">
        <v>6576.0828750973569</v>
      </c>
      <c r="M5" s="111">
        <v>5916.9858793241528</v>
      </c>
      <c r="N5" s="110">
        <v>0</v>
      </c>
      <c r="O5" s="77">
        <v>0</v>
      </c>
      <c r="P5" s="111">
        <v>0</v>
      </c>
      <c r="Q5" s="77">
        <v>12493.068754422035</v>
      </c>
      <c r="R5" s="77">
        <v>6576.0828750973569</v>
      </c>
      <c r="S5" s="78">
        <v>5916.9858793241528</v>
      </c>
      <c r="T5" s="77">
        <v>12913.239128337056</v>
      </c>
      <c r="U5" s="77">
        <v>6797.2515290802266</v>
      </c>
      <c r="V5" s="111">
        <v>6115.9875992572488</v>
      </c>
      <c r="W5" s="110">
        <v>0</v>
      </c>
      <c r="X5" s="77">
        <v>0</v>
      </c>
      <c r="Y5" s="111">
        <v>0</v>
      </c>
      <c r="Z5" s="64">
        <v>12913.239128337056</v>
      </c>
      <c r="AA5" s="64">
        <v>6797.2515290802266</v>
      </c>
      <c r="AB5" s="64">
        <v>6115.9875992572488</v>
      </c>
    </row>
    <row r="6" spans="1:69" x14ac:dyDescent="0.2">
      <c r="A6" s="213" t="s">
        <v>5</v>
      </c>
      <c r="B6" s="3">
        <v>1371.2529529278931</v>
      </c>
      <c r="C6" s="3">
        <v>705.29330912215073</v>
      </c>
      <c r="D6" s="3">
        <v>665.95964380572195</v>
      </c>
      <c r="E6" s="70">
        <v>0</v>
      </c>
      <c r="F6" s="3">
        <v>0</v>
      </c>
      <c r="G6" s="67">
        <v>0</v>
      </c>
      <c r="H6" s="3">
        <v>1371.2529529278931</v>
      </c>
      <c r="I6" s="3">
        <v>705.29330912215073</v>
      </c>
      <c r="J6" s="3">
        <v>665.95964380572195</v>
      </c>
      <c r="K6" s="62">
        <v>1417.5077476328916</v>
      </c>
      <c r="L6" s="3">
        <v>729.08410362917266</v>
      </c>
      <c r="M6" s="3">
        <v>688.42364400369843</v>
      </c>
      <c r="N6" s="70">
        <v>0</v>
      </c>
      <c r="O6" s="3">
        <v>0</v>
      </c>
      <c r="P6" s="67">
        <v>0</v>
      </c>
      <c r="Q6" s="3">
        <v>1417.5077476328916</v>
      </c>
      <c r="R6" s="3">
        <v>729.08410362917266</v>
      </c>
      <c r="S6" s="63">
        <v>688.42364400369843</v>
      </c>
      <c r="T6" s="3">
        <v>1465.1817636858896</v>
      </c>
      <c r="U6" s="3">
        <v>753.60486361687936</v>
      </c>
      <c r="V6" s="3">
        <v>711.57690006901521</v>
      </c>
      <c r="W6" s="70">
        <v>0</v>
      </c>
      <c r="X6" s="3">
        <v>0</v>
      </c>
      <c r="Y6" s="67">
        <v>0</v>
      </c>
      <c r="Z6" s="3">
        <v>1465.1817636858896</v>
      </c>
      <c r="AA6" s="3">
        <v>753.60486361687936</v>
      </c>
      <c r="AB6" s="3">
        <v>711.57690006901521</v>
      </c>
    </row>
    <row r="7" spans="1:69" ht="15" customHeight="1" x14ac:dyDescent="0.2">
      <c r="A7" s="213" t="s">
        <v>6</v>
      </c>
      <c r="B7" s="3">
        <v>1171.9026304583779</v>
      </c>
      <c r="C7" s="3">
        <v>594.40566272972285</v>
      </c>
      <c r="D7" s="3">
        <v>577.496967728659</v>
      </c>
      <c r="E7" s="70">
        <v>0</v>
      </c>
      <c r="F7" s="3">
        <v>0</v>
      </c>
      <c r="G7" s="67">
        <v>0</v>
      </c>
      <c r="H7" s="3">
        <v>1171.9026304583779</v>
      </c>
      <c r="I7" s="3">
        <v>594.40566272972285</v>
      </c>
      <c r="J7" s="3">
        <v>577.496967728659</v>
      </c>
      <c r="K7" s="62">
        <v>1211.4329851390253</v>
      </c>
      <c r="L7" s="3">
        <v>614.45602020924025</v>
      </c>
      <c r="M7" s="3">
        <v>596.97696492976456</v>
      </c>
      <c r="N7" s="70">
        <v>0</v>
      </c>
      <c r="O7" s="3">
        <v>0</v>
      </c>
      <c r="P7" s="67">
        <v>0</v>
      </c>
      <c r="Q7" s="3">
        <v>1211.4329851390253</v>
      </c>
      <c r="R7" s="3">
        <v>614.45602020924025</v>
      </c>
      <c r="S7" s="63">
        <v>596.97696492976456</v>
      </c>
      <c r="T7" s="3">
        <v>1252.1762372850005</v>
      </c>
      <c r="U7" s="3">
        <v>635.12157651414566</v>
      </c>
      <c r="V7" s="3">
        <v>617.05466077085487</v>
      </c>
      <c r="W7" s="70">
        <v>0</v>
      </c>
      <c r="X7" s="3">
        <v>0</v>
      </c>
      <c r="Y7" s="67">
        <v>0</v>
      </c>
      <c r="Z7" s="3">
        <v>1252.1762372850005</v>
      </c>
      <c r="AA7" s="3">
        <v>635.12157651414566</v>
      </c>
      <c r="AB7" s="3">
        <v>617.05466077085487</v>
      </c>
    </row>
    <row r="8" spans="1:69" ht="15" customHeight="1" x14ac:dyDescent="0.2">
      <c r="A8" s="213" t="s">
        <v>7</v>
      </c>
      <c r="B8" s="3">
        <v>1006.7176869864336</v>
      </c>
      <c r="C8" s="3">
        <v>516.36553195558201</v>
      </c>
      <c r="D8" s="3">
        <v>490.35215503086749</v>
      </c>
      <c r="E8" s="70">
        <v>0</v>
      </c>
      <c r="F8" s="3">
        <v>0</v>
      </c>
      <c r="G8" s="67">
        <v>0</v>
      </c>
      <c r="H8" s="3">
        <v>1006.7176869864336</v>
      </c>
      <c r="I8" s="3">
        <v>516.36553195558201</v>
      </c>
      <c r="J8" s="3">
        <v>490.35215503086749</v>
      </c>
      <c r="K8" s="62">
        <v>1040.6760604856859</v>
      </c>
      <c r="L8" s="3">
        <v>533.78345738089092</v>
      </c>
      <c r="M8" s="3">
        <v>506.89260310477465</v>
      </c>
      <c r="N8" s="70">
        <v>0</v>
      </c>
      <c r="O8" s="3">
        <v>0</v>
      </c>
      <c r="P8" s="67">
        <v>0</v>
      </c>
      <c r="Q8" s="3">
        <v>1040.6760604856859</v>
      </c>
      <c r="R8" s="3">
        <v>533.78345738089092</v>
      </c>
      <c r="S8" s="63">
        <v>506.89260310477465</v>
      </c>
      <c r="T8" s="3">
        <v>1075.6763681005443</v>
      </c>
      <c r="U8" s="3">
        <v>551.73581154511123</v>
      </c>
      <c r="V8" s="3">
        <v>523.94055655543309</v>
      </c>
      <c r="W8" s="70">
        <v>0</v>
      </c>
      <c r="X8" s="3">
        <v>0</v>
      </c>
      <c r="Y8" s="67">
        <v>0</v>
      </c>
      <c r="Z8" s="3">
        <v>1075.6763681005443</v>
      </c>
      <c r="AA8" s="3">
        <v>551.73581154511123</v>
      </c>
      <c r="AB8" s="3">
        <v>523.94055655543309</v>
      </c>
    </row>
    <row r="9" spans="1:69" ht="15" customHeight="1" x14ac:dyDescent="0.2">
      <c r="A9" s="213" t="s">
        <v>8</v>
      </c>
      <c r="B9" s="3">
        <v>1001.361305130582</v>
      </c>
      <c r="C9" s="3">
        <v>523.34520885424718</v>
      </c>
      <c r="D9" s="3">
        <v>478.0160962763203</v>
      </c>
      <c r="E9" s="70">
        <v>0</v>
      </c>
      <c r="F9" s="3">
        <v>0</v>
      </c>
      <c r="G9" s="67">
        <v>0</v>
      </c>
      <c r="H9" s="3">
        <v>1001.361305130582</v>
      </c>
      <c r="I9" s="3">
        <v>523.34520885424718</v>
      </c>
      <c r="J9" s="3">
        <v>478.0160962763203</v>
      </c>
      <c r="K9" s="62">
        <v>1035.1389983676045</v>
      </c>
      <c r="L9" s="3">
        <v>540.99857116330668</v>
      </c>
      <c r="M9" s="3">
        <v>494.14042720427904</v>
      </c>
      <c r="N9" s="70">
        <v>0</v>
      </c>
      <c r="O9" s="3">
        <v>0</v>
      </c>
      <c r="P9" s="67">
        <v>0</v>
      </c>
      <c r="Q9" s="3">
        <v>1035.1389983676045</v>
      </c>
      <c r="R9" s="3">
        <v>540.99857116330668</v>
      </c>
      <c r="S9" s="63">
        <v>494.14042720427904</v>
      </c>
      <c r="T9" s="3">
        <v>1069.953081964454</v>
      </c>
      <c r="U9" s="3">
        <v>559.19358604726824</v>
      </c>
      <c r="V9" s="3">
        <v>510.75949591719029</v>
      </c>
      <c r="W9" s="70">
        <v>0</v>
      </c>
      <c r="X9" s="3">
        <v>0</v>
      </c>
      <c r="Y9" s="67">
        <v>0</v>
      </c>
      <c r="Z9" s="3">
        <v>1069.953081964454</v>
      </c>
      <c r="AA9" s="3">
        <v>559.19358604726824</v>
      </c>
      <c r="AB9" s="3">
        <v>510.75949591719029</v>
      </c>
    </row>
    <row r="10" spans="1:69" ht="15" customHeight="1" x14ac:dyDescent="0.2">
      <c r="A10" s="213" t="s">
        <v>9</v>
      </c>
      <c r="B10" s="3">
        <v>931.62317614527444</v>
      </c>
      <c r="C10" s="3">
        <v>530.24021790143593</v>
      </c>
      <c r="D10" s="3">
        <v>401.38295824382408</v>
      </c>
      <c r="E10" s="70">
        <v>0</v>
      </c>
      <c r="F10" s="3">
        <v>0</v>
      </c>
      <c r="G10" s="67">
        <v>0</v>
      </c>
      <c r="H10" s="3">
        <v>931.62317614527444</v>
      </c>
      <c r="I10" s="3">
        <v>530.24021790143593</v>
      </c>
      <c r="J10" s="3">
        <v>401.38295824382408</v>
      </c>
      <c r="K10" s="62">
        <v>963.04847857614971</v>
      </c>
      <c r="L10" s="3">
        <v>548.12616109739679</v>
      </c>
      <c r="M10" s="3">
        <v>414.9223174787565</v>
      </c>
      <c r="N10" s="70">
        <v>0</v>
      </c>
      <c r="O10" s="3">
        <v>0</v>
      </c>
      <c r="P10" s="67">
        <v>0</v>
      </c>
      <c r="Q10" s="3">
        <v>963.04847857614971</v>
      </c>
      <c r="R10" s="3">
        <v>548.12616109739679</v>
      </c>
      <c r="S10" s="63">
        <v>414.9223174787565</v>
      </c>
      <c r="T10" s="3">
        <v>995.43799369814838</v>
      </c>
      <c r="U10" s="3">
        <v>566.5608930746223</v>
      </c>
      <c r="V10" s="3">
        <v>428.87710062352721</v>
      </c>
      <c r="W10" s="70">
        <v>0</v>
      </c>
      <c r="X10" s="3">
        <v>0</v>
      </c>
      <c r="Y10" s="67">
        <v>0</v>
      </c>
      <c r="Z10" s="3">
        <v>995.43799369814838</v>
      </c>
      <c r="AA10" s="3">
        <v>566.5608930746223</v>
      </c>
      <c r="AB10" s="3">
        <v>428.87710062352721</v>
      </c>
    </row>
    <row r="11" spans="1:69" ht="15" customHeight="1" x14ac:dyDescent="0.2">
      <c r="A11" s="214" t="s">
        <v>10</v>
      </c>
      <c r="B11" s="3">
        <v>804.24703441475742</v>
      </c>
      <c r="C11" s="3">
        <v>404.34519409802203</v>
      </c>
      <c r="D11" s="3">
        <v>399.9018403167251</v>
      </c>
      <c r="E11" s="70">
        <v>0</v>
      </c>
      <c r="F11" s="3">
        <v>0</v>
      </c>
      <c r="G11" s="67">
        <v>0</v>
      </c>
      <c r="H11" s="3">
        <v>804.24703441475742</v>
      </c>
      <c r="I11" s="3">
        <v>404.34519409802203</v>
      </c>
      <c r="J11" s="3">
        <v>399.9018403167251</v>
      </c>
      <c r="K11" s="62">
        <v>831.37571361979269</v>
      </c>
      <c r="L11" s="3">
        <v>417.98447480332294</v>
      </c>
      <c r="M11" s="3">
        <v>413.39123881647328</v>
      </c>
      <c r="N11" s="70">
        <v>0</v>
      </c>
      <c r="O11" s="3">
        <v>0</v>
      </c>
      <c r="P11" s="67">
        <v>0</v>
      </c>
      <c r="Q11" s="3">
        <v>831.37571361979269</v>
      </c>
      <c r="R11" s="3">
        <v>417.98447480332294</v>
      </c>
      <c r="S11" s="63">
        <v>413.39123881647328</v>
      </c>
      <c r="T11" s="3">
        <v>859.33677357407737</v>
      </c>
      <c r="U11" s="3">
        <v>432.04224527757538</v>
      </c>
      <c r="V11" s="3">
        <v>427.29452829650313</v>
      </c>
      <c r="W11" s="70">
        <v>0</v>
      </c>
      <c r="X11" s="3">
        <v>0</v>
      </c>
      <c r="Y11" s="67">
        <v>0</v>
      </c>
      <c r="Z11" s="3">
        <v>859.33677357407737</v>
      </c>
      <c r="AA11" s="3">
        <v>432.04224527757538</v>
      </c>
      <c r="AB11" s="3">
        <v>427.29452829650313</v>
      </c>
    </row>
    <row r="12" spans="1:69" ht="15" customHeight="1" x14ac:dyDescent="0.2">
      <c r="A12" s="214" t="s">
        <v>11</v>
      </c>
      <c r="B12" s="3">
        <v>692.1391252128675</v>
      </c>
      <c r="C12" s="3">
        <v>379.02856856895124</v>
      </c>
      <c r="D12" s="3">
        <v>313.11055664391625</v>
      </c>
      <c r="E12" s="70">
        <v>0</v>
      </c>
      <c r="F12" s="3">
        <v>0</v>
      </c>
      <c r="G12" s="67">
        <v>0</v>
      </c>
      <c r="H12" s="3">
        <v>692.1391252128675</v>
      </c>
      <c r="I12" s="3">
        <v>379.02856856895124</v>
      </c>
      <c r="J12" s="3">
        <v>313.11055664391625</v>
      </c>
      <c r="K12" s="62">
        <v>715.48620576110829</v>
      </c>
      <c r="L12" s="3">
        <v>391.81387458346171</v>
      </c>
      <c r="M12" s="3">
        <v>323.67233117764295</v>
      </c>
      <c r="N12" s="70">
        <v>0</v>
      </c>
      <c r="O12" s="3">
        <v>0</v>
      </c>
      <c r="P12" s="67">
        <v>0</v>
      </c>
      <c r="Q12" s="3">
        <v>715.48620576110829</v>
      </c>
      <c r="R12" s="3">
        <v>391.81387458346171</v>
      </c>
      <c r="S12" s="63">
        <v>323.67233117764295</v>
      </c>
      <c r="T12" s="3">
        <v>739.54963745391399</v>
      </c>
      <c r="U12" s="3">
        <v>404.99146812952438</v>
      </c>
      <c r="V12" s="3">
        <v>334.55816932438972</v>
      </c>
      <c r="W12" s="70">
        <v>0</v>
      </c>
      <c r="X12" s="3">
        <v>0</v>
      </c>
      <c r="Y12" s="67">
        <v>0</v>
      </c>
      <c r="Z12" s="3">
        <v>739.54963745391399</v>
      </c>
      <c r="AA12" s="3">
        <v>404.99146812952438</v>
      </c>
      <c r="AB12" s="3">
        <v>334.55816932438972</v>
      </c>
    </row>
    <row r="13" spans="1:69" ht="15" customHeight="1" x14ac:dyDescent="0.2">
      <c r="A13" s="214" t="s">
        <v>12</v>
      </c>
      <c r="B13" s="3">
        <v>719.10558463674545</v>
      </c>
      <c r="C13" s="3">
        <v>377.53043193429136</v>
      </c>
      <c r="D13" s="3">
        <v>341.57515270245409</v>
      </c>
      <c r="E13" s="70">
        <v>0</v>
      </c>
      <c r="F13" s="3">
        <v>0</v>
      </c>
      <c r="G13" s="67">
        <v>0</v>
      </c>
      <c r="H13" s="3">
        <v>719.10558463674545</v>
      </c>
      <c r="I13" s="3">
        <v>377.53043193429136</v>
      </c>
      <c r="J13" s="3">
        <v>341.57515270245409</v>
      </c>
      <c r="K13" s="62">
        <v>743.36229169985336</v>
      </c>
      <c r="L13" s="3">
        <v>390.26520314242038</v>
      </c>
      <c r="M13" s="3">
        <v>353.09708855742832</v>
      </c>
      <c r="N13" s="70">
        <v>0</v>
      </c>
      <c r="O13" s="3">
        <v>0</v>
      </c>
      <c r="P13" s="67">
        <v>0</v>
      </c>
      <c r="Q13" s="3">
        <v>743.36229169985336</v>
      </c>
      <c r="R13" s="3">
        <v>390.26520314242038</v>
      </c>
      <c r="S13" s="63">
        <v>353.09708855742832</v>
      </c>
      <c r="T13" s="3">
        <v>768.36325969237816</v>
      </c>
      <c r="U13" s="3">
        <v>403.39071133849859</v>
      </c>
      <c r="V13" s="3">
        <v>364.97254835387969</v>
      </c>
      <c r="W13" s="70">
        <v>0</v>
      </c>
      <c r="X13" s="3">
        <v>0</v>
      </c>
      <c r="Y13" s="67">
        <v>0</v>
      </c>
      <c r="Z13" s="3">
        <v>768.36325969237816</v>
      </c>
      <c r="AA13" s="3">
        <v>403.39071133849859</v>
      </c>
      <c r="AB13" s="3">
        <v>364.97254835387969</v>
      </c>
    </row>
    <row r="14" spans="1:69" ht="15" customHeight="1" x14ac:dyDescent="0.2">
      <c r="A14" s="214" t="s">
        <v>13</v>
      </c>
      <c r="B14" s="3">
        <v>630.71552319181217</v>
      </c>
      <c r="C14" s="3">
        <v>314.60869327857614</v>
      </c>
      <c r="D14" s="3">
        <v>316.10682991323603</v>
      </c>
      <c r="E14" s="70">
        <v>0</v>
      </c>
      <c r="F14" s="3">
        <v>0</v>
      </c>
      <c r="G14" s="67">
        <v>0</v>
      </c>
      <c r="H14" s="3">
        <v>630.71552319181217</v>
      </c>
      <c r="I14" s="3">
        <v>314.60869327857614</v>
      </c>
      <c r="J14" s="3">
        <v>316.10682991323603</v>
      </c>
      <c r="K14" s="62">
        <v>651.99067667841121</v>
      </c>
      <c r="L14" s="3">
        <v>325.22100261868428</v>
      </c>
      <c r="M14" s="3">
        <v>326.76967405972562</v>
      </c>
      <c r="N14" s="70">
        <v>0</v>
      </c>
      <c r="O14" s="3">
        <v>0</v>
      </c>
      <c r="P14" s="67">
        <v>0</v>
      </c>
      <c r="Q14" s="3">
        <v>651.99067667841121</v>
      </c>
      <c r="R14" s="3">
        <v>325.22100261868428</v>
      </c>
      <c r="S14" s="63">
        <v>326.76967405972562</v>
      </c>
      <c r="T14" s="3">
        <v>673.9186090218567</v>
      </c>
      <c r="U14" s="3">
        <v>336.15892611541551</v>
      </c>
      <c r="V14" s="3">
        <v>337.7596829064413</v>
      </c>
      <c r="W14" s="70">
        <v>0</v>
      </c>
      <c r="X14" s="3">
        <v>0</v>
      </c>
      <c r="Y14" s="67">
        <v>0</v>
      </c>
      <c r="Z14" s="3">
        <v>673.9186090218567</v>
      </c>
      <c r="AA14" s="3">
        <v>336.15892611541551</v>
      </c>
      <c r="AB14" s="3">
        <v>337.7596829064413</v>
      </c>
    </row>
    <row r="15" spans="1:69" ht="15" customHeight="1" x14ac:dyDescent="0.2">
      <c r="A15" s="214" t="s">
        <v>14</v>
      </c>
      <c r="B15" s="3">
        <v>623.1371290517975</v>
      </c>
      <c r="C15" s="3">
        <v>335.53537718173482</v>
      </c>
      <c r="D15" s="3">
        <v>287.60175187005842</v>
      </c>
      <c r="E15" s="70">
        <v>0</v>
      </c>
      <c r="F15" s="3">
        <v>0</v>
      </c>
      <c r="G15" s="67">
        <v>0</v>
      </c>
      <c r="H15" s="3">
        <v>623.1371290517975</v>
      </c>
      <c r="I15" s="3">
        <v>335.53537718173482</v>
      </c>
      <c r="J15" s="3">
        <v>287.60175187005842</v>
      </c>
      <c r="K15" s="62">
        <v>644.15664985997603</v>
      </c>
      <c r="L15" s="3">
        <v>346.85358069383278</v>
      </c>
      <c r="M15" s="3">
        <v>297.30306916614308</v>
      </c>
      <c r="N15" s="70">
        <v>0</v>
      </c>
      <c r="O15" s="3">
        <v>0</v>
      </c>
      <c r="P15" s="67">
        <v>0</v>
      </c>
      <c r="Q15" s="3">
        <v>644.15664985997603</v>
      </c>
      <c r="R15" s="3">
        <v>346.85358069383278</v>
      </c>
      <c r="S15" s="63">
        <v>297.30306916614308</v>
      </c>
      <c r="T15" s="3">
        <v>665.82110602777368</v>
      </c>
      <c r="U15" s="3">
        <v>358.51905709187918</v>
      </c>
      <c r="V15" s="3">
        <v>307.30204893589581</v>
      </c>
      <c r="W15" s="70">
        <v>0</v>
      </c>
      <c r="X15" s="3">
        <v>0</v>
      </c>
      <c r="Y15" s="67">
        <v>0</v>
      </c>
      <c r="Z15" s="3">
        <v>665.82110602777368</v>
      </c>
      <c r="AA15" s="3">
        <v>358.51905709187918</v>
      </c>
      <c r="AB15" s="3">
        <v>307.30204893589581</v>
      </c>
    </row>
    <row r="16" spans="1:69" ht="15" customHeight="1" x14ac:dyDescent="0.2">
      <c r="A16" s="214" t="s">
        <v>15</v>
      </c>
      <c r="B16" s="3">
        <v>611.51685624896641</v>
      </c>
      <c r="C16" s="3">
        <v>338.44044538244248</v>
      </c>
      <c r="D16" s="3">
        <v>273.07641086652012</v>
      </c>
      <c r="E16" s="70">
        <v>0</v>
      </c>
      <c r="F16" s="3">
        <v>0</v>
      </c>
      <c r="G16" s="67">
        <v>0</v>
      </c>
      <c r="H16" s="3">
        <v>611.51685624896641</v>
      </c>
      <c r="I16" s="3">
        <v>338.44044538244248</v>
      </c>
      <c r="J16" s="3">
        <v>273.07641086652012</v>
      </c>
      <c r="K16" s="62">
        <v>632.1444046411417</v>
      </c>
      <c r="L16" s="3">
        <v>349.85664199854125</v>
      </c>
      <c r="M16" s="3">
        <v>282.28776264260074</v>
      </c>
      <c r="N16" s="70">
        <v>0</v>
      </c>
      <c r="O16" s="3">
        <v>0</v>
      </c>
      <c r="P16" s="67">
        <v>0</v>
      </c>
      <c r="Q16" s="3">
        <v>632.1444046411417</v>
      </c>
      <c r="R16" s="3">
        <v>349.85664199854125</v>
      </c>
      <c r="S16" s="63">
        <v>282.28776264260074</v>
      </c>
      <c r="T16" s="3">
        <v>653.40486162632362</v>
      </c>
      <c r="U16" s="3">
        <v>361.6231181922418</v>
      </c>
      <c r="V16" s="3">
        <v>291.78174343408267</v>
      </c>
      <c r="W16" s="70">
        <v>0</v>
      </c>
      <c r="X16" s="3">
        <v>0</v>
      </c>
      <c r="Y16" s="67">
        <v>0</v>
      </c>
      <c r="Z16" s="3">
        <v>653.40486162632362</v>
      </c>
      <c r="AA16" s="3">
        <v>361.6231181922418</v>
      </c>
      <c r="AB16" s="3">
        <v>291.78174343408267</v>
      </c>
    </row>
    <row r="17" spans="1:80" ht="15" customHeight="1" x14ac:dyDescent="0.2">
      <c r="A17" s="214" t="s">
        <v>16</v>
      </c>
      <c r="B17" s="3">
        <v>504.02933282277911</v>
      </c>
      <c r="C17" s="3">
        <v>273.07641086652012</v>
      </c>
      <c r="D17" s="3">
        <v>230.95292195625902</v>
      </c>
      <c r="E17" s="70">
        <v>0</v>
      </c>
      <c r="F17" s="3">
        <v>0</v>
      </c>
      <c r="G17" s="67">
        <v>0</v>
      </c>
      <c r="H17" s="3">
        <v>504.02933282277911</v>
      </c>
      <c r="I17" s="3">
        <v>273.07641086652012</v>
      </c>
      <c r="J17" s="3">
        <v>230.95292195625902</v>
      </c>
      <c r="K17" s="62">
        <v>521.03113636692422</v>
      </c>
      <c r="L17" s="3">
        <v>282.28776264260074</v>
      </c>
      <c r="M17" s="3">
        <v>238.74337372432763</v>
      </c>
      <c r="N17" s="70">
        <v>0</v>
      </c>
      <c r="O17" s="3">
        <v>0</v>
      </c>
      <c r="P17" s="67">
        <v>0</v>
      </c>
      <c r="Q17" s="3">
        <v>521.03113636692422</v>
      </c>
      <c r="R17" s="3">
        <v>282.28776264260074</v>
      </c>
      <c r="S17" s="63">
        <v>238.74337372432763</v>
      </c>
      <c r="T17" s="3">
        <v>538.55460091291059</v>
      </c>
      <c r="U17" s="3">
        <v>291.78174343408267</v>
      </c>
      <c r="V17" s="3">
        <v>246.7728574788247</v>
      </c>
      <c r="W17" s="70">
        <v>0</v>
      </c>
      <c r="X17" s="3">
        <v>0</v>
      </c>
      <c r="Y17" s="67">
        <v>0</v>
      </c>
      <c r="Z17" s="3">
        <v>538.55460091291059</v>
      </c>
      <c r="AA17" s="3">
        <v>291.78174343408267</v>
      </c>
      <c r="AB17" s="3">
        <v>246.7728574788247</v>
      </c>
    </row>
    <row r="18" spans="1:80" ht="15" customHeight="1" x14ac:dyDescent="0.2">
      <c r="A18" s="214" t="s">
        <v>17</v>
      </c>
      <c r="B18" s="3">
        <v>444.47543470827208</v>
      </c>
      <c r="C18" s="3">
        <v>241.12066065873583</v>
      </c>
      <c r="D18" s="3">
        <v>203.35477404953625</v>
      </c>
      <c r="E18" s="70">
        <v>0</v>
      </c>
      <c r="F18" s="3">
        <v>0</v>
      </c>
      <c r="G18" s="67">
        <v>0</v>
      </c>
      <c r="H18" s="3">
        <v>444.47543470827208</v>
      </c>
      <c r="I18" s="3">
        <v>241.12066065873583</v>
      </c>
      <c r="J18" s="3">
        <v>203.35477404953625</v>
      </c>
      <c r="K18" s="62">
        <v>459.4683796204003</v>
      </c>
      <c r="L18" s="3">
        <v>249.25408829080746</v>
      </c>
      <c r="M18" s="3">
        <v>210.21429132959665</v>
      </c>
      <c r="N18" s="70">
        <v>0</v>
      </c>
      <c r="O18" s="3">
        <v>0</v>
      </c>
      <c r="P18" s="67">
        <v>0</v>
      </c>
      <c r="Q18" s="3">
        <v>459.4683796204003</v>
      </c>
      <c r="R18" s="3">
        <v>249.25408829080746</v>
      </c>
      <c r="S18" s="63">
        <v>210.21429132959665</v>
      </c>
      <c r="T18" s="3">
        <v>474.92134835547773</v>
      </c>
      <c r="U18" s="3">
        <v>257.63707133009376</v>
      </c>
      <c r="V18" s="3">
        <v>217.28427702538028</v>
      </c>
      <c r="W18" s="70">
        <v>0</v>
      </c>
      <c r="X18" s="3">
        <v>0</v>
      </c>
      <c r="Y18" s="67">
        <v>0</v>
      </c>
      <c r="Z18" s="3">
        <v>474.92134835547773</v>
      </c>
      <c r="AA18" s="3">
        <v>257.63707133009376</v>
      </c>
      <c r="AB18" s="3">
        <v>217.28427702538028</v>
      </c>
    </row>
    <row r="19" spans="1:80" ht="15" customHeight="1" x14ac:dyDescent="0.2">
      <c r="A19" s="214" t="s">
        <v>18</v>
      </c>
      <c r="B19" s="3">
        <v>412.45102936204609</v>
      </c>
      <c r="C19" s="3">
        <v>197.25918795576132</v>
      </c>
      <c r="D19" s="3">
        <v>215.19184140628505</v>
      </c>
      <c r="E19" s="70">
        <v>0</v>
      </c>
      <c r="F19" s="3">
        <v>0</v>
      </c>
      <c r="G19" s="67">
        <v>0</v>
      </c>
      <c r="H19" s="3">
        <v>412.45102936204609</v>
      </c>
      <c r="I19" s="3">
        <v>197.25918795576132</v>
      </c>
      <c r="J19" s="3">
        <v>215.19184140628505</v>
      </c>
      <c r="K19" s="62">
        <v>426.36373427055753</v>
      </c>
      <c r="L19" s="3">
        <v>203.91309030330959</v>
      </c>
      <c r="M19" s="3">
        <v>222.45064396724692</v>
      </c>
      <c r="N19" s="70">
        <v>0</v>
      </c>
      <c r="O19" s="3">
        <v>0</v>
      </c>
      <c r="P19" s="67">
        <v>0</v>
      </c>
      <c r="Q19" s="3">
        <v>426.36373427055753</v>
      </c>
      <c r="R19" s="3">
        <v>203.91309030330959</v>
      </c>
      <c r="S19" s="63">
        <v>222.45064396724692</v>
      </c>
      <c r="T19" s="3">
        <v>440.70331833702591</v>
      </c>
      <c r="U19" s="3">
        <v>210.77115224814187</v>
      </c>
      <c r="V19" s="3">
        <v>229.93216608888196</v>
      </c>
      <c r="W19" s="70">
        <v>0</v>
      </c>
      <c r="X19" s="3">
        <v>0</v>
      </c>
      <c r="Y19" s="67">
        <v>0</v>
      </c>
      <c r="Z19" s="3">
        <v>440.70331833702591</v>
      </c>
      <c r="AA19" s="3">
        <v>210.77115224814187</v>
      </c>
      <c r="AB19" s="3">
        <v>229.93216608888196</v>
      </c>
    </row>
    <row r="20" spans="1:80" ht="15" customHeight="1" x14ac:dyDescent="0.2">
      <c r="A20" s="214" t="s">
        <v>19</v>
      </c>
      <c r="B20" s="3">
        <v>404.29982324817166</v>
      </c>
      <c r="C20" s="3">
        <v>231.4942536340339</v>
      </c>
      <c r="D20" s="3">
        <v>172.80556961413805</v>
      </c>
      <c r="E20" s="70">
        <v>0</v>
      </c>
      <c r="F20" s="4">
        <v>0</v>
      </c>
      <c r="G20" s="89">
        <v>0</v>
      </c>
      <c r="H20" s="3">
        <v>404.29982324817166</v>
      </c>
      <c r="I20" s="3">
        <v>231.4942536340339</v>
      </c>
      <c r="J20" s="3">
        <v>172.80556961413805</v>
      </c>
      <c r="K20" s="62">
        <v>417.93757351422238</v>
      </c>
      <c r="L20" s="3">
        <v>239.30296547991722</v>
      </c>
      <c r="M20" s="3">
        <v>178.63460803430414</v>
      </c>
      <c r="N20" s="70">
        <v>0</v>
      </c>
      <c r="O20" s="4">
        <v>0</v>
      </c>
      <c r="P20" s="89">
        <v>0</v>
      </c>
      <c r="Q20" s="3">
        <v>417.93757351422238</v>
      </c>
      <c r="R20" s="3">
        <v>239.30296547991722</v>
      </c>
      <c r="S20" s="63">
        <v>178.63460803430414</v>
      </c>
      <c r="T20" s="3">
        <v>431.99376659123482</v>
      </c>
      <c r="U20" s="3">
        <v>247.35126958046385</v>
      </c>
      <c r="V20" s="3">
        <v>184.64249701076903</v>
      </c>
      <c r="W20" s="70">
        <v>0</v>
      </c>
      <c r="X20" s="4">
        <v>0</v>
      </c>
      <c r="Y20" s="89">
        <v>0</v>
      </c>
      <c r="Z20" s="3">
        <v>431.99376659123482</v>
      </c>
      <c r="AA20" s="3">
        <v>247.35126958046385</v>
      </c>
      <c r="AB20" s="3">
        <v>184.64249701076903</v>
      </c>
    </row>
    <row r="21" spans="1:80" ht="15" customHeight="1" x14ac:dyDescent="0.2">
      <c r="A21" s="214" t="s">
        <v>20</v>
      </c>
      <c r="B21" s="3">
        <v>404.29982324817166</v>
      </c>
      <c r="C21" s="3">
        <v>203.78015284686086</v>
      </c>
      <c r="D21" s="3">
        <v>200.51967040131109</v>
      </c>
      <c r="E21" s="109">
        <v>0</v>
      </c>
      <c r="F21" s="4">
        <v>0</v>
      </c>
      <c r="G21" s="89">
        <v>0</v>
      </c>
      <c r="H21" s="3">
        <v>404.29982324817166</v>
      </c>
      <c r="I21" s="3">
        <v>203.78015284686086</v>
      </c>
      <c r="J21" s="3">
        <v>200.51967040131109</v>
      </c>
      <c r="K21" s="62">
        <v>417.93757351422238</v>
      </c>
      <c r="L21" s="3">
        <v>210.65401890837771</v>
      </c>
      <c r="M21" s="3">
        <v>207.28355460584365</v>
      </c>
      <c r="N21" s="109">
        <v>0</v>
      </c>
      <c r="O21" s="4">
        <v>0</v>
      </c>
      <c r="P21" s="89">
        <v>0</v>
      </c>
      <c r="Q21" s="3">
        <v>417.93757351422238</v>
      </c>
      <c r="R21" s="3">
        <v>210.65401890837771</v>
      </c>
      <c r="S21" s="63">
        <v>207.28355460584365</v>
      </c>
      <c r="T21" s="3">
        <v>431.99376659123482</v>
      </c>
      <c r="U21" s="3">
        <v>217.73879364477463</v>
      </c>
      <c r="V21" s="3">
        <v>214.25497294645825</v>
      </c>
      <c r="W21" s="109">
        <v>0</v>
      </c>
      <c r="X21" s="4">
        <v>0</v>
      </c>
      <c r="Y21" s="89">
        <v>0</v>
      </c>
      <c r="Z21" s="3">
        <v>431.99376659123482</v>
      </c>
      <c r="AA21" s="3">
        <v>217.73879364477463</v>
      </c>
      <c r="AB21" s="3">
        <v>214.25497294645825</v>
      </c>
    </row>
    <row r="22" spans="1:80" ht="15" customHeight="1" x14ac:dyDescent="0.2">
      <c r="A22" s="214" t="s">
        <v>27</v>
      </c>
      <c r="B22" s="3">
        <v>322.78776210942743</v>
      </c>
      <c r="C22" s="3">
        <v>176.06605205968782</v>
      </c>
      <c r="D22" s="3">
        <v>146.7217100497399</v>
      </c>
      <c r="E22" s="109">
        <v>0</v>
      </c>
      <c r="F22" s="4">
        <v>0</v>
      </c>
      <c r="G22" s="89">
        <v>0</v>
      </c>
      <c r="H22" s="3">
        <v>322.78776210942743</v>
      </c>
      <c r="I22" s="3">
        <v>176.06605205968782</v>
      </c>
      <c r="J22" s="3">
        <v>146.7217100497399</v>
      </c>
      <c r="K22" s="62">
        <v>333.67596595087088</v>
      </c>
      <c r="L22" s="3">
        <v>182.0050723368382</v>
      </c>
      <c r="M22" s="3">
        <v>151.67089361403166</v>
      </c>
      <c r="N22" s="109">
        <v>0</v>
      </c>
      <c r="O22" s="4">
        <v>0</v>
      </c>
      <c r="P22" s="89">
        <v>0</v>
      </c>
      <c r="Q22" s="3">
        <v>333.67596595087088</v>
      </c>
      <c r="R22" s="3">
        <v>182.0050723368382</v>
      </c>
      <c r="S22" s="63">
        <v>151.67089361403166</v>
      </c>
      <c r="T22" s="3">
        <v>344.89824913332393</v>
      </c>
      <c r="U22" s="3">
        <v>188.12631770908541</v>
      </c>
      <c r="V22" s="3">
        <v>156.77193142423801</v>
      </c>
      <c r="W22" s="109">
        <v>0</v>
      </c>
      <c r="X22" s="4">
        <v>0</v>
      </c>
      <c r="Y22" s="89">
        <v>0</v>
      </c>
      <c r="Z22" s="3">
        <v>344.89824913332393</v>
      </c>
      <c r="AA22" s="3">
        <v>188.12631770908541</v>
      </c>
      <c r="AB22" s="3">
        <v>156.77193142423801</v>
      </c>
    </row>
    <row r="23" spans="1:80" ht="15" customHeight="1" x14ac:dyDescent="0.2">
      <c r="A23" s="214" t="s">
        <v>41</v>
      </c>
      <c r="B23" s="3">
        <v>11.411688559424238</v>
      </c>
      <c r="C23" s="3">
        <v>6.5209648910995641</v>
      </c>
      <c r="D23" s="3">
        <v>4.8907236683246733</v>
      </c>
      <c r="E23" s="109">
        <v>0</v>
      </c>
      <c r="F23" s="4">
        <v>0</v>
      </c>
      <c r="G23" s="89">
        <v>0</v>
      </c>
      <c r="H23" s="3">
        <v>11.411688559424238</v>
      </c>
      <c r="I23" s="3">
        <v>6.5209648910995641</v>
      </c>
      <c r="J23" s="3">
        <v>4.8907236683246733</v>
      </c>
      <c r="K23" s="62">
        <v>11.796625058869122</v>
      </c>
      <c r="L23" s="3">
        <v>6.7409286050680697</v>
      </c>
      <c r="M23" s="3">
        <v>5.055696453801052</v>
      </c>
      <c r="N23" s="109">
        <v>0</v>
      </c>
      <c r="O23" s="4">
        <v>0</v>
      </c>
      <c r="P23" s="89">
        <v>0</v>
      </c>
      <c r="Q23" s="3">
        <v>11.796625058869122</v>
      </c>
      <c r="R23" s="3">
        <v>6.7409286050680697</v>
      </c>
      <c r="S23" s="63">
        <v>5.055696453801052</v>
      </c>
      <c r="T23" s="3">
        <v>12.193372444107402</v>
      </c>
      <c r="U23" s="3">
        <v>6.9676413966328008</v>
      </c>
      <c r="V23" s="3">
        <v>5.2257310474746008</v>
      </c>
      <c r="W23" s="109">
        <v>0</v>
      </c>
      <c r="X23" s="4">
        <v>0</v>
      </c>
      <c r="Y23" s="89">
        <v>0</v>
      </c>
      <c r="Z23" s="3">
        <v>12.193372444107402</v>
      </c>
      <c r="AA23" s="3">
        <v>6.9676413966328008</v>
      </c>
      <c r="AB23" s="3">
        <v>5.2257310474746008</v>
      </c>
    </row>
    <row r="24" spans="1:80" ht="15" customHeight="1" x14ac:dyDescent="0.2">
      <c r="A24" s="214" t="s">
        <v>32</v>
      </c>
      <c r="B24" s="3">
        <v>11.411688559424238</v>
      </c>
      <c r="C24" s="3">
        <v>9.7814473366493466</v>
      </c>
      <c r="D24" s="3">
        <v>1.630241222774891</v>
      </c>
      <c r="E24" s="109">
        <v>0</v>
      </c>
      <c r="F24" s="4">
        <v>0</v>
      </c>
      <c r="G24" s="89">
        <v>0</v>
      </c>
      <c r="H24" s="3">
        <v>11.411688559424238</v>
      </c>
      <c r="I24" s="3">
        <v>9.7814473366493466</v>
      </c>
      <c r="J24" s="3">
        <v>1.630241222774891</v>
      </c>
      <c r="K24" s="62">
        <v>11.796625058869122</v>
      </c>
      <c r="L24" s="3">
        <v>10.111392907602104</v>
      </c>
      <c r="M24" s="3">
        <v>1.6852321512670174</v>
      </c>
      <c r="N24" s="109">
        <v>0</v>
      </c>
      <c r="O24" s="4">
        <v>0</v>
      </c>
      <c r="P24" s="89">
        <v>0</v>
      </c>
      <c r="Q24" s="3">
        <v>11.796625058869122</v>
      </c>
      <c r="R24" s="3">
        <v>10.111392907602104</v>
      </c>
      <c r="S24" s="63">
        <v>1.6852321512670174</v>
      </c>
      <c r="T24" s="3">
        <v>12.193372444107402</v>
      </c>
      <c r="U24" s="3">
        <v>10.451462094949202</v>
      </c>
      <c r="V24" s="3">
        <v>1.7419103491582002</v>
      </c>
      <c r="W24" s="109">
        <v>0</v>
      </c>
      <c r="X24" s="4">
        <v>0</v>
      </c>
      <c r="Y24" s="89">
        <v>0</v>
      </c>
      <c r="Z24" s="3">
        <v>12.193372444107402</v>
      </c>
      <c r="AA24" s="3">
        <v>10.451462094949202</v>
      </c>
      <c r="AB24" s="3">
        <v>1.7419103491582002</v>
      </c>
    </row>
    <row r="25" spans="1:80" ht="15" customHeight="1" thickBot="1" x14ac:dyDescent="0.25">
      <c r="A25" s="215" t="s">
        <v>96</v>
      </c>
      <c r="B25" s="7">
        <v>6.5209648910995641</v>
      </c>
      <c r="C25" s="7">
        <v>3.2604824455497821</v>
      </c>
      <c r="D25" s="7">
        <v>3.2604824455497821</v>
      </c>
      <c r="E25" s="91">
        <v>0</v>
      </c>
      <c r="F25" s="2">
        <v>0</v>
      </c>
      <c r="G25" s="90">
        <v>0</v>
      </c>
      <c r="H25" s="7">
        <v>6.5209648910995641</v>
      </c>
      <c r="I25" s="7">
        <v>3.2604824455497821</v>
      </c>
      <c r="J25" s="7">
        <v>3.2604824455497821</v>
      </c>
      <c r="K25" s="65">
        <v>6.7409286050680697</v>
      </c>
      <c r="L25" s="7">
        <v>3.3704643025340348</v>
      </c>
      <c r="M25" s="7">
        <v>3.3704643025340348</v>
      </c>
      <c r="N25" s="91">
        <v>0</v>
      </c>
      <c r="O25" s="2">
        <v>0</v>
      </c>
      <c r="P25" s="90">
        <v>0</v>
      </c>
      <c r="Q25" s="71">
        <v>6.7409286050680697</v>
      </c>
      <c r="R25" s="7">
        <v>3.3704643025340348</v>
      </c>
      <c r="S25" s="66">
        <v>3.3704643025340348</v>
      </c>
      <c r="T25" s="7">
        <v>6.9676413966328008</v>
      </c>
      <c r="U25" s="7">
        <v>3.4838206983164004</v>
      </c>
      <c r="V25" s="7">
        <v>3.4838206983164004</v>
      </c>
      <c r="W25" s="91">
        <v>0</v>
      </c>
      <c r="X25" s="2">
        <v>0</v>
      </c>
      <c r="Y25" s="90">
        <v>0</v>
      </c>
      <c r="Z25" s="7">
        <v>6.9676413966328008</v>
      </c>
      <c r="AA25" s="7">
        <v>3.4838206983164004</v>
      </c>
      <c r="AB25" s="7">
        <v>3.4838206983164004</v>
      </c>
    </row>
    <row r="26" spans="1:80" ht="15" customHeight="1" x14ac:dyDescent="0.2">
      <c r="A26" s="229" t="s">
        <v>97</v>
      </c>
      <c r="B26" s="155">
        <v>4202.3377696003854</v>
      </c>
      <c r="C26" s="155">
        <v>2147.1043865735642</v>
      </c>
      <c r="D26" s="122">
        <v>2055.2333830269527</v>
      </c>
      <c r="E26" s="155">
        <v>0</v>
      </c>
      <c r="F26" s="155">
        <v>0</v>
      </c>
      <c r="G26" s="122">
        <v>0</v>
      </c>
      <c r="H26" s="155">
        <v>4202.3377696003854</v>
      </c>
      <c r="I26" s="155">
        <v>2147.1043865735642</v>
      </c>
      <c r="J26" s="155">
        <v>2055.2333830269527</v>
      </c>
      <c r="K26" s="211">
        <v>4344.0900775163564</v>
      </c>
      <c r="L26" s="155">
        <v>2219.5300264958755</v>
      </c>
      <c r="M26" s="122">
        <v>2124.5600510204663</v>
      </c>
      <c r="N26" s="155">
        <v>0</v>
      </c>
      <c r="O26" s="155">
        <v>0</v>
      </c>
      <c r="P26" s="122">
        <v>0</v>
      </c>
      <c r="Q26" s="155">
        <v>4344.0900775163564</v>
      </c>
      <c r="R26" s="155">
        <v>2219.5300264958755</v>
      </c>
      <c r="S26" s="210">
        <v>2124.5600510204663</v>
      </c>
      <c r="T26" s="155">
        <v>4490.1917270044969</v>
      </c>
      <c r="U26" s="155">
        <v>2294.1778795957935</v>
      </c>
      <c r="V26" s="122">
        <v>2196.0138474085807</v>
      </c>
      <c r="W26" s="155">
        <v>0</v>
      </c>
      <c r="X26" s="155">
        <v>0</v>
      </c>
      <c r="Y26" s="122">
        <v>0</v>
      </c>
      <c r="Z26" s="155">
        <v>4490.1917270044969</v>
      </c>
      <c r="AA26" s="155">
        <v>2294.1778795957935</v>
      </c>
      <c r="AB26" s="155">
        <v>2196.0138474085807</v>
      </c>
    </row>
    <row r="27" spans="1:80" ht="15" customHeight="1" x14ac:dyDescent="0.2">
      <c r="A27" s="180" t="s">
        <v>22</v>
      </c>
      <c r="B27" s="3">
        <v>182.69005978376782</v>
      </c>
      <c r="C27" s="3">
        <v>94.779053572029909</v>
      </c>
      <c r="D27" s="67">
        <v>87.911006211737885</v>
      </c>
      <c r="E27" s="3">
        <v>0</v>
      </c>
      <c r="F27" s="3">
        <v>0</v>
      </c>
      <c r="G27" s="3">
        <v>0</v>
      </c>
      <c r="H27" s="3">
        <v>182.69005978376782</v>
      </c>
      <c r="I27" s="3">
        <v>94.779053572029909</v>
      </c>
      <c r="J27" s="3">
        <v>87.911006211737885</v>
      </c>
      <c r="K27" s="62">
        <v>188.85251959244002</v>
      </c>
      <c r="L27" s="3">
        <v>97.976119187055374</v>
      </c>
      <c r="M27" s="67">
        <v>90.8764004053847</v>
      </c>
      <c r="N27" s="3">
        <v>0</v>
      </c>
      <c r="O27" s="3">
        <v>0</v>
      </c>
      <c r="P27" s="67">
        <v>0</v>
      </c>
      <c r="Q27" s="3">
        <v>188.85251959244002</v>
      </c>
      <c r="R27" s="3">
        <v>97.976119187055374</v>
      </c>
      <c r="S27" s="63">
        <v>90.8764004053847</v>
      </c>
      <c r="T27" s="3">
        <v>195.20406022122671</v>
      </c>
      <c r="U27" s="3">
        <v>101.27127936289192</v>
      </c>
      <c r="V27" s="67">
        <v>93.93278085833451</v>
      </c>
      <c r="W27" s="3">
        <v>0</v>
      </c>
      <c r="X27" s="3">
        <v>0</v>
      </c>
      <c r="Y27" s="67">
        <v>0</v>
      </c>
      <c r="Z27" s="3">
        <v>195.20406022122671</v>
      </c>
      <c r="AA27" s="3">
        <v>101.27127936289192</v>
      </c>
      <c r="AB27" s="3">
        <v>93.93278085833451</v>
      </c>
    </row>
    <row r="28" spans="1:80" ht="15" customHeight="1" thickBot="1" x14ac:dyDescent="0.25">
      <c r="A28" s="196" t="s">
        <v>21</v>
      </c>
      <c r="B28" s="7">
        <v>7883.0687823141398</v>
      </c>
      <c r="C28" s="7">
        <v>4214.393867128646</v>
      </c>
      <c r="D28" s="68">
        <v>3668.6749151854306</v>
      </c>
      <c r="E28" s="7">
        <v>0</v>
      </c>
      <c r="F28" s="7">
        <v>0</v>
      </c>
      <c r="G28" s="68">
        <v>0</v>
      </c>
      <c r="H28" s="7">
        <v>7883.0687823141398</v>
      </c>
      <c r="I28" s="7">
        <v>4214.393867128646</v>
      </c>
      <c r="J28" s="7">
        <v>3668.6749151854306</v>
      </c>
      <c r="K28" s="65">
        <v>8148.9786769056327</v>
      </c>
      <c r="L28" s="7">
        <v>4356.5528486014236</v>
      </c>
      <c r="M28" s="68">
        <v>3792.4258283037079</v>
      </c>
      <c r="N28" s="7">
        <v>0</v>
      </c>
      <c r="O28" s="7">
        <v>0</v>
      </c>
      <c r="P28" s="68">
        <v>0</v>
      </c>
      <c r="Q28" s="7">
        <v>8148.9786769056327</v>
      </c>
      <c r="R28" s="7">
        <v>4356.5528486014236</v>
      </c>
      <c r="S28" s="66">
        <v>3792.4258283037079</v>
      </c>
      <c r="T28" s="7">
        <v>8423.0474013324692</v>
      </c>
      <c r="U28" s="7">
        <v>4503.0736494840939</v>
      </c>
      <c r="V28" s="68">
        <v>3919.9737518482752</v>
      </c>
      <c r="W28" s="7">
        <v>0</v>
      </c>
      <c r="X28" s="7">
        <v>0</v>
      </c>
      <c r="Y28" s="68">
        <v>0</v>
      </c>
      <c r="Z28" s="7">
        <v>8423.0474013324692</v>
      </c>
      <c r="AA28" s="7">
        <v>4503.0736494840939</v>
      </c>
      <c r="AB28" s="7">
        <v>3919.9737518482752</v>
      </c>
    </row>
    <row r="29" spans="1:80" customFormat="1" ht="15" x14ac:dyDescent="0.25">
      <c r="A29" s="60" t="s">
        <v>121</v>
      </c>
      <c r="B29" s="60"/>
      <c r="C29" s="5"/>
      <c r="D29" s="5"/>
      <c r="E29" s="5"/>
      <c r="F29" s="5"/>
      <c r="G29" s="5"/>
      <c r="H29" s="5"/>
      <c r="I29" s="5"/>
      <c r="J29" s="5"/>
      <c r="K29" s="56"/>
      <c r="L29" s="56"/>
      <c r="M29" s="56"/>
      <c r="N29" s="56"/>
      <c r="O29" s="56"/>
      <c r="P29" s="56"/>
      <c r="Q29" s="56"/>
      <c r="R29" s="56"/>
      <c r="S29" s="56"/>
      <c r="T29" s="56"/>
      <c r="U29" s="56"/>
      <c r="V29" s="56"/>
      <c r="W29" s="56"/>
      <c r="X29" s="56"/>
      <c r="Y29" s="56"/>
      <c r="Z29" s="56"/>
      <c r="AA29" s="56"/>
      <c r="AB29" s="56"/>
      <c r="AC29" s="234"/>
      <c r="AD29" s="234"/>
      <c r="AE29" s="234"/>
      <c r="AF29" s="234"/>
      <c r="AG29" s="234"/>
      <c r="AH29" s="234"/>
      <c r="AI29" s="234"/>
      <c r="AJ29" s="234"/>
      <c r="AK29" s="234"/>
      <c r="AL29" s="234"/>
      <c r="AM29" s="234"/>
      <c r="AN29" s="234"/>
      <c r="AO29" s="234"/>
      <c r="AP29" s="234"/>
      <c r="AQ29" s="234"/>
      <c r="AR29" s="234"/>
      <c r="AS29" s="234"/>
      <c r="AT29" s="234"/>
      <c r="AU29" s="234"/>
      <c r="AV29" s="234"/>
      <c r="AW29" s="234"/>
      <c r="AX29" s="234"/>
      <c r="AY29" s="234"/>
      <c r="AZ29" s="234"/>
      <c r="BA29" s="234"/>
      <c r="BB29" s="234"/>
      <c r="BC29" s="234"/>
      <c r="BD29" s="234"/>
      <c r="BE29" s="234"/>
      <c r="BF29" s="234"/>
      <c r="BG29" s="234"/>
      <c r="BH29" s="234"/>
      <c r="BI29" s="234"/>
      <c r="BJ29" s="234"/>
      <c r="BK29" s="234"/>
      <c r="BL29" s="234"/>
      <c r="BM29" s="234"/>
      <c r="BN29" s="234"/>
      <c r="BO29" s="234"/>
      <c r="BP29" s="234"/>
      <c r="BQ29" s="234"/>
      <c r="BR29" s="234"/>
      <c r="BS29" s="234"/>
      <c r="BT29" s="234"/>
      <c r="BU29" s="234"/>
      <c r="BV29" s="234"/>
      <c r="BW29" s="234"/>
      <c r="BX29" s="234"/>
      <c r="BY29" s="234"/>
      <c r="BZ29" s="234"/>
      <c r="CA29" s="234"/>
      <c r="CB29" s="234"/>
    </row>
    <row r="35" ht="32.25" customHeight="1" x14ac:dyDescent="0.2"/>
  </sheetData>
  <mergeCells count="4">
    <mergeCell ref="A2:A4"/>
    <mergeCell ref="B2:J2"/>
    <mergeCell ref="K2:S2"/>
    <mergeCell ref="T2:AB2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16</vt:i4>
      </vt:variant>
      <vt:variant>
        <vt:lpstr>Intervalos com Nome</vt:lpstr>
      </vt:variant>
      <vt:variant>
        <vt:i4>1</vt:i4>
      </vt:variant>
    </vt:vector>
  </HeadingPairs>
  <TitlesOfParts>
    <vt:vector size="17" baseType="lpstr">
      <vt:lpstr>Lunda Sul</vt:lpstr>
      <vt:lpstr>Grupos etários</vt:lpstr>
      <vt:lpstr>Saurimo</vt:lpstr>
      <vt:lpstr>Muconda</vt:lpstr>
      <vt:lpstr>Cacolo</vt:lpstr>
      <vt:lpstr>Dala</vt:lpstr>
      <vt:lpstr>Chiluage</vt:lpstr>
      <vt:lpstr>Alto Chicapa</vt:lpstr>
      <vt:lpstr>Luma Cassai</vt:lpstr>
      <vt:lpstr>Sombo</vt:lpstr>
      <vt:lpstr>Cassengo</vt:lpstr>
      <vt:lpstr>Cassai- Sul</vt:lpstr>
      <vt:lpstr>Cazage</vt:lpstr>
      <vt:lpstr>Muangueji</vt:lpstr>
      <vt:lpstr>Muriege</vt:lpstr>
      <vt:lpstr>Xassengue</vt:lpstr>
      <vt:lpstr>Dala!OLE_LINK1</vt:lpstr>
    </vt:vector>
  </TitlesOfParts>
  <Company>Instituto Nacional de Estat�sticas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Nani Kina</dc:creator>
  <cp:lastModifiedBy>Nani Kina</cp:lastModifiedBy>
  <cp:lastPrinted>2025-09-19T12:30:52Z</cp:lastPrinted>
  <dcterms:created xsi:type="dcterms:W3CDTF">2025-08-25T11:22:45Z</dcterms:created>
  <dcterms:modified xsi:type="dcterms:W3CDTF">2026-03-27T11:00:38Z</dcterms:modified>
</cp:coreProperties>
</file>